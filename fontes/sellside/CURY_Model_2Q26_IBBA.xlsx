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Z:\Real Estate\0. Housing\CURY\"/>
    </mc:Choice>
  </mc:AlternateContent>
  <xr:revisionPtr revIDLastSave="0" documentId="8_{DDDB41A7-E721-4677-A884-D009EC05554C}" xr6:coauthVersionLast="47" xr6:coauthVersionMax="47" xr10:uidLastSave="{00000000-0000-0000-0000-000000000000}"/>
  <bookViews>
    <workbookView xWindow="13770" yWindow="-16320" windowWidth="29040" windowHeight="15720" activeTab="4" xr2:uid="{8CA04BC2-3042-4019-8D7D-1CB4FD7D4590}"/>
  </bookViews>
  <sheets>
    <sheet name="Cover" sheetId="10" r:id="rId1"/>
    <sheet name="Macro" sheetId="1" r:id="rId2"/>
    <sheet name="IS" sheetId="2" r:id="rId3"/>
    <sheet name="BS &amp; FCF" sheetId="3" r:id="rId4"/>
    <sheet name="Operating" sheetId="4" r:id="rId5"/>
    <sheet name="Valuation" sheetId="6" r:id="rId6"/>
    <sheet name="Report Tables" sheetId="9" r:id="rId7"/>
    <sheet name="Mask-UploadModel" sheetId="12" state="hidden" r:id="rId8"/>
  </sheets>
  <externalReferences>
    <externalReference r:id="rId9"/>
    <externalReference r:id="rId10"/>
  </externalReferences>
  <calcPr calcId="191029" calcMode="manual"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4" i="4" l="1"/>
  <c r="CK4" i="4"/>
  <c r="CJ4" i="4"/>
  <c r="CI4" i="4"/>
  <c r="CF4" i="4"/>
  <c r="CE41" i="4" l="1"/>
  <c r="CE42" i="4" s="1"/>
  <c r="CE39" i="4"/>
  <c r="CE111" i="2" s="1"/>
  <c r="CE112" i="2" s="1"/>
  <c r="CE116" i="2" s="1"/>
  <c r="CE118" i="2" s="1"/>
  <c r="CE35" i="4"/>
  <c r="CE37" i="4" s="1"/>
  <c r="CE38" i="4" s="1"/>
  <c r="CE34" i="4"/>
  <c r="CE33" i="4"/>
  <c r="CE32" i="4"/>
  <c r="CE150" i="3"/>
  <c r="CE151" i="3" s="1"/>
  <c r="CE149" i="3"/>
  <c r="CE146" i="3"/>
  <c r="CE147" i="3" s="1"/>
  <c r="CE140" i="3"/>
  <c r="CE139" i="3"/>
  <c r="CE138" i="3"/>
  <c r="CE141" i="3" s="1"/>
  <c r="CE136" i="3"/>
  <c r="CE137" i="3" s="1"/>
  <c r="CE135" i="3"/>
  <c r="CE134" i="3"/>
  <c r="CE132" i="3"/>
  <c r="CE133" i="3" s="1"/>
  <c r="CE128" i="3"/>
  <c r="CE126" i="3"/>
  <c r="CE127" i="3" s="1"/>
  <c r="CE124" i="3"/>
  <c r="CE125" i="3" s="1"/>
  <c r="CE121" i="3"/>
  <c r="CE122" i="3" s="1"/>
  <c r="CE120" i="3"/>
  <c r="CE118" i="3"/>
  <c r="CE119" i="3" s="1"/>
  <c r="CE117" i="3"/>
  <c r="CE115" i="3"/>
  <c r="CE129" i="3" s="1"/>
  <c r="CE114" i="3"/>
  <c r="CE116" i="3" s="1"/>
  <c r="CE112" i="3"/>
  <c r="CE111" i="3"/>
  <c r="CE113" i="3" s="1"/>
  <c r="CE109" i="3"/>
  <c r="CE110" i="3" s="1"/>
  <c r="CE107" i="3"/>
  <c r="CE108" i="3" s="1"/>
  <c r="CE106" i="3"/>
  <c r="CE105" i="3"/>
  <c r="CE102" i="3"/>
  <c r="CE103" i="3" s="1"/>
  <c r="CE101" i="3"/>
  <c r="CE104" i="3" s="1"/>
  <c r="CE99" i="3"/>
  <c r="CE97" i="3"/>
  <c r="CE96" i="3"/>
  <c r="CE94" i="3"/>
  <c r="CE100" i="3" s="1"/>
  <c r="CE93" i="3"/>
  <c r="CE87" i="3"/>
  <c r="CE84" i="3"/>
  <c r="CE83" i="3"/>
  <c r="CE85" i="3" s="1"/>
  <c r="CE81" i="3"/>
  <c r="CE82" i="3" s="1"/>
  <c r="CE79" i="3"/>
  <c r="CE80" i="3" s="1"/>
  <c r="CE86" i="3" s="1"/>
  <c r="CE78" i="3"/>
  <c r="CE77" i="3"/>
  <c r="CE75" i="3"/>
  <c r="CE65" i="3"/>
  <c r="CE59" i="3"/>
  <c r="CE60" i="3" s="1"/>
  <c r="CE61" i="3" s="1"/>
  <c r="CE63" i="3" s="1"/>
  <c r="CE58" i="3"/>
  <c r="CE56" i="3"/>
  <c r="CE54" i="3"/>
  <c r="CE55" i="3" s="1"/>
  <c r="CE52" i="3"/>
  <c r="CE53" i="3" s="1"/>
  <c r="CE51" i="3"/>
  <c r="CE57" i="3" s="1"/>
  <c r="CE40" i="3"/>
  <c r="CE47" i="3"/>
  <c r="CE44" i="3"/>
  <c r="CE41" i="3"/>
  <c r="CE38" i="3"/>
  <c r="CE36" i="3"/>
  <c r="CE43" i="3"/>
  <c r="CE30" i="3"/>
  <c r="CE29" i="3" s="1"/>
  <c r="CE28" i="3" s="1"/>
  <c r="CE27" i="3" s="1"/>
  <c r="CE26" i="3" s="1"/>
  <c r="CE48" i="3" s="1"/>
  <c r="CE13" i="3"/>
  <c r="CE19" i="3"/>
  <c r="CE5" i="3" s="1"/>
  <c r="CE14" i="3"/>
  <c r="CE10" i="3"/>
  <c r="CE6" i="3"/>
  <c r="CE20" i="3"/>
  <c r="CE12" i="3"/>
  <c r="CE8" i="3"/>
  <c r="CE113" i="2"/>
  <c r="CE114" i="2" s="1"/>
  <c r="CE110" i="2"/>
  <c r="CE109" i="2"/>
  <c r="CE100" i="2"/>
  <c r="CE95" i="2"/>
  <c r="CE102" i="2" s="1"/>
  <c r="CE80" i="2"/>
  <c r="CE79" i="2"/>
  <c r="CE78" i="2"/>
  <c r="CE88" i="2" s="1"/>
  <c r="CE73" i="2"/>
  <c r="CE90" i="2" s="1"/>
  <c r="CE72" i="2"/>
  <c r="CE71" i="2"/>
  <c r="CE70" i="2"/>
  <c r="CE69" i="2"/>
  <c r="CE68" i="2"/>
  <c r="CE67" i="2"/>
  <c r="CE66" i="2"/>
  <c r="CE64" i="2"/>
  <c r="CE62" i="2"/>
  <c r="CE60" i="2"/>
  <c r="CE59" i="2"/>
  <c r="CE85" i="2" s="1"/>
  <c r="CE36" i="4" l="1"/>
  <c r="CE123" i="3"/>
  <c r="CE98" i="3"/>
  <c r="CE95" i="3"/>
  <c r="CE90" i="3"/>
  <c r="CE89" i="3"/>
  <c r="CE88" i="3"/>
  <c r="CE64" i="3"/>
  <c r="CE68" i="3"/>
  <c r="CE66" i="3"/>
  <c r="CE4" i="3"/>
  <c r="CE98" i="2"/>
  <c r="CE115" i="2"/>
  <c r="CE117" i="2" s="1"/>
  <c r="CE61" i="2"/>
  <c r="CE74" i="2"/>
  <c r="CE83" i="2" s="1"/>
  <c r="CE91" i="2" s="1"/>
  <c r="CE71" i="3" l="1"/>
  <c r="CE67" i="3"/>
  <c r="CE77" i="2"/>
  <c r="CE87" i="2" s="1"/>
  <c r="CE63" i="2"/>
  <c r="CE86" i="2"/>
  <c r="CE65" i="2" l="1"/>
  <c r="CE82" i="2"/>
  <c r="CE89" i="2" l="1"/>
  <c r="CE81" i="2"/>
  <c r="CE48" i="2" l="1"/>
  <c r="CE50" i="2" s="1"/>
  <c r="CE53" i="2"/>
  <c r="CE52" i="2"/>
  <c r="CE51" i="2"/>
  <c r="CE21" i="2"/>
  <c r="CE11" i="2"/>
  <c r="CE5" i="2"/>
  <c r="CE30" i="2"/>
  <c r="CE29" i="2"/>
  <c r="CE23" i="2"/>
  <c r="CE22" i="2"/>
  <c r="CE20" i="2"/>
  <c r="CE15" i="2"/>
  <c r="CE12" i="2"/>
  <c r="CE10" i="2"/>
  <c r="CE9" i="2"/>
  <c r="CE19" i="2" s="1"/>
  <c r="CE4" i="2"/>
  <c r="CE8" i="2" s="1"/>
  <c r="CE17" i="2" l="1"/>
  <c r="CE41" i="2"/>
  <c r="CE16" i="2"/>
  <c r="CE35" i="2" s="1"/>
  <c r="CE37" i="2" s="1"/>
  <c r="CE42" i="2" s="1"/>
  <c r="B4" i="1"/>
  <c r="C4" i="1"/>
  <c r="D4" i="1"/>
  <c r="E4" i="1"/>
  <c r="F4" i="1"/>
  <c r="G4" i="1"/>
  <c r="H4" i="1"/>
  <c r="I4" i="1"/>
  <c r="J4" i="1"/>
  <c r="K4" i="1"/>
  <c r="L4" i="1"/>
  <c r="M4" i="1"/>
  <c r="N4" i="1"/>
  <c r="O4" i="1"/>
  <c r="P4" i="1"/>
  <c r="Q4" i="1"/>
  <c r="R4" i="1"/>
  <c r="S4" i="1"/>
  <c r="T4" i="1"/>
  <c r="U4" i="1"/>
  <c r="V4" i="1"/>
  <c r="W4" i="1"/>
  <c r="X4" i="1"/>
  <c r="Y4" i="1"/>
  <c r="Z4" i="1"/>
  <c r="AA4" i="1"/>
  <c r="AB4" i="1"/>
  <c r="AC4" i="1"/>
  <c r="AD4" i="1"/>
  <c r="AE4" i="1"/>
  <c r="AF4" i="1"/>
  <c r="AG4" i="1"/>
  <c r="AH4" i="1"/>
  <c r="AI4" i="1"/>
  <c r="AJ4" i="1"/>
  <c r="AK4" i="1"/>
  <c r="AL4" i="1"/>
  <c r="AM4" i="1"/>
  <c r="AN4" i="1"/>
  <c r="AO4" i="1"/>
  <c r="AP4" i="1"/>
  <c r="AQ4" i="1"/>
  <c r="AR4" i="1"/>
  <c r="AS4" i="1"/>
  <c r="AT4" i="1"/>
  <c r="AU4" i="1"/>
  <c r="AV4" i="1"/>
  <c r="AW4" i="1"/>
  <c r="AX4" i="1"/>
  <c r="AY4" i="1"/>
  <c r="AZ4" i="1"/>
  <c r="BA4" i="1"/>
  <c r="BB4" i="1"/>
  <c r="BC4" i="1"/>
  <c r="BD4" i="1"/>
  <c r="BE4" i="1"/>
  <c r="BF4" i="1"/>
  <c r="BG4" i="1"/>
  <c r="BH4" i="1"/>
  <c r="BI4" i="1"/>
  <c r="BJ4" i="1"/>
  <c r="BK4" i="1"/>
  <c r="BL4" i="1"/>
  <c r="BM4" i="1"/>
  <c r="BN4" i="1"/>
  <c r="BO4" i="1"/>
  <c r="BP4" i="1"/>
  <c r="BQ4" i="1"/>
  <c r="BR4" i="1"/>
  <c r="BS4" i="1"/>
  <c r="BT4" i="1"/>
  <c r="BU4" i="1"/>
  <c r="BV4" i="1"/>
  <c r="BW4" i="1"/>
  <c r="BX4" i="1"/>
  <c r="BY4" i="1"/>
  <c r="BZ4" i="1"/>
  <c r="CA4" i="1"/>
  <c r="CB4" i="1"/>
  <c r="CC4" i="1"/>
  <c r="CD4" i="1"/>
  <c r="CE4" i="1"/>
  <c r="CF4" i="1"/>
  <c r="CG4" i="1"/>
  <c r="CH4" i="1"/>
  <c r="CI4" i="1"/>
  <c r="CJ4" i="1"/>
  <c r="CK4" i="1"/>
  <c r="CL4" i="1"/>
  <c r="CM4" i="1"/>
  <c r="CN4" i="1"/>
  <c r="CO4" i="1"/>
  <c r="CP4" i="1"/>
  <c r="CQ4" i="1"/>
  <c r="CR4" i="1"/>
  <c r="CS4" i="1"/>
  <c r="CT4" i="1"/>
  <c r="CU4" i="1"/>
  <c r="CV4" i="1"/>
  <c r="CW4" i="1"/>
  <c r="CX4" i="1"/>
  <c r="CY4" i="1"/>
  <c r="CZ4" i="1"/>
  <c r="DA4" i="1"/>
  <c r="DB4" i="1"/>
  <c r="B5" i="1"/>
  <c r="C5" i="1"/>
  <c r="D5" i="1"/>
  <c r="E5" i="1"/>
  <c r="F5" i="1"/>
  <c r="G5" i="1"/>
  <c r="H5" i="1"/>
  <c r="I5" i="1"/>
  <c r="J5" i="1"/>
  <c r="K5" i="1"/>
  <c r="L5" i="1"/>
  <c r="M5" i="1"/>
  <c r="N5" i="1"/>
  <c r="O5" i="1"/>
  <c r="P5" i="1"/>
  <c r="Q5" i="1"/>
  <c r="R5" i="1"/>
  <c r="S5" i="1"/>
  <c r="T5" i="1"/>
  <c r="U5" i="1"/>
  <c r="V5" i="1"/>
  <c r="W5" i="1"/>
  <c r="X5" i="1"/>
  <c r="Y5" i="1"/>
  <c r="Z5" i="1"/>
  <c r="AA5" i="1"/>
  <c r="AB5" i="1"/>
  <c r="AC5" i="1"/>
  <c r="AD5" i="1"/>
  <c r="AE5" i="1"/>
  <c r="AF5" i="1"/>
  <c r="AG5" i="1"/>
  <c r="AH5" i="1"/>
  <c r="AI5" i="1"/>
  <c r="AJ5" i="1"/>
  <c r="AK5" i="1"/>
  <c r="AL5" i="1"/>
  <c r="AM5" i="1"/>
  <c r="AN5" i="1"/>
  <c r="AO5" i="1"/>
  <c r="AP5" i="1"/>
  <c r="AQ5" i="1"/>
  <c r="AR5" i="1"/>
  <c r="AS5" i="1"/>
  <c r="AT5" i="1"/>
  <c r="AU5" i="1"/>
  <c r="AV5" i="1"/>
  <c r="AW5" i="1"/>
  <c r="AX5" i="1"/>
  <c r="AY5" i="1"/>
  <c r="AZ5" i="1"/>
  <c r="BA5" i="1"/>
  <c r="BB5" i="1"/>
  <c r="BC5" i="1"/>
  <c r="BD5" i="1"/>
  <c r="BE5" i="1"/>
  <c r="BF5" i="1"/>
  <c r="BG5" i="1"/>
  <c r="BH5" i="1"/>
  <c r="BI5" i="1"/>
  <c r="BJ5" i="1"/>
  <c r="BK5" i="1"/>
  <c r="BL5" i="1"/>
  <c r="BM5" i="1"/>
  <c r="BN5" i="1"/>
  <c r="BO5" i="1"/>
  <c r="BP5" i="1"/>
  <c r="BQ5" i="1"/>
  <c r="BR5" i="1"/>
  <c r="BS5" i="1"/>
  <c r="BT5" i="1"/>
  <c r="BU5" i="1"/>
  <c r="BV5" i="1"/>
  <c r="BW5" i="1"/>
  <c r="BX5" i="1"/>
  <c r="BY5" i="1"/>
  <c r="BZ5" i="1"/>
  <c r="CA5" i="1"/>
  <c r="CB5" i="1"/>
  <c r="CC5" i="1"/>
  <c r="CD5" i="1"/>
  <c r="CE5" i="1"/>
  <c r="CF5" i="1"/>
  <c r="CG5" i="1"/>
  <c r="CH5" i="1"/>
  <c r="CI5" i="1"/>
  <c r="CJ5" i="1"/>
  <c r="CK5" i="1"/>
  <c r="CL5" i="1"/>
  <c r="CM5" i="1"/>
  <c r="CN5" i="1"/>
  <c r="CO5" i="1"/>
  <c r="CP5" i="1"/>
  <c r="CQ5" i="1"/>
  <c r="CR5" i="1"/>
  <c r="CS5" i="1"/>
  <c r="CT5" i="1"/>
  <c r="CU5" i="1"/>
  <c r="CV5" i="1"/>
  <c r="CW5" i="1"/>
  <c r="CX5" i="1"/>
  <c r="CY5" i="1"/>
  <c r="CZ5" i="1"/>
  <c r="DA5" i="1"/>
  <c r="DB5" i="1"/>
  <c r="CE6" i="1"/>
  <c r="CF6" i="1"/>
  <c r="CG6" i="1"/>
  <c r="CH6" i="1"/>
  <c r="CI6" i="1"/>
  <c r="CJ6" i="1"/>
  <c r="CK6" i="1"/>
  <c r="CL6" i="1"/>
  <c r="CM6" i="1"/>
  <c r="CN6" i="1"/>
  <c r="CO6" i="1"/>
  <c r="CP6" i="1"/>
  <c r="CQ6" i="1"/>
  <c r="CR6" i="1"/>
  <c r="CS6" i="1"/>
  <c r="CT6" i="1"/>
  <c r="CU6" i="1"/>
  <c r="CV6" i="1"/>
  <c r="CW6" i="1"/>
  <c r="CX6" i="1"/>
  <c r="CY6" i="1"/>
  <c r="CZ6" i="1"/>
  <c r="DA6" i="1"/>
  <c r="DB6" i="1"/>
  <c r="B7" i="1"/>
  <c r="C7" i="1"/>
  <c r="D7" i="1"/>
  <c r="E7" i="1"/>
  <c r="F7" i="1"/>
  <c r="G7" i="1"/>
  <c r="H7" i="1"/>
  <c r="I7" i="1"/>
  <c r="J7" i="1"/>
  <c r="K7" i="1"/>
  <c r="L7" i="1"/>
  <c r="M7" i="1"/>
  <c r="N7" i="1"/>
  <c r="O7" i="1"/>
  <c r="P7" i="1"/>
  <c r="Q7" i="1"/>
  <c r="R7" i="1"/>
  <c r="S7" i="1"/>
  <c r="T7" i="1"/>
  <c r="U7" i="1"/>
  <c r="V7" i="1"/>
  <c r="W7" i="1"/>
  <c r="X7" i="1"/>
  <c r="Y7" i="1"/>
  <c r="Z7" i="1"/>
  <c r="AA7" i="1"/>
  <c r="AB7" i="1"/>
  <c r="AC7" i="1"/>
  <c r="AD7" i="1"/>
  <c r="AE7" i="1"/>
  <c r="AF7" i="1"/>
  <c r="AG7" i="1"/>
  <c r="AH7" i="1"/>
  <c r="AI7" i="1"/>
  <c r="AJ7" i="1"/>
  <c r="AK7" i="1"/>
  <c r="AL7" i="1"/>
  <c r="AM7" i="1"/>
  <c r="AN7" i="1"/>
  <c r="AO7" i="1"/>
  <c r="AP7" i="1"/>
  <c r="AQ7" i="1"/>
  <c r="AR7" i="1"/>
  <c r="AS7" i="1"/>
  <c r="AT7" i="1"/>
  <c r="AU7" i="1"/>
  <c r="AV7" i="1"/>
  <c r="AW7" i="1"/>
  <c r="AX7" i="1"/>
  <c r="AY7" i="1"/>
  <c r="AZ7" i="1"/>
  <c r="BA7" i="1"/>
  <c r="BB7" i="1"/>
  <c r="BC7" i="1"/>
  <c r="BD7" i="1"/>
  <c r="BE7" i="1"/>
  <c r="BF7" i="1"/>
  <c r="BG7" i="1"/>
  <c r="BH7" i="1"/>
  <c r="BI7" i="1"/>
  <c r="BJ7" i="1"/>
  <c r="BK7" i="1"/>
  <c r="BL7" i="1"/>
  <c r="BM7" i="1"/>
  <c r="BN7" i="1"/>
  <c r="BO7" i="1"/>
  <c r="BP7" i="1"/>
  <c r="BQ7" i="1"/>
  <c r="BR7" i="1"/>
  <c r="BS7" i="1"/>
  <c r="BT7" i="1"/>
  <c r="BU7" i="1"/>
  <c r="BV7" i="1"/>
  <c r="BW7" i="1"/>
  <c r="BX7" i="1"/>
  <c r="BY7" i="1"/>
  <c r="BZ7" i="1"/>
  <c r="CA7" i="1"/>
  <c r="CB7" i="1"/>
  <c r="CC7" i="1"/>
  <c r="CD7" i="1"/>
  <c r="CE7" i="1"/>
  <c r="CF7" i="1"/>
  <c r="CG7" i="1"/>
  <c r="CH7" i="1"/>
  <c r="CI7" i="1"/>
  <c r="CJ7" i="1"/>
  <c r="CK7" i="1"/>
  <c r="CL7" i="1"/>
  <c r="CM7" i="1"/>
  <c r="CN7" i="1"/>
  <c r="CO7" i="1"/>
  <c r="CP7" i="1"/>
  <c r="CQ7" i="1"/>
  <c r="CR7" i="1"/>
  <c r="CS7" i="1"/>
  <c r="CT7" i="1"/>
  <c r="CU7" i="1"/>
  <c r="CV7" i="1"/>
  <c r="CW7" i="1"/>
  <c r="CX7" i="1"/>
  <c r="CY7" i="1"/>
  <c r="CZ7" i="1"/>
  <c r="DA7" i="1"/>
  <c r="DB7" i="1"/>
  <c r="B8" i="1"/>
  <c r="C8" i="1"/>
  <c r="D8" i="1"/>
  <c r="E8" i="1"/>
  <c r="F8" i="1"/>
  <c r="G8" i="1"/>
  <c r="H8" i="1"/>
  <c r="I8" i="1"/>
  <c r="J8" i="1"/>
  <c r="K8" i="1"/>
  <c r="L8" i="1"/>
  <c r="M8" i="1"/>
  <c r="N8" i="1"/>
  <c r="O8" i="1"/>
  <c r="P8" i="1"/>
  <c r="Q8" i="1"/>
  <c r="R8" i="1"/>
  <c r="S8" i="1"/>
  <c r="T8" i="1"/>
  <c r="U8" i="1"/>
  <c r="V8" i="1"/>
  <c r="W8" i="1"/>
  <c r="X8" i="1"/>
  <c r="Y8" i="1"/>
  <c r="Z8" i="1"/>
  <c r="AA8" i="1"/>
  <c r="AB8" i="1"/>
  <c r="AC8" i="1"/>
  <c r="AD8" i="1"/>
  <c r="AE8" i="1"/>
  <c r="AF8" i="1"/>
  <c r="AG8" i="1"/>
  <c r="AH8" i="1"/>
  <c r="AI8" i="1"/>
  <c r="AJ8" i="1"/>
  <c r="AK8" i="1"/>
  <c r="AL8" i="1"/>
  <c r="AM8" i="1"/>
  <c r="AN8" i="1"/>
  <c r="AO8" i="1"/>
  <c r="AP8" i="1"/>
  <c r="AQ8" i="1"/>
  <c r="AR8" i="1"/>
  <c r="AS8" i="1"/>
  <c r="AT8" i="1"/>
  <c r="AU8" i="1"/>
  <c r="AV8" i="1"/>
  <c r="AW8" i="1"/>
  <c r="AX8" i="1"/>
  <c r="AY8" i="1"/>
  <c r="AZ8" i="1"/>
  <c r="BA8" i="1"/>
  <c r="BB8" i="1"/>
  <c r="BC8" i="1"/>
  <c r="BD8" i="1"/>
  <c r="BE8" i="1"/>
  <c r="BF8" i="1"/>
  <c r="BG8" i="1"/>
  <c r="BH8" i="1"/>
  <c r="BI8" i="1"/>
  <c r="BJ8" i="1"/>
  <c r="BK8" i="1"/>
  <c r="BL8" i="1"/>
  <c r="BM8" i="1"/>
  <c r="BN8" i="1"/>
  <c r="BO8" i="1"/>
  <c r="BP8" i="1"/>
  <c r="BQ8" i="1"/>
  <c r="BR8" i="1"/>
  <c r="BS8" i="1"/>
  <c r="BT8" i="1"/>
  <c r="BU8" i="1"/>
  <c r="BV8" i="1"/>
  <c r="BW8" i="1"/>
  <c r="BX8" i="1"/>
  <c r="BY8" i="1"/>
  <c r="BZ8" i="1"/>
  <c r="CA8" i="1"/>
  <c r="CB8" i="1"/>
  <c r="CC8" i="1"/>
  <c r="CD8" i="1"/>
  <c r="CE8" i="1"/>
  <c r="CF8" i="1"/>
  <c r="CG8" i="1"/>
  <c r="CH8" i="1"/>
  <c r="CI8" i="1"/>
  <c r="CJ8" i="1"/>
  <c r="CK8" i="1"/>
  <c r="CL8" i="1"/>
  <c r="CM8" i="1"/>
  <c r="CN8" i="1"/>
  <c r="CO8" i="1"/>
  <c r="CP8" i="1"/>
  <c r="CQ8" i="1"/>
  <c r="CR8" i="1"/>
  <c r="CS8" i="1"/>
  <c r="CT8" i="1"/>
  <c r="CU8" i="1"/>
  <c r="CV8" i="1"/>
  <c r="CW8" i="1"/>
  <c r="CX8" i="1"/>
  <c r="CY8" i="1"/>
  <c r="CZ8" i="1"/>
  <c r="DA8" i="1"/>
  <c r="DB8" i="1"/>
  <c r="B9" i="1"/>
  <c r="C9" i="1"/>
  <c r="D9" i="1"/>
  <c r="E9" i="1"/>
  <c r="F9" i="1"/>
  <c r="G9" i="1"/>
  <c r="H9" i="1"/>
  <c r="I9" i="1"/>
  <c r="J9" i="1"/>
  <c r="K9" i="1"/>
  <c r="L9" i="1"/>
  <c r="M9" i="1"/>
  <c r="N9" i="1"/>
  <c r="O9" i="1"/>
  <c r="P9" i="1"/>
  <c r="Q9" i="1"/>
  <c r="R9" i="1"/>
  <c r="S9" i="1"/>
  <c r="T9" i="1"/>
  <c r="U9" i="1"/>
  <c r="V9" i="1"/>
  <c r="W9" i="1"/>
  <c r="X9" i="1"/>
  <c r="Y9" i="1"/>
  <c r="Z9" i="1"/>
  <c r="AA9" i="1"/>
  <c r="AB9" i="1"/>
  <c r="AC9" i="1"/>
  <c r="AD9" i="1"/>
  <c r="AE9" i="1"/>
  <c r="AF9" i="1"/>
  <c r="AG9" i="1"/>
  <c r="AH9" i="1"/>
  <c r="AI9" i="1"/>
  <c r="AJ9" i="1"/>
  <c r="AK9" i="1"/>
  <c r="AL9" i="1"/>
  <c r="AM9" i="1"/>
  <c r="AN9" i="1"/>
  <c r="AO9" i="1"/>
  <c r="AP9" i="1"/>
  <c r="AQ9" i="1"/>
  <c r="AR9" i="1"/>
  <c r="AS9" i="1"/>
  <c r="AT9" i="1"/>
  <c r="AU9" i="1"/>
  <c r="AV9" i="1"/>
  <c r="AW9" i="1"/>
  <c r="AX9" i="1"/>
  <c r="AY9" i="1"/>
  <c r="AZ9" i="1"/>
  <c r="BA9" i="1"/>
  <c r="BB9" i="1"/>
  <c r="BC9" i="1"/>
  <c r="BD9" i="1"/>
  <c r="BE9" i="1"/>
  <c r="BF9" i="1"/>
  <c r="BG9" i="1"/>
  <c r="BH9" i="1"/>
  <c r="BI9" i="1"/>
  <c r="BJ9" i="1"/>
  <c r="BK9" i="1"/>
  <c r="BL9" i="1"/>
  <c r="BM9" i="1"/>
  <c r="BN9" i="1"/>
  <c r="BO9" i="1"/>
  <c r="BP9" i="1"/>
  <c r="BQ9" i="1"/>
  <c r="BR9" i="1"/>
  <c r="BS9" i="1"/>
  <c r="BT9" i="1"/>
  <c r="BU9" i="1"/>
  <c r="BV9" i="1"/>
  <c r="BW9" i="1"/>
  <c r="BX9" i="1"/>
  <c r="BY9" i="1"/>
  <c r="BZ9" i="1"/>
  <c r="CA9" i="1"/>
  <c r="CB9" i="1"/>
  <c r="CC9" i="1"/>
  <c r="CD9" i="1"/>
  <c r="CE9" i="1"/>
  <c r="CF9" i="1"/>
  <c r="CG9" i="1"/>
  <c r="CH9" i="1"/>
  <c r="CI9" i="1"/>
  <c r="CJ9" i="1"/>
  <c r="CK9" i="1"/>
  <c r="CL9" i="1"/>
  <c r="CM9" i="1"/>
  <c r="CN9" i="1"/>
  <c r="CO9" i="1"/>
  <c r="CP9" i="1"/>
  <c r="CQ9" i="1"/>
  <c r="CR9" i="1"/>
  <c r="CS9" i="1"/>
  <c r="CT9" i="1"/>
  <c r="CU9" i="1"/>
  <c r="CV9" i="1"/>
  <c r="CW9" i="1"/>
  <c r="CX9" i="1"/>
  <c r="CY9" i="1"/>
  <c r="CZ9" i="1"/>
  <c r="DA9" i="1"/>
  <c r="DB9" i="1"/>
  <c r="B10" i="1"/>
  <c r="C10" i="1"/>
  <c r="D10" i="1"/>
  <c r="E10" i="1"/>
  <c r="F10" i="1"/>
  <c r="G10" i="1"/>
  <c r="H10" i="1"/>
  <c r="I10" i="1"/>
  <c r="J10" i="1"/>
  <c r="K10" i="1"/>
  <c r="L10" i="1"/>
  <c r="M10" i="1"/>
  <c r="N10" i="1"/>
  <c r="O10" i="1"/>
  <c r="P10" i="1"/>
  <c r="Q10" i="1"/>
  <c r="R10" i="1"/>
  <c r="S10" i="1"/>
  <c r="T10" i="1"/>
  <c r="U10" i="1"/>
  <c r="V10" i="1"/>
  <c r="W10" i="1"/>
  <c r="X10" i="1"/>
  <c r="Y10" i="1"/>
  <c r="Z10" i="1"/>
  <c r="AA10" i="1"/>
  <c r="AB10" i="1"/>
  <c r="AC10" i="1"/>
  <c r="AD10" i="1"/>
  <c r="AE10" i="1"/>
  <c r="AF10" i="1"/>
  <c r="AG10" i="1"/>
  <c r="AH10" i="1"/>
  <c r="AI10" i="1"/>
  <c r="AJ10" i="1"/>
  <c r="AK10" i="1"/>
  <c r="AL10" i="1"/>
  <c r="AM10" i="1"/>
  <c r="AN10" i="1"/>
  <c r="AO10" i="1"/>
  <c r="AP10" i="1"/>
  <c r="AQ10" i="1"/>
  <c r="AR10" i="1"/>
  <c r="AS10" i="1"/>
  <c r="AT10" i="1"/>
  <c r="AU10" i="1"/>
  <c r="AV10" i="1"/>
  <c r="AW10" i="1"/>
  <c r="AX10" i="1"/>
  <c r="AY10" i="1"/>
  <c r="AZ10" i="1"/>
  <c r="BA10" i="1"/>
  <c r="BB10" i="1"/>
  <c r="BC10" i="1"/>
  <c r="BD10" i="1"/>
  <c r="BE10" i="1"/>
  <c r="BF10" i="1"/>
  <c r="BG10" i="1"/>
  <c r="BH10" i="1"/>
  <c r="BI10" i="1"/>
  <c r="BJ10" i="1"/>
  <c r="BK10" i="1"/>
  <c r="BL10" i="1"/>
  <c r="BM10" i="1"/>
  <c r="BN10" i="1"/>
  <c r="BO10" i="1"/>
  <c r="BP10" i="1"/>
  <c r="BQ10" i="1"/>
  <c r="BR10" i="1"/>
  <c r="BS10" i="1"/>
  <c r="BT10" i="1"/>
  <c r="BU10" i="1"/>
  <c r="BV10" i="1"/>
  <c r="BW10" i="1"/>
  <c r="BX10" i="1"/>
  <c r="BY10" i="1"/>
  <c r="BZ10" i="1"/>
  <c r="CA10" i="1"/>
  <c r="CB10" i="1"/>
  <c r="CC10" i="1"/>
  <c r="CD10" i="1"/>
  <c r="CE10" i="1"/>
  <c r="CF10" i="1"/>
  <c r="CG10" i="1"/>
  <c r="CH10" i="1"/>
  <c r="CI10" i="1"/>
  <c r="CJ10" i="1"/>
  <c r="CK10" i="1"/>
  <c r="CL10" i="1"/>
  <c r="CM10" i="1"/>
  <c r="CN10" i="1"/>
  <c r="CO10" i="1"/>
  <c r="CP10" i="1"/>
  <c r="CQ10" i="1"/>
  <c r="CR10" i="1"/>
  <c r="CS10" i="1"/>
  <c r="CT10" i="1"/>
  <c r="CU10" i="1"/>
  <c r="CV10" i="1"/>
  <c r="CW10" i="1"/>
  <c r="CX10" i="1"/>
  <c r="CY10" i="1"/>
  <c r="CZ10" i="1"/>
  <c r="DA10" i="1"/>
  <c r="DB10" i="1"/>
  <c r="B11" i="1"/>
  <c r="C11" i="1"/>
  <c r="D11" i="1"/>
  <c r="E11" i="1"/>
  <c r="F11" i="1"/>
  <c r="G11" i="1"/>
  <c r="H11" i="1"/>
  <c r="I11" i="1"/>
  <c r="J11" i="1"/>
  <c r="K11" i="1"/>
  <c r="L11" i="1"/>
  <c r="M11" i="1"/>
  <c r="N11" i="1"/>
  <c r="O11" i="1"/>
  <c r="P11" i="1"/>
  <c r="Q11" i="1"/>
  <c r="R11" i="1"/>
  <c r="S11" i="1"/>
  <c r="T11" i="1"/>
  <c r="U11" i="1"/>
  <c r="V11" i="1"/>
  <c r="W11" i="1"/>
  <c r="X11" i="1"/>
  <c r="Y11" i="1"/>
  <c r="Z11" i="1"/>
  <c r="AA11" i="1"/>
  <c r="AB11" i="1"/>
  <c r="AC11" i="1"/>
  <c r="AD11" i="1"/>
  <c r="AE11" i="1"/>
  <c r="AF11" i="1"/>
  <c r="AG11" i="1"/>
  <c r="AH11" i="1"/>
  <c r="AI11" i="1"/>
  <c r="AJ11" i="1"/>
  <c r="AK11" i="1"/>
  <c r="AL11" i="1"/>
  <c r="AM11" i="1"/>
  <c r="AN11" i="1"/>
  <c r="AO11" i="1"/>
  <c r="AP11" i="1"/>
  <c r="AQ11" i="1"/>
  <c r="AR11" i="1"/>
  <c r="AS11" i="1"/>
  <c r="AT11" i="1"/>
  <c r="AU11" i="1"/>
  <c r="AV11" i="1"/>
  <c r="AW11" i="1"/>
  <c r="AX11" i="1"/>
  <c r="AY11" i="1"/>
  <c r="AZ11" i="1"/>
  <c r="BA11" i="1"/>
  <c r="BB11" i="1"/>
  <c r="BC11" i="1"/>
  <c r="BD11" i="1"/>
  <c r="BE11" i="1"/>
  <c r="BF11" i="1"/>
  <c r="BG11" i="1"/>
  <c r="BH11" i="1"/>
  <c r="BI11" i="1"/>
  <c r="BJ11" i="1"/>
  <c r="BK11" i="1"/>
  <c r="BL11" i="1"/>
  <c r="BM11" i="1"/>
  <c r="BN11" i="1"/>
  <c r="BO11" i="1"/>
  <c r="BP11" i="1"/>
  <c r="BQ11" i="1"/>
  <c r="BR11" i="1"/>
  <c r="BS11" i="1"/>
  <c r="BT11" i="1"/>
  <c r="BU11" i="1"/>
  <c r="BV11" i="1"/>
  <c r="BW11" i="1"/>
  <c r="BX11" i="1"/>
  <c r="BY11" i="1"/>
  <c r="BZ11" i="1"/>
  <c r="CA11" i="1"/>
  <c r="CB11" i="1"/>
  <c r="CC11" i="1"/>
  <c r="CD11" i="1"/>
  <c r="CE11" i="1"/>
  <c r="CF11" i="1"/>
  <c r="CG11" i="1"/>
  <c r="CH11" i="1"/>
  <c r="CI11" i="1"/>
  <c r="CJ11" i="1"/>
  <c r="CK11" i="1"/>
  <c r="CL11" i="1"/>
  <c r="CM11" i="1"/>
  <c r="CN11" i="1"/>
  <c r="CO11" i="1"/>
  <c r="CP11" i="1"/>
  <c r="CQ11" i="1"/>
  <c r="CR11" i="1"/>
  <c r="CS11" i="1"/>
  <c r="CT11" i="1"/>
  <c r="CU11" i="1"/>
  <c r="CV11" i="1"/>
  <c r="CW11" i="1"/>
  <c r="CX11" i="1"/>
  <c r="CY11" i="1"/>
  <c r="CZ11" i="1"/>
  <c r="DA11" i="1"/>
  <c r="DB11" i="1"/>
  <c r="B12" i="1"/>
  <c r="C12" i="1"/>
  <c r="D12" i="1"/>
  <c r="E12" i="1"/>
  <c r="F12" i="1"/>
  <c r="G12" i="1"/>
  <c r="H12" i="1"/>
  <c r="I12" i="1"/>
  <c r="J12" i="1"/>
  <c r="K12" i="1"/>
  <c r="L12" i="1"/>
  <c r="M12" i="1"/>
  <c r="N12" i="1"/>
  <c r="O12" i="1"/>
  <c r="P12" i="1"/>
  <c r="Q12" i="1"/>
  <c r="R12" i="1"/>
  <c r="S12" i="1"/>
  <c r="T12" i="1"/>
  <c r="U12" i="1"/>
  <c r="V12" i="1"/>
  <c r="W12" i="1"/>
  <c r="X12" i="1"/>
  <c r="Y12" i="1"/>
  <c r="Z12" i="1"/>
  <c r="AA12" i="1"/>
  <c r="AB12" i="1"/>
  <c r="AC12" i="1"/>
  <c r="AD12" i="1"/>
  <c r="AE12" i="1"/>
  <c r="AF12" i="1"/>
  <c r="AG12" i="1"/>
  <c r="AH12" i="1"/>
  <c r="AI12" i="1"/>
  <c r="AJ12" i="1"/>
  <c r="AK12" i="1"/>
  <c r="AL12" i="1"/>
  <c r="AM12" i="1"/>
  <c r="AN12" i="1"/>
  <c r="AO12" i="1"/>
  <c r="AP12" i="1"/>
  <c r="AQ12" i="1"/>
  <c r="AR12" i="1"/>
  <c r="AS12" i="1"/>
  <c r="AT12" i="1"/>
  <c r="AU12" i="1"/>
  <c r="AV12" i="1"/>
  <c r="AW12" i="1"/>
  <c r="AX12" i="1"/>
  <c r="AY12" i="1"/>
  <c r="AZ12" i="1"/>
  <c r="BA12" i="1"/>
  <c r="BB12" i="1"/>
  <c r="BC12" i="1"/>
  <c r="BD12" i="1"/>
  <c r="BE12" i="1"/>
  <c r="BF12" i="1"/>
  <c r="BG12" i="1"/>
  <c r="BH12" i="1"/>
  <c r="BI12" i="1"/>
  <c r="BJ12" i="1"/>
  <c r="BK12" i="1"/>
  <c r="BL12" i="1"/>
  <c r="BM12" i="1"/>
  <c r="BN12" i="1"/>
  <c r="BO12" i="1"/>
  <c r="BP12" i="1"/>
  <c r="BQ12" i="1"/>
  <c r="BR12" i="1"/>
  <c r="BS12" i="1"/>
  <c r="BT12" i="1"/>
  <c r="BU12" i="1"/>
  <c r="BV12" i="1"/>
  <c r="BW12" i="1"/>
  <c r="BX12" i="1"/>
  <c r="BY12" i="1"/>
  <c r="BZ12" i="1"/>
  <c r="CA12" i="1"/>
  <c r="CB12" i="1"/>
  <c r="CC12" i="1"/>
  <c r="CD12" i="1"/>
  <c r="CE12" i="1"/>
  <c r="CE101" i="2" s="1"/>
  <c r="CF12" i="1"/>
  <c r="CG12" i="1"/>
  <c r="CH12" i="1"/>
  <c r="CI12" i="1"/>
  <c r="CJ12" i="1"/>
  <c r="CK12" i="1"/>
  <c r="CL12" i="1"/>
  <c r="CM12" i="1"/>
  <c r="CN12" i="1"/>
  <c r="CO12" i="1"/>
  <c r="CP12" i="1"/>
  <c r="CQ12" i="1"/>
  <c r="CR12" i="1"/>
  <c r="CS12" i="1"/>
  <c r="CT12" i="1"/>
  <c r="CU12" i="1"/>
  <c r="CV12" i="1"/>
  <c r="CW12" i="1"/>
  <c r="CX12" i="1"/>
  <c r="CY12" i="1"/>
  <c r="CZ12" i="1"/>
  <c r="DA12" i="1"/>
  <c r="DB12" i="1"/>
  <c r="S51" i="9"/>
  <c r="S50" i="9"/>
  <c r="S47" i="9"/>
  <c r="S46" i="9"/>
  <c r="S44" i="9"/>
  <c r="S43" i="9"/>
  <c r="S41" i="9"/>
  <c r="S40" i="9"/>
  <c r="S39" i="9"/>
  <c r="S38" i="9"/>
  <c r="S37" i="9"/>
  <c r="S36" i="9"/>
  <c r="S35" i="9"/>
  <c r="S34" i="9"/>
  <c r="S33" i="9"/>
  <c r="P51" i="9"/>
  <c r="M51" i="9"/>
  <c r="P50" i="9"/>
  <c r="M50" i="9"/>
  <c r="P47" i="9"/>
  <c r="M47" i="9"/>
  <c r="P46" i="9"/>
  <c r="M46" i="9"/>
  <c r="P44" i="9"/>
  <c r="M44" i="9"/>
  <c r="P43" i="9"/>
  <c r="M43" i="9"/>
  <c r="P41" i="9"/>
  <c r="M41" i="9"/>
  <c r="P40" i="9"/>
  <c r="M40" i="9"/>
  <c r="P39" i="9"/>
  <c r="M39" i="9"/>
  <c r="P38" i="9"/>
  <c r="M38" i="9"/>
  <c r="P37" i="9"/>
  <c r="M37" i="9"/>
  <c r="P36" i="9"/>
  <c r="M36" i="9"/>
  <c r="P35" i="9"/>
  <c r="M35" i="9"/>
  <c r="P34" i="9"/>
  <c r="M34" i="9"/>
  <c r="P33" i="9"/>
  <c r="M33" i="9"/>
  <c r="CE45" i="2" l="1"/>
  <c r="CE44" i="2"/>
  <c r="I63" i="9"/>
  <c r="O19" i="9"/>
  <c r="O8" i="9"/>
  <c r="O7" i="9"/>
  <c r="O6" i="9"/>
  <c r="O5" i="9"/>
  <c r="M19" i="9"/>
  <c r="M8" i="9"/>
  <c r="M7" i="9"/>
  <c r="M6" i="9"/>
  <c r="M5" i="9"/>
  <c r="N27" i="9"/>
  <c r="N26" i="9"/>
  <c r="N25" i="9"/>
  <c r="N24" i="9"/>
  <c r="N23" i="9"/>
  <c r="N22" i="9"/>
  <c r="N21" i="9"/>
  <c r="N20" i="9"/>
  <c r="N19" i="9"/>
  <c r="N18" i="9"/>
  <c r="N17" i="9"/>
  <c r="N16" i="9"/>
  <c r="N15" i="9"/>
  <c r="N14" i="9"/>
  <c r="N13" i="9"/>
  <c r="N12" i="9"/>
  <c r="N11" i="9"/>
  <c r="N10" i="9"/>
  <c r="N9" i="9"/>
  <c r="N8" i="9"/>
  <c r="N7" i="9"/>
  <c r="N6" i="9"/>
  <c r="N5" i="9"/>
  <c r="L24" i="9"/>
  <c r="L23" i="9"/>
  <c r="L22" i="9"/>
  <c r="L21" i="9"/>
  <c r="L20" i="9"/>
  <c r="L19" i="9"/>
  <c r="L18" i="9"/>
  <c r="L17" i="9"/>
  <c r="L16" i="9"/>
  <c r="L15" i="9"/>
  <c r="L14" i="9"/>
  <c r="L13" i="9"/>
  <c r="L12" i="9"/>
  <c r="L11" i="9"/>
  <c r="L10" i="9"/>
  <c r="L9" i="9"/>
  <c r="L8" i="9"/>
  <c r="L7" i="9"/>
  <c r="L6" i="9"/>
  <c r="L5" i="9"/>
  <c r="I19" i="9"/>
  <c r="I15" i="9"/>
  <c r="M15" i="9" s="1"/>
  <c r="I12" i="9"/>
  <c r="M12" i="9" s="1"/>
  <c r="I8" i="9"/>
  <c r="I7" i="9"/>
  <c r="I6" i="9"/>
  <c r="I5" i="9"/>
  <c r="CF21" i="2"/>
  <c r="CG21" i="2"/>
  <c r="CG16" i="4"/>
  <c r="O15" i="9" l="1"/>
  <c r="O12" i="9"/>
  <c r="CE49" i="4" l="1"/>
  <c r="CE28" i="4"/>
  <c r="CE29" i="4" s="1"/>
  <c r="CE25" i="4"/>
  <c r="CE26" i="4" s="1"/>
  <c r="CE15" i="4"/>
  <c r="CE17" i="4"/>
  <c r="CE13" i="4"/>
  <c r="CE11" i="4"/>
  <c r="CE8" i="4"/>
  <c r="CE6" i="4"/>
  <c r="CM124" i="2"/>
  <c r="CM125" i="2" s="1"/>
  <c r="CH125" i="2"/>
  <c r="CD49" i="4"/>
  <c r="CD41" i="4"/>
  <c r="CD42" i="4" s="1"/>
  <c r="CD39" i="4"/>
  <c r="CD35" i="4"/>
  <c r="CD36" i="4" s="1"/>
  <c r="CD34" i="4"/>
  <c r="CD33" i="4"/>
  <c r="CD32" i="4"/>
  <c r="CD29" i="4"/>
  <c r="CD28" i="4"/>
  <c r="CD26" i="4"/>
  <c r="CD25" i="4"/>
  <c r="CD151" i="3"/>
  <c r="CD150" i="3"/>
  <c r="CD149" i="3"/>
  <c r="CD139" i="3"/>
  <c r="CD138" i="3"/>
  <c r="CD136" i="3"/>
  <c r="CD134" i="3"/>
  <c r="CD146" i="3" s="1"/>
  <c r="CD147" i="3" s="1"/>
  <c r="CD129" i="3"/>
  <c r="CD128" i="3"/>
  <c r="CD127" i="3"/>
  <c r="CD126" i="3"/>
  <c r="CD125" i="3"/>
  <c r="CD124" i="3"/>
  <c r="CD123" i="3"/>
  <c r="CD122" i="3"/>
  <c r="CD121" i="3"/>
  <c r="CD120" i="3"/>
  <c r="CD119" i="3"/>
  <c r="CD118" i="3"/>
  <c r="CD117" i="3"/>
  <c r="CD116" i="3"/>
  <c r="CD115" i="3"/>
  <c r="CD114" i="3"/>
  <c r="CD113" i="3"/>
  <c r="CD112" i="3"/>
  <c r="CD111" i="3"/>
  <c r="CD110" i="3"/>
  <c r="CD109" i="3"/>
  <c r="CD108" i="3"/>
  <c r="CD107" i="3"/>
  <c r="CD106" i="3"/>
  <c r="CD105" i="3"/>
  <c r="CD104" i="3"/>
  <c r="CD103" i="3"/>
  <c r="CD102" i="3"/>
  <c r="CD101" i="3"/>
  <c r="CD100" i="3"/>
  <c r="CD99" i="3"/>
  <c r="CD98" i="3"/>
  <c r="CD97" i="3"/>
  <c r="CD96" i="3"/>
  <c r="CD95" i="3"/>
  <c r="CD94" i="3"/>
  <c r="CD93" i="3"/>
  <c r="CD87" i="3"/>
  <c r="CD83" i="3"/>
  <c r="CD82" i="3"/>
  <c r="CD81" i="3"/>
  <c r="CD80" i="3"/>
  <c r="CD79" i="3"/>
  <c r="CD78" i="3"/>
  <c r="CD77" i="3"/>
  <c r="CD71" i="3"/>
  <c r="CD75" i="3" s="1"/>
  <c r="CD59" i="3"/>
  <c r="CD60" i="3" s="1"/>
  <c r="CD61" i="3" s="1"/>
  <c r="CD63" i="3" s="1"/>
  <c r="CD58" i="3"/>
  <c r="CD56" i="3"/>
  <c r="CD57" i="3" s="1"/>
  <c r="CD54" i="3"/>
  <c r="CD55" i="3" s="1"/>
  <c r="CD52" i="3"/>
  <c r="CD53" i="3" s="1"/>
  <c r="CD51" i="3"/>
  <c r="CD47" i="3"/>
  <c r="CD44" i="3"/>
  <c r="CD41" i="3"/>
  <c r="CD38" i="3"/>
  <c r="CB38" i="3"/>
  <c r="CB40" i="3"/>
  <c r="CD40" i="3"/>
  <c r="CD36" i="3"/>
  <c r="CD35" i="3"/>
  <c r="CD29" i="3"/>
  <c r="CD43" i="3"/>
  <c r="CD65" i="3" s="1"/>
  <c r="CD132" i="3" s="1"/>
  <c r="CD133" i="3" s="1"/>
  <c r="CD30" i="3"/>
  <c r="CD28" i="3"/>
  <c r="CD27" i="3" s="1"/>
  <c r="CD13" i="3"/>
  <c r="CB13" i="3"/>
  <c r="CD19" i="3"/>
  <c r="CD14" i="3"/>
  <c r="CD10" i="3"/>
  <c r="CD6" i="3"/>
  <c r="CD20" i="3"/>
  <c r="CD12" i="3"/>
  <c r="CD5" i="3" s="1"/>
  <c r="CD4" i="3" s="1"/>
  <c r="CD8" i="3"/>
  <c r="CD111" i="2"/>
  <c r="CD109" i="2"/>
  <c r="CD110" i="2" s="1"/>
  <c r="CD102" i="2"/>
  <c r="CD101" i="2"/>
  <c r="CD100" i="2"/>
  <c r="CD98" i="2"/>
  <c r="CD95" i="2"/>
  <c r="CD90" i="2"/>
  <c r="CD88" i="2"/>
  <c r="CD85" i="2"/>
  <c r="CD80" i="2"/>
  <c r="CD79" i="2"/>
  <c r="CD78" i="2"/>
  <c r="CD74" i="2"/>
  <c r="CD83" i="2" s="1"/>
  <c r="CD91" i="2" s="1"/>
  <c r="CD73" i="2"/>
  <c r="CD72" i="2"/>
  <c r="CD71" i="2"/>
  <c r="CD70" i="2"/>
  <c r="CD69" i="2"/>
  <c r="CD68" i="2"/>
  <c r="CD67" i="2"/>
  <c r="CD66" i="2"/>
  <c r="CD64" i="2"/>
  <c r="CD62" i="2"/>
  <c r="CD61" i="2"/>
  <c r="CD63" i="2" s="1"/>
  <c r="CD60" i="2"/>
  <c r="CD59" i="2"/>
  <c r="CD48" i="2"/>
  <c r="CD50" i="2" s="1"/>
  <c r="CD53" i="2"/>
  <c r="CD51" i="2"/>
  <c r="CD21" i="2"/>
  <c r="CD11" i="2"/>
  <c r="CD12" i="2" s="1"/>
  <c r="CD113" i="2" s="1"/>
  <c r="CD114" i="2" s="1"/>
  <c r="CD5" i="2"/>
  <c r="CD41" i="2"/>
  <c r="CD30" i="2"/>
  <c r="CD29" i="2"/>
  <c r="CD23" i="2"/>
  <c r="CD17" i="2" s="1"/>
  <c r="CD22" i="2"/>
  <c r="CD20" i="2"/>
  <c r="CD19" i="2"/>
  <c r="CD15" i="2"/>
  <c r="CD9" i="2"/>
  <c r="CD8" i="2"/>
  <c r="CD4" i="2"/>
  <c r="I62" i="9"/>
  <c r="L25" i="9" l="1"/>
  <c r="CD135" i="3"/>
  <c r="CD140" i="3"/>
  <c r="CD115" i="2"/>
  <c r="CD117" i="2" s="1"/>
  <c r="CE21" i="4"/>
  <c r="CE20" i="4"/>
  <c r="CE18" i="4"/>
  <c r="CE14" i="4"/>
  <c r="CE16" i="4"/>
  <c r="CD37" i="4"/>
  <c r="CD38" i="4" s="1"/>
  <c r="CD112" i="2"/>
  <c r="CD68" i="3"/>
  <c r="CD66" i="3"/>
  <c r="CD64" i="3"/>
  <c r="CD67" i="3" s="1"/>
  <c r="CD26" i="3"/>
  <c r="CD48" i="3" s="1"/>
  <c r="CD116" i="2"/>
  <c r="CD118" i="2" s="1"/>
  <c r="CD65" i="2"/>
  <c r="CD82" i="2"/>
  <c r="CD52" i="2"/>
  <c r="CD86" i="2"/>
  <c r="CD77" i="2"/>
  <c r="CD87" i="2" s="1"/>
  <c r="CD10" i="2"/>
  <c r="CD16" i="2" s="1"/>
  <c r="CD35" i="2" s="1"/>
  <c r="CD37" i="2" s="1"/>
  <c r="CD42" i="2" s="1"/>
  <c r="CD45" i="2" s="1"/>
  <c r="L26" i="9" l="1"/>
  <c r="CD89" i="2"/>
  <c r="CD81" i="2"/>
  <c r="CD44" i="2"/>
  <c r="CC5" i="4" l="1"/>
  <c r="CB32" i="4"/>
  <c r="CD15" i="4"/>
  <c r="CD16" i="4" s="1"/>
  <c r="CD12" i="4"/>
  <c r="CD13" i="4" s="1"/>
  <c r="CD11" i="4"/>
  <c r="CD8" i="4"/>
  <c r="CD6" i="4"/>
  <c r="CD17" i="4" l="1"/>
  <c r="CD21" i="4" s="1"/>
  <c r="CD14" i="4"/>
  <c r="CD20" i="4"/>
  <c r="CB30" i="3" l="1"/>
  <c r="CB29" i="3" s="1"/>
  <c r="CB28" i="3" s="1"/>
  <c r="CA30" i="3"/>
  <c r="CB150" i="3"/>
  <c r="CB149" i="3"/>
  <c r="CB128" i="3"/>
  <c r="CB126" i="3"/>
  <c r="CB124" i="3"/>
  <c r="CB120" i="3"/>
  <c r="CB117" i="3"/>
  <c r="CB115" i="3"/>
  <c r="CB114" i="3"/>
  <c r="CB109" i="3"/>
  <c r="CB110" i="3" s="1"/>
  <c r="CB105" i="3"/>
  <c r="CB106" i="3" s="1"/>
  <c r="CB97" i="3"/>
  <c r="CB73" i="3"/>
  <c r="CB47" i="3"/>
  <c r="CB44" i="3"/>
  <c r="CB43" i="3" s="1"/>
  <c r="CB41" i="3"/>
  <c r="CB36" i="3"/>
  <c r="CB111" i="3" s="1"/>
  <c r="CB19" i="3"/>
  <c r="CB14" i="3"/>
  <c r="CB12" i="3" s="1"/>
  <c r="CB101" i="3" s="1"/>
  <c r="CB10" i="3"/>
  <c r="CB99" i="3" s="1"/>
  <c r="CB6" i="3"/>
  <c r="CB20" i="3"/>
  <c r="CB109" i="2"/>
  <c r="CB110" i="2" s="1"/>
  <c r="CB100" i="2"/>
  <c r="CB72" i="2"/>
  <c r="CB69" i="2"/>
  <c r="CB67" i="2"/>
  <c r="CB48" i="2"/>
  <c r="CB43" i="2"/>
  <c r="CB40" i="2"/>
  <c r="CB38" i="2"/>
  <c r="CB34" i="2"/>
  <c r="CB32" i="2"/>
  <c r="CB64" i="2" s="1"/>
  <c r="CB121" i="3" s="1"/>
  <c r="CB123" i="3" s="1"/>
  <c r="CB26" i="2"/>
  <c r="CB95" i="2" s="1"/>
  <c r="CB98" i="2" s="1"/>
  <c r="CB24" i="2"/>
  <c r="CB18" i="2"/>
  <c r="CB14" i="2"/>
  <c r="CB13" i="2"/>
  <c r="CB68" i="2" s="1"/>
  <c r="CB7" i="2"/>
  <c r="CB6" i="2"/>
  <c r="CB41" i="4" s="1"/>
  <c r="CB29" i="2"/>
  <c r="CB112" i="3" l="1"/>
  <c r="CB113" i="3" s="1"/>
  <c r="CB8" i="3"/>
  <c r="CB93" i="3" s="1"/>
  <c r="CB66" i="2"/>
  <c r="CB107" i="3"/>
  <c r="CB71" i="2"/>
  <c r="CB80" i="2"/>
  <c r="CB27" i="3"/>
  <c r="CB125" i="3"/>
  <c r="CB127" i="3"/>
  <c r="CB129" i="3"/>
  <c r="CB116" i="3"/>
  <c r="CB26" i="3"/>
  <c r="CB102" i="2"/>
  <c r="CB23" i="2"/>
  <c r="CB15" i="2"/>
  <c r="K6" i="9"/>
  <c r="K5" i="9"/>
  <c r="CB55" i="2"/>
  <c r="CB5" i="3" l="1"/>
  <c r="CB4" i="3" s="1"/>
  <c r="K8" i="9"/>
  <c r="K7" i="9"/>
  <c r="CB48" i="3"/>
  <c r="CB15" i="4"/>
  <c r="CB28" i="4" l="1"/>
  <c r="CB29" i="4" s="1"/>
  <c r="CB25" i="4"/>
  <c r="CB17" i="4"/>
  <c r="CB20" i="2" s="1"/>
  <c r="CB13" i="4"/>
  <c r="CB11" i="4"/>
  <c r="CB8" i="4"/>
  <c r="CB6" i="4"/>
  <c r="P14" i="12"/>
  <c r="O14" i="12"/>
  <c r="N14" i="12"/>
  <c r="M14" i="12"/>
  <c r="M2" i="12"/>
  <c r="CB26" i="4" l="1"/>
  <c r="CB108" i="3"/>
  <c r="CB21" i="4"/>
  <c r="CB20" i="4"/>
  <c r="CB18" i="4"/>
  <c r="CB16" i="4"/>
  <c r="CB14" i="4"/>
  <c r="CB33" i="4" s="1"/>
  <c r="B51" i="6"/>
  <c r="BV124" i="2" l="1"/>
  <c r="CA41" i="4" l="1"/>
  <c r="CA32" i="4"/>
  <c r="CB39" i="4" s="1"/>
  <c r="CA150" i="3"/>
  <c r="CA100" i="2"/>
  <c r="CA29" i="2"/>
  <c r="CA28" i="4"/>
  <c r="CA29" i="4" s="1"/>
  <c r="CA25" i="4"/>
  <c r="CA15" i="4"/>
  <c r="CA17" i="4" s="1"/>
  <c r="CA12" i="4"/>
  <c r="CA13" i="4" s="1"/>
  <c r="CA11" i="4"/>
  <c r="CA8" i="4"/>
  <c r="CA6" i="4"/>
  <c r="CA149" i="3"/>
  <c r="CA128" i="3"/>
  <c r="CA126" i="3"/>
  <c r="CA124" i="3"/>
  <c r="CA120" i="3"/>
  <c r="CB122" i="3" s="1"/>
  <c r="CA117" i="3"/>
  <c r="CA114" i="3"/>
  <c r="CA109" i="3"/>
  <c r="CA110" i="3" s="1"/>
  <c r="CA97" i="3"/>
  <c r="CA59" i="3"/>
  <c r="CA58" i="3"/>
  <c r="CA54" i="3"/>
  <c r="CA44" i="3"/>
  <c r="CA43" i="3" s="1"/>
  <c r="BV128" i="2" s="1"/>
  <c r="CA41" i="3"/>
  <c r="CA40" i="3"/>
  <c r="CA38" i="3"/>
  <c r="CA36" i="3"/>
  <c r="CA29" i="3"/>
  <c r="CA52" i="3" s="1"/>
  <c r="CA20" i="3"/>
  <c r="O23" i="12" s="1"/>
  <c r="CA19" i="3"/>
  <c r="CA13" i="3"/>
  <c r="CA14" i="3" s="1"/>
  <c r="CA107" i="3" s="1"/>
  <c r="CA10" i="3"/>
  <c r="CA99" i="3" s="1"/>
  <c r="CA6" i="3"/>
  <c r="O25" i="12" s="1"/>
  <c r="CA109" i="2"/>
  <c r="CA110" i="2" s="1"/>
  <c r="CA95" i="2"/>
  <c r="CA102" i="2" s="1"/>
  <c r="CA80" i="2"/>
  <c r="CA72" i="2"/>
  <c r="O20" i="12" s="1"/>
  <c r="CA71" i="2"/>
  <c r="CA69" i="2"/>
  <c r="CA68" i="2"/>
  <c r="CA67" i="2"/>
  <c r="CA66" i="2"/>
  <c r="CA64" i="2"/>
  <c r="CA78" i="3" s="1"/>
  <c r="CA48" i="2"/>
  <c r="CA30" i="2"/>
  <c r="CA23" i="2"/>
  <c r="CA21" i="2"/>
  <c r="CK21" i="2" s="1"/>
  <c r="CA15" i="2"/>
  <c r="CA11" i="2"/>
  <c r="CA60" i="2" s="1"/>
  <c r="CA10" i="2"/>
  <c r="CA5" i="2"/>
  <c r="CA4" i="2" s="1"/>
  <c r="CB50" i="2" l="1"/>
  <c r="CB53" i="2"/>
  <c r="CB111" i="2"/>
  <c r="CA28" i="3"/>
  <c r="CA17" i="2"/>
  <c r="CA21" i="4"/>
  <c r="CA20" i="4"/>
  <c r="CA16" i="4"/>
  <c r="CA14" i="4"/>
  <c r="CA33" i="4" s="1"/>
  <c r="CA112" i="3"/>
  <c r="CA111" i="3"/>
  <c r="BV125" i="2"/>
  <c r="CA121" i="3"/>
  <c r="CA53" i="3"/>
  <c r="CA105" i="3"/>
  <c r="CA106" i="3" s="1"/>
  <c r="CA56" i="3"/>
  <c r="BV126" i="2"/>
  <c r="CA62" i="2"/>
  <c r="CA8" i="3"/>
  <c r="CA93" i="3" s="1"/>
  <c r="CB96" i="3" s="1"/>
  <c r="CA35" i="4"/>
  <c r="CA18" i="4"/>
  <c r="CA20" i="2"/>
  <c r="CA26" i="4"/>
  <c r="CA108" i="3" s="1"/>
  <c r="CA65" i="3"/>
  <c r="O16" i="12" s="1"/>
  <c r="CA134" i="3"/>
  <c r="CA135" i="3" s="1"/>
  <c r="CA8" i="2"/>
  <c r="CA9" i="2"/>
  <c r="CA12" i="3"/>
  <c r="CA79" i="2"/>
  <c r="CA12" i="2"/>
  <c r="CA98" i="2"/>
  <c r="CA51" i="3"/>
  <c r="CA57" i="3" s="1"/>
  <c r="BV127" i="2" l="1"/>
  <c r="BV129" i="2" s="1"/>
  <c r="CA113" i="3"/>
  <c r="CB112" i="2"/>
  <c r="CA66" i="3"/>
  <c r="CA27" i="3"/>
  <c r="CA26" i="3" s="1"/>
  <c r="O26" i="12"/>
  <c r="CA123" i="3"/>
  <c r="CA42" i="4"/>
  <c r="CA146" i="3"/>
  <c r="CA147" i="3" s="1"/>
  <c r="CA132" i="3"/>
  <c r="CA5" i="3"/>
  <c r="CA101" i="3"/>
  <c r="CB104" i="3" s="1"/>
  <c r="CA64" i="3"/>
  <c r="CA22" i="2"/>
  <c r="CA59" i="2"/>
  <c r="O5" i="12" s="1"/>
  <c r="O6" i="12" s="1"/>
  <c r="CA41" i="2"/>
  <c r="CA19" i="2"/>
  <c r="CA16" i="2"/>
  <c r="O15" i="12" l="1"/>
  <c r="O22" i="12"/>
  <c r="CA4" i="3"/>
  <c r="O21" i="12" s="1"/>
  <c r="O24" i="12"/>
  <c r="CA139" i="3"/>
  <c r="CA78" i="2"/>
  <c r="CA35" i="2"/>
  <c r="CA67" i="3"/>
  <c r="CA140" i="3"/>
  <c r="CA61" i="2"/>
  <c r="CA37" i="2" l="1"/>
  <c r="CA70" i="2" s="1"/>
  <c r="O13" i="12" s="1"/>
  <c r="CA48" i="3"/>
  <c r="CA63" i="2"/>
  <c r="CA77" i="2"/>
  <c r="CA42" i="2" l="1"/>
  <c r="CA133" i="3"/>
  <c r="O9" i="12"/>
  <c r="O10" i="12" s="1"/>
  <c r="CA45" i="2"/>
  <c r="CA44" i="2"/>
  <c r="CA65" i="2"/>
  <c r="CA82" i="2"/>
  <c r="CA68" i="3" l="1"/>
  <c r="O7" i="12"/>
  <c r="O8" i="12" s="1"/>
  <c r="CA77" i="3"/>
  <c r="CA151" i="3"/>
  <c r="CA81" i="2"/>
  <c r="CA73" i="2"/>
  <c r="O11" i="12" s="1"/>
  <c r="CA56" i="2"/>
  <c r="CA74" i="2" l="1"/>
  <c r="O12" i="12" s="1"/>
  <c r="CA83" i="2" l="1"/>
  <c r="CA138" i="3" l="1"/>
  <c r="CK20" i="2" l="1"/>
  <c r="CL20" i="2" s="1"/>
  <c r="AK60" i="2" l="1"/>
  <c r="AK59" i="2"/>
  <c r="AM10" i="2" l="1"/>
  <c r="AL28" i="4"/>
  <c r="CY20" i="4"/>
  <c r="CZ20" i="4" s="1"/>
  <c r="DA20" i="4" s="1"/>
  <c r="CT20" i="4"/>
  <c r="CU20" i="4" s="1"/>
  <c r="CV20" i="4" s="1"/>
  <c r="CO20" i="4"/>
  <c r="CP20" i="4" s="1"/>
  <c r="CQ20" i="4" s="1"/>
  <c r="CJ20" i="4"/>
  <c r="CK20" i="4" s="1"/>
  <c r="CL20" i="4" s="1"/>
  <c r="CF20" i="4"/>
  <c r="CG20" i="4" s="1"/>
  <c r="DA25" i="2" l="1"/>
  <c r="CZ25" i="2"/>
  <c r="CY25" i="2"/>
  <c r="CX25" i="2"/>
  <c r="CV25" i="2"/>
  <c r="CU25" i="2"/>
  <c r="CT25" i="2"/>
  <c r="CS25" i="2"/>
  <c r="CQ25" i="2"/>
  <c r="CP25" i="2"/>
  <c r="CO25" i="2"/>
  <c r="CN25" i="2"/>
  <c r="CL25" i="2"/>
  <c r="CK25" i="2"/>
  <c r="CJ25" i="2"/>
  <c r="CI25" i="2"/>
  <c r="CG25" i="2"/>
  <c r="CF25" i="2"/>
  <c r="CB101" i="2"/>
  <c r="C21" i="6"/>
  <c r="D21" i="6" s="1"/>
  <c r="E21" i="6" s="1"/>
  <c r="F21" i="6" s="1"/>
  <c r="C36" i="6"/>
  <c r="CA101" i="2" l="1"/>
  <c r="CC4" i="4"/>
  <c r="CG4" i="4" s="1"/>
  <c r="CD46" i="4" s="1"/>
  <c r="B44" i="6"/>
  <c r="I33" i="9" l="1"/>
  <c r="K33" i="9" s="1"/>
  <c r="F20" i="6"/>
  <c r="B65" i="6"/>
  <c r="CB46" i="4" l="1"/>
  <c r="D36" i="6"/>
  <c r="C35" i="6"/>
  <c r="C41" i="6"/>
  <c r="D41" i="6" l="1"/>
  <c r="E36" i="6"/>
  <c r="D35" i="6"/>
  <c r="F36" i="6" l="1"/>
  <c r="E35" i="6"/>
  <c r="E41" i="6"/>
  <c r="AO28" i="4"/>
  <c r="G36" i="6" l="1"/>
  <c r="F35" i="6"/>
  <c r="F41" i="6"/>
  <c r="H36" i="6" l="1"/>
  <c r="G35" i="6"/>
  <c r="G41" i="6"/>
  <c r="I36" i="6" l="1"/>
  <c r="H35" i="6"/>
  <c r="H41" i="6"/>
  <c r="J36" i="6" l="1"/>
  <c r="I35" i="6"/>
  <c r="I41" i="6"/>
  <c r="BZ59" i="3"/>
  <c r="BZ58" i="3"/>
  <c r="BB49" i="2"/>
  <c r="AX72" i="3"/>
  <c r="AX74" i="3"/>
  <c r="BB74" i="3"/>
  <c r="BC74" i="3" s="1"/>
  <c r="BK73" i="3"/>
  <c r="BL73" i="3" s="1"/>
  <c r="BG72" i="3"/>
  <c r="BH72" i="3" s="1"/>
  <c r="BL72" i="3"/>
  <c r="BM72" i="3" s="1"/>
  <c r="BC72" i="3"/>
  <c r="BD72" i="3" s="1"/>
  <c r="BP72" i="3"/>
  <c r="BQ72" i="3" s="1"/>
  <c r="BU72" i="3"/>
  <c r="BV72" i="3" s="1"/>
  <c r="AT72" i="3"/>
  <c r="AO72" i="3"/>
  <c r="CA60" i="3" l="1"/>
  <c r="CA61" i="3" s="1"/>
  <c r="CA63" i="3" s="1"/>
  <c r="BN72" i="3"/>
  <c r="BR72" i="3"/>
  <c r="BS72" i="3" s="1"/>
  <c r="K36" i="6"/>
  <c r="J35" i="6"/>
  <c r="J41" i="6"/>
  <c r="AY72" i="3"/>
  <c r="BI72" i="3"/>
  <c r="BW72" i="3"/>
  <c r="BX72" i="3" s="1"/>
  <c r="L36" i="6" l="1"/>
  <c r="K35" i="6"/>
  <c r="K41" i="6"/>
  <c r="CO18" i="4"/>
  <c r="CP18" i="4" s="1"/>
  <c r="CQ18" i="4" s="1"/>
  <c r="L35" i="6" l="1"/>
  <c r="L41" i="6"/>
  <c r="M36" i="6"/>
  <c r="BZ64" i="2"/>
  <c r="M35" i="6" l="1"/>
  <c r="M41" i="6"/>
  <c r="N36" i="6"/>
  <c r="N35" i="6" l="1"/>
  <c r="N41" i="6"/>
  <c r="CJ18" i="4" l="1"/>
  <c r="CK18" i="4" s="1"/>
  <c r="CL18" i="4" s="1"/>
  <c r="AW87" i="3" l="1"/>
  <c r="AV87" i="3"/>
  <c r="AS87" i="3"/>
  <c r="AR87" i="3"/>
  <c r="AQ87" i="3"/>
  <c r="AN87" i="3"/>
  <c r="AM87" i="3"/>
  <c r="AD87" i="3"/>
  <c r="AC87" i="3"/>
  <c r="AB87" i="3"/>
  <c r="Y87" i="3"/>
  <c r="X87" i="3"/>
  <c r="W87" i="3"/>
  <c r="T87" i="3"/>
  <c r="S87" i="3"/>
  <c r="R87" i="3"/>
  <c r="O87" i="3"/>
  <c r="N87" i="3"/>
  <c r="M87" i="3"/>
  <c r="J87" i="3"/>
  <c r="I87" i="3"/>
  <c r="H87" i="3"/>
  <c r="F87" i="3"/>
  <c r="E87" i="3"/>
  <c r="D87" i="3"/>
  <c r="C87" i="3"/>
  <c r="B87" i="3"/>
  <c r="AI87" i="3"/>
  <c r="AH87" i="3"/>
  <c r="AG87" i="3"/>
  <c r="B25" i="2"/>
  <c r="C25" i="2"/>
  <c r="D25" i="2"/>
  <c r="E25" i="2"/>
  <c r="H25" i="2"/>
  <c r="I25" i="2"/>
  <c r="J25" i="2"/>
  <c r="M25" i="2"/>
  <c r="N25" i="2"/>
  <c r="O25" i="2"/>
  <c r="R25" i="2"/>
  <c r="S25" i="2"/>
  <c r="T25" i="2"/>
  <c r="W25" i="2"/>
  <c r="X25" i="2"/>
  <c r="Y25" i="2"/>
  <c r="AB25" i="2"/>
  <c r="AC25" i="2"/>
  <c r="AD25" i="2"/>
  <c r="AG25" i="2"/>
  <c r="AH25" i="2"/>
  <c r="AI25" i="2"/>
  <c r="AM25" i="2"/>
  <c r="AQ25" i="2"/>
  <c r="AR25" i="2"/>
  <c r="AV25" i="2"/>
  <c r="B29" i="2"/>
  <c r="C29" i="2"/>
  <c r="D29" i="2"/>
  <c r="E29" i="2"/>
  <c r="H29" i="2"/>
  <c r="I29" i="2"/>
  <c r="J29" i="2"/>
  <c r="M29" i="2"/>
  <c r="N29" i="2"/>
  <c r="O29" i="2"/>
  <c r="R29" i="2"/>
  <c r="S29" i="2"/>
  <c r="T29" i="2"/>
  <c r="W29" i="2"/>
  <c r="X29" i="2"/>
  <c r="Y29" i="2"/>
  <c r="AB29" i="2"/>
  <c r="AC29" i="2"/>
  <c r="AD29" i="2"/>
  <c r="AG29" i="2"/>
  <c r="AH29" i="2"/>
  <c r="AI29" i="2"/>
  <c r="AL29" i="2"/>
  <c r="AM29" i="2"/>
  <c r="AN29" i="2"/>
  <c r="AQ29" i="2"/>
  <c r="AR29" i="2"/>
  <c r="AS29" i="2"/>
  <c r="AV29" i="2"/>
  <c r="AW29" i="2"/>
  <c r="BF29" i="2"/>
  <c r="BG29" i="2"/>
  <c r="BH29" i="2"/>
  <c r="BK29" i="2"/>
  <c r="BL29" i="2"/>
  <c r="BM29" i="2"/>
  <c r="BP29" i="2"/>
  <c r="BQ29" i="2"/>
  <c r="BR29" i="2"/>
  <c r="BU29" i="2"/>
  <c r="BV29" i="2"/>
  <c r="BW29" i="2"/>
  <c r="BZ29" i="2"/>
  <c r="B100" i="2"/>
  <c r="C100" i="2"/>
  <c r="D100" i="2"/>
  <c r="E100" i="2"/>
  <c r="H100" i="2"/>
  <c r="I100" i="2"/>
  <c r="J100" i="2"/>
  <c r="M100" i="2"/>
  <c r="N100" i="2"/>
  <c r="O100" i="2"/>
  <c r="R100" i="2"/>
  <c r="S100" i="2"/>
  <c r="T100" i="2"/>
  <c r="W100" i="2"/>
  <c r="X100" i="2"/>
  <c r="Y100" i="2"/>
  <c r="AB100" i="2"/>
  <c r="AC100" i="2"/>
  <c r="AD100" i="2"/>
  <c r="AG100" i="2"/>
  <c r="AH100" i="2"/>
  <c r="AI100" i="2"/>
  <c r="AL100" i="2"/>
  <c r="AM100" i="2"/>
  <c r="AN100" i="2"/>
  <c r="AQ100" i="2"/>
  <c r="AR100" i="2"/>
  <c r="AS100" i="2"/>
  <c r="AV100" i="2"/>
  <c r="AW100" i="2"/>
  <c r="AX100" i="2"/>
  <c r="BA100" i="2"/>
  <c r="BB100" i="2"/>
  <c r="BC100" i="2"/>
  <c r="BF100" i="2"/>
  <c r="BG100" i="2"/>
  <c r="BH100" i="2"/>
  <c r="BK100" i="2"/>
  <c r="BL100" i="2"/>
  <c r="BM100" i="2"/>
  <c r="BP100" i="2"/>
  <c r="BQ100" i="2"/>
  <c r="BR100" i="2"/>
  <c r="BU100" i="2"/>
  <c r="BV100" i="2"/>
  <c r="BW100" i="2"/>
  <c r="BZ100" i="2"/>
  <c r="AW29" i="3" l="1"/>
  <c r="AV29" i="3"/>
  <c r="AU29" i="3"/>
  <c r="AS29" i="3"/>
  <c r="AR29" i="3"/>
  <c r="AQ29" i="3"/>
  <c r="AP29" i="3"/>
  <c r="AN29" i="3"/>
  <c r="AM29" i="3"/>
  <c r="AL29" i="3"/>
  <c r="AK29" i="3"/>
  <c r="AW19" i="3"/>
  <c r="AV19" i="3"/>
  <c r="AU19" i="3"/>
  <c r="AS19" i="3"/>
  <c r="AR19" i="3"/>
  <c r="AQ19" i="3"/>
  <c r="AP19" i="3"/>
  <c r="AN19" i="3"/>
  <c r="AM19" i="3"/>
  <c r="AL19" i="3"/>
  <c r="AK19" i="3"/>
  <c r="AS14" i="3"/>
  <c r="AN14" i="3"/>
  <c r="AW10" i="3"/>
  <c r="AV10" i="3"/>
  <c r="AU10" i="3"/>
  <c r="AS10" i="3"/>
  <c r="AR10" i="3"/>
  <c r="AQ10" i="3"/>
  <c r="AP10" i="3"/>
  <c r="AN10" i="3"/>
  <c r="AM10" i="3"/>
  <c r="AL10" i="3"/>
  <c r="AK10" i="3"/>
  <c r="AW6" i="3"/>
  <c r="AS6" i="3"/>
  <c r="AS25" i="2" s="1"/>
  <c r="AN6" i="3"/>
  <c r="AN25" i="2" s="1"/>
  <c r="AK6" i="3"/>
  <c r="AT15" i="3"/>
  <c r="AT13" i="3"/>
  <c r="AL48" i="2"/>
  <c r="AM48" i="2" s="1"/>
  <c r="AQ48" i="2"/>
  <c r="AR48" i="2" s="1"/>
  <c r="AR7" i="2"/>
  <c r="AN5" i="2"/>
  <c r="AN7" i="2" s="1"/>
  <c r="AM5" i="2"/>
  <c r="AM7" i="2" s="1"/>
  <c r="AL5" i="2"/>
  <c r="AL7" i="2" s="1"/>
  <c r="AK5" i="2"/>
  <c r="AK7" i="2" s="1"/>
  <c r="AR5" i="2"/>
  <c r="AQ5" i="2"/>
  <c r="AQ7" i="2" s="1"/>
  <c r="AP5" i="2"/>
  <c r="AP7" i="2" s="1"/>
  <c r="AS5" i="2"/>
  <c r="AS7" i="2" s="1"/>
  <c r="AE50" i="4"/>
  <c r="Z50" i="4"/>
  <c r="U50" i="4"/>
  <c r="P50" i="4"/>
  <c r="K50" i="4"/>
  <c r="F50" i="4"/>
  <c r="AE49" i="4"/>
  <c r="Z49" i="4"/>
  <c r="U49" i="4"/>
  <c r="P49" i="4"/>
  <c r="K49" i="4"/>
  <c r="F49" i="4"/>
  <c r="AD46" i="4"/>
  <c r="AC46" i="4"/>
  <c r="AB46" i="4"/>
  <c r="AA46" i="4"/>
  <c r="Y46" i="4"/>
  <c r="X46" i="4"/>
  <c r="W46" i="4"/>
  <c r="V46" i="4"/>
  <c r="T46" i="4"/>
  <c r="S46" i="4"/>
  <c r="R46" i="4"/>
  <c r="Q46" i="4"/>
  <c r="O46" i="4"/>
  <c r="N46" i="4"/>
  <c r="M46" i="4"/>
  <c r="L46" i="4"/>
  <c r="J46" i="4"/>
  <c r="I46" i="4"/>
  <c r="H46" i="4"/>
  <c r="G46" i="4"/>
  <c r="E46" i="4"/>
  <c r="D46" i="4"/>
  <c r="C46" i="4"/>
  <c r="B46" i="4"/>
  <c r="AE45" i="4"/>
  <c r="Z45" i="4"/>
  <c r="U45" i="4"/>
  <c r="P45" i="4"/>
  <c r="K45" i="4"/>
  <c r="F45" i="4"/>
  <c r="AD41" i="4"/>
  <c r="AC41" i="4"/>
  <c r="AB41" i="4"/>
  <c r="AA41" i="4"/>
  <c r="Y41" i="4"/>
  <c r="X41" i="4"/>
  <c r="W41" i="4"/>
  <c r="V41" i="4"/>
  <c r="T41" i="4"/>
  <c r="S41" i="4"/>
  <c r="R41" i="4"/>
  <c r="Q41" i="4"/>
  <c r="O41" i="4"/>
  <c r="N41" i="4"/>
  <c r="M41" i="4"/>
  <c r="L41" i="4"/>
  <c r="J41" i="4"/>
  <c r="I41" i="4"/>
  <c r="H41" i="4"/>
  <c r="G41" i="4"/>
  <c r="E41" i="4"/>
  <c r="D41" i="4"/>
  <c r="C41" i="4"/>
  <c r="B41" i="4"/>
  <c r="B39" i="4"/>
  <c r="F39" i="4" s="1"/>
  <c r="F40" i="4" s="1"/>
  <c r="AD35" i="4"/>
  <c r="AC35" i="4"/>
  <c r="AB35" i="4"/>
  <c r="AA35" i="4"/>
  <c r="Y35" i="4"/>
  <c r="X35" i="4"/>
  <c r="W35" i="4"/>
  <c r="V35" i="4"/>
  <c r="T35" i="4"/>
  <c r="S35" i="4"/>
  <c r="R35" i="4"/>
  <c r="Q35" i="4"/>
  <c r="O35" i="4"/>
  <c r="N35" i="4"/>
  <c r="M35" i="4"/>
  <c r="L35" i="4"/>
  <c r="J35" i="4"/>
  <c r="I35" i="4"/>
  <c r="H35" i="4"/>
  <c r="G35" i="4"/>
  <c r="E35" i="4"/>
  <c r="D35" i="4"/>
  <c r="C35" i="4"/>
  <c r="B35" i="4"/>
  <c r="AD34" i="4"/>
  <c r="AC34" i="4"/>
  <c r="AB34" i="4"/>
  <c r="Y34" i="4"/>
  <c r="X34" i="4"/>
  <c r="W34" i="4"/>
  <c r="T34" i="4"/>
  <c r="S34" i="4"/>
  <c r="R34" i="4"/>
  <c r="O34" i="4"/>
  <c r="N34" i="4"/>
  <c r="M34" i="4"/>
  <c r="J34" i="4"/>
  <c r="I34" i="4"/>
  <c r="H34" i="4"/>
  <c r="E34" i="4"/>
  <c r="D34" i="4"/>
  <c r="C34" i="4"/>
  <c r="B34" i="4"/>
  <c r="AD32" i="4"/>
  <c r="AC32" i="4"/>
  <c r="AD39" i="4" s="1"/>
  <c r="AB32" i="4"/>
  <c r="AC39" i="4" s="1"/>
  <c r="AA32" i="4"/>
  <c r="AB39" i="4" s="1"/>
  <c r="Y32" i="4"/>
  <c r="X32" i="4"/>
  <c r="Y39" i="4" s="1"/>
  <c r="W32" i="4"/>
  <c r="X39" i="4" s="1"/>
  <c r="V32" i="4"/>
  <c r="W39" i="4" s="1"/>
  <c r="T32" i="4"/>
  <c r="S32" i="4"/>
  <c r="T39" i="4" s="1"/>
  <c r="R32" i="4"/>
  <c r="S39" i="4" s="1"/>
  <c r="Q32" i="4"/>
  <c r="R39" i="4" s="1"/>
  <c r="O32" i="4"/>
  <c r="N32" i="4"/>
  <c r="O39" i="4" s="1"/>
  <c r="M32" i="4"/>
  <c r="N39" i="4" s="1"/>
  <c r="L32" i="4"/>
  <c r="M39" i="4" s="1"/>
  <c r="J32" i="4"/>
  <c r="I32" i="4"/>
  <c r="J39" i="4" s="1"/>
  <c r="H32" i="4"/>
  <c r="I39" i="4" s="1"/>
  <c r="G32" i="4"/>
  <c r="H39" i="4" s="1"/>
  <c r="E32" i="4"/>
  <c r="D32" i="4"/>
  <c r="E39" i="4" s="1"/>
  <c r="C32" i="4"/>
  <c r="D39" i="4" s="1"/>
  <c r="B32" i="4"/>
  <c r="C39" i="4" s="1"/>
  <c r="AD28" i="4"/>
  <c r="AD29" i="4" s="1"/>
  <c r="AC28" i="4"/>
  <c r="AC29" i="4" s="1"/>
  <c r="AB28" i="4"/>
  <c r="AB29" i="4" s="1"/>
  <c r="Y28" i="4"/>
  <c r="Y29" i="4" s="1"/>
  <c r="X28" i="4"/>
  <c r="X29" i="4" s="1"/>
  <c r="W28" i="4"/>
  <c r="W29" i="4" s="1"/>
  <c r="T28" i="4"/>
  <c r="T29" i="4" s="1"/>
  <c r="S28" i="4"/>
  <c r="S29" i="4" s="1"/>
  <c r="R28" i="4"/>
  <c r="R29" i="4" s="1"/>
  <c r="O28" i="4"/>
  <c r="O29" i="4" s="1"/>
  <c r="N28" i="4"/>
  <c r="N29" i="4" s="1"/>
  <c r="M28" i="4"/>
  <c r="M29" i="4" s="1"/>
  <c r="J28" i="4"/>
  <c r="J29" i="4" s="1"/>
  <c r="I28" i="4"/>
  <c r="I29" i="4" s="1"/>
  <c r="H28" i="4"/>
  <c r="H29" i="4" s="1"/>
  <c r="F28" i="4"/>
  <c r="E28" i="4"/>
  <c r="E29" i="4" s="1"/>
  <c r="D28" i="4"/>
  <c r="D29" i="4" s="1"/>
  <c r="C28" i="4"/>
  <c r="C29" i="4" s="1"/>
  <c r="B28" i="4"/>
  <c r="B29" i="4" s="1"/>
  <c r="AE27" i="4"/>
  <c r="Z27" i="4"/>
  <c r="U27" i="4"/>
  <c r="P27" i="4"/>
  <c r="K27" i="4"/>
  <c r="F27" i="4"/>
  <c r="AD26" i="4"/>
  <c r="AE26" i="4" s="1"/>
  <c r="AC26" i="4"/>
  <c r="AB26" i="4"/>
  <c r="AA26" i="4"/>
  <c r="Y26" i="4"/>
  <c r="Z26" i="4" s="1"/>
  <c r="X26" i="4"/>
  <c r="W26" i="4"/>
  <c r="V26" i="4"/>
  <c r="T26" i="4"/>
  <c r="U26" i="4" s="1"/>
  <c r="S26" i="4"/>
  <c r="R26" i="4"/>
  <c r="Q26" i="4"/>
  <c r="O26" i="4"/>
  <c r="P26" i="4" s="1"/>
  <c r="N26" i="4"/>
  <c r="M26" i="4"/>
  <c r="L26" i="4"/>
  <c r="J26" i="4"/>
  <c r="K26" i="4" s="1"/>
  <c r="I26" i="4"/>
  <c r="H26" i="4"/>
  <c r="G26" i="4"/>
  <c r="E26" i="4"/>
  <c r="F26" i="4" s="1"/>
  <c r="D26" i="4"/>
  <c r="C26" i="4"/>
  <c r="B26" i="4"/>
  <c r="AE25" i="4"/>
  <c r="Z25" i="4"/>
  <c r="U25" i="4"/>
  <c r="P25" i="4"/>
  <c r="K25" i="4"/>
  <c r="F25" i="4"/>
  <c r="AE24" i="4"/>
  <c r="Z24" i="4"/>
  <c r="AE28" i="4" s="1"/>
  <c r="U24" i="4"/>
  <c r="V28" i="4" s="1"/>
  <c r="V29" i="4" s="1"/>
  <c r="P24" i="4"/>
  <c r="U28" i="4" s="1"/>
  <c r="K24" i="4"/>
  <c r="L28" i="4" s="1"/>
  <c r="L29" i="4" s="1"/>
  <c r="F24" i="4"/>
  <c r="K28" i="4" s="1"/>
  <c r="AC22" i="4"/>
  <c r="X22" i="4"/>
  <c r="S22" i="4"/>
  <c r="N22" i="4"/>
  <c r="I22" i="4"/>
  <c r="D22" i="4"/>
  <c r="AE19" i="4"/>
  <c r="Z19" i="4"/>
  <c r="U19" i="4"/>
  <c r="P19" i="4"/>
  <c r="K19" i="4"/>
  <c r="F19" i="4"/>
  <c r="AD17" i="4"/>
  <c r="AD21" i="4" s="1"/>
  <c r="AC17" i="4"/>
  <c r="AC21" i="4" s="1"/>
  <c r="AB17" i="4"/>
  <c r="AB21" i="4" s="1"/>
  <c r="AA17" i="4"/>
  <c r="Y17" i="4"/>
  <c r="Y20" i="2" s="1"/>
  <c r="X17" i="4"/>
  <c r="X20" i="2" s="1"/>
  <c r="W17" i="4"/>
  <c r="V17" i="4"/>
  <c r="T17" i="4"/>
  <c r="T18" i="4" s="1"/>
  <c r="S17" i="4"/>
  <c r="S21" i="4" s="1"/>
  <c r="R17" i="4"/>
  <c r="R21" i="4" s="1"/>
  <c r="Q17" i="4"/>
  <c r="Q20" i="2" s="1"/>
  <c r="O17" i="4"/>
  <c r="O21" i="4" s="1"/>
  <c r="N17" i="4"/>
  <c r="N20" i="2" s="1"/>
  <c r="M17" i="4"/>
  <c r="M21" i="4" s="1"/>
  <c r="L17" i="4"/>
  <c r="L21" i="4" s="1"/>
  <c r="J17" i="4"/>
  <c r="J21" i="4" s="1"/>
  <c r="I17" i="4"/>
  <c r="I21" i="4" s="1"/>
  <c r="H17" i="4"/>
  <c r="H21" i="4" s="1"/>
  <c r="G17" i="4"/>
  <c r="G21" i="4" s="1"/>
  <c r="E17" i="4"/>
  <c r="E21" i="4" s="1"/>
  <c r="D17" i="4"/>
  <c r="D21" i="4" s="1"/>
  <c r="C17" i="4"/>
  <c r="C21" i="4" s="1"/>
  <c r="B17" i="4"/>
  <c r="AD16" i="4"/>
  <c r="AC16" i="4"/>
  <c r="AB16" i="4"/>
  <c r="AA16" i="4"/>
  <c r="Y16" i="4"/>
  <c r="X16" i="4"/>
  <c r="W16" i="4"/>
  <c r="V16" i="4"/>
  <c r="T16" i="4"/>
  <c r="S16" i="4"/>
  <c r="R16" i="4"/>
  <c r="Q16" i="4"/>
  <c r="O16" i="4"/>
  <c r="N16" i="4"/>
  <c r="M16" i="4"/>
  <c r="L16" i="4"/>
  <c r="J16" i="4"/>
  <c r="I16" i="4"/>
  <c r="H16" i="4"/>
  <c r="G16" i="4"/>
  <c r="E16" i="4"/>
  <c r="D16" i="4"/>
  <c r="C16" i="4"/>
  <c r="B16" i="4"/>
  <c r="AE15" i="4"/>
  <c r="Z15" i="4"/>
  <c r="U15" i="4"/>
  <c r="P15" i="4"/>
  <c r="K15" i="4"/>
  <c r="F15" i="4"/>
  <c r="AD13" i="4"/>
  <c r="AC13" i="4"/>
  <c r="AB13" i="4"/>
  <c r="AA13" i="4"/>
  <c r="Y13" i="4"/>
  <c r="X13" i="4"/>
  <c r="W13" i="4"/>
  <c r="V13" i="4"/>
  <c r="T13" i="4"/>
  <c r="S13" i="4"/>
  <c r="R13" i="4"/>
  <c r="Q13" i="4"/>
  <c r="O13" i="4"/>
  <c r="N13" i="4"/>
  <c r="M13" i="4"/>
  <c r="L13" i="4"/>
  <c r="J13" i="4"/>
  <c r="I13" i="4"/>
  <c r="H13" i="4"/>
  <c r="G13" i="4"/>
  <c r="E13" i="4"/>
  <c r="D13" i="4"/>
  <c r="C13" i="4"/>
  <c r="B13" i="4"/>
  <c r="AE12" i="4"/>
  <c r="Z12" i="4"/>
  <c r="U12" i="4"/>
  <c r="P12" i="4"/>
  <c r="K12" i="4"/>
  <c r="F12" i="4"/>
  <c r="AD11" i="4"/>
  <c r="AC11" i="4"/>
  <c r="AB11" i="4"/>
  <c r="AA11" i="4"/>
  <c r="Y11" i="4"/>
  <c r="X11" i="4"/>
  <c r="W11" i="4"/>
  <c r="V11" i="4"/>
  <c r="T11" i="4"/>
  <c r="S11" i="4"/>
  <c r="R11" i="4"/>
  <c r="Q11" i="4"/>
  <c r="O11" i="4"/>
  <c r="N11" i="4"/>
  <c r="M11" i="4"/>
  <c r="L11" i="4"/>
  <c r="J11" i="4"/>
  <c r="I11" i="4"/>
  <c r="H11" i="4"/>
  <c r="G11" i="4"/>
  <c r="E11" i="4"/>
  <c r="D11" i="4"/>
  <c r="C11" i="4"/>
  <c r="B11" i="4"/>
  <c r="AE10" i="4"/>
  <c r="Z10" i="4"/>
  <c r="U10" i="4"/>
  <c r="P10" i="4"/>
  <c r="K10" i="4"/>
  <c r="F10" i="4"/>
  <c r="AE9" i="4"/>
  <c r="AE115" i="3" s="1"/>
  <c r="Z9" i="4"/>
  <c r="Z115" i="3" s="1"/>
  <c r="U9" i="4"/>
  <c r="U13" i="4" s="1"/>
  <c r="P9" i="4"/>
  <c r="P115" i="3" s="1"/>
  <c r="K9" i="4"/>
  <c r="F9" i="4"/>
  <c r="AD8" i="4"/>
  <c r="AC8" i="4"/>
  <c r="AB8" i="4"/>
  <c r="AA8" i="4"/>
  <c r="Y8" i="4"/>
  <c r="X8" i="4"/>
  <c r="W8" i="4"/>
  <c r="V8" i="4"/>
  <c r="T8" i="4"/>
  <c r="S8" i="4"/>
  <c r="R8" i="4"/>
  <c r="Q8" i="4"/>
  <c r="O8" i="4"/>
  <c r="N8" i="4"/>
  <c r="M8" i="4"/>
  <c r="L8" i="4"/>
  <c r="J8" i="4"/>
  <c r="I8" i="4"/>
  <c r="H8" i="4"/>
  <c r="G8" i="4"/>
  <c r="E8" i="4"/>
  <c r="D8" i="4"/>
  <c r="C8" i="4"/>
  <c r="B8" i="4"/>
  <c r="AE7" i="4"/>
  <c r="Z7" i="4"/>
  <c r="U7" i="4"/>
  <c r="P7" i="4"/>
  <c r="K7" i="4"/>
  <c r="F7" i="4"/>
  <c r="AD6" i="4"/>
  <c r="AC6" i="4"/>
  <c r="AB6" i="4"/>
  <c r="AA6" i="4"/>
  <c r="Y6" i="4"/>
  <c r="X6" i="4"/>
  <c r="W6" i="4"/>
  <c r="V6" i="4"/>
  <c r="T6" i="4"/>
  <c r="S6" i="4"/>
  <c r="R6" i="4"/>
  <c r="Q6" i="4"/>
  <c r="O6" i="4"/>
  <c r="N6" i="4"/>
  <c r="M6" i="4"/>
  <c r="L6" i="4"/>
  <c r="J6" i="4"/>
  <c r="I6" i="4"/>
  <c r="H6" i="4"/>
  <c r="G6" i="4"/>
  <c r="E6" i="4"/>
  <c r="D6" i="4"/>
  <c r="C6" i="4"/>
  <c r="B6" i="4"/>
  <c r="AE5" i="4"/>
  <c r="Z5" i="4"/>
  <c r="U5" i="4"/>
  <c r="P5" i="4"/>
  <c r="K5" i="4"/>
  <c r="F5" i="4"/>
  <c r="AE4" i="4"/>
  <c r="AE8" i="4" s="1"/>
  <c r="Z4" i="4"/>
  <c r="U4" i="4"/>
  <c r="U8" i="4" s="1"/>
  <c r="P4" i="4"/>
  <c r="K4" i="4"/>
  <c r="F4" i="4"/>
  <c r="AD150" i="3"/>
  <c r="AC150" i="3"/>
  <c r="AB150" i="3"/>
  <c r="AA150" i="3"/>
  <c r="Y150" i="3"/>
  <c r="X150" i="3"/>
  <c r="W150" i="3"/>
  <c r="V150" i="3"/>
  <c r="T150" i="3"/>
  <c r="S150" i="3"/>
  <c r="R150" i="3"/>
  <c r="Q150" i="3"/>
  <c r="O150" i="3"/>
  <c r="N150" i="3"/>
  <c r="M150" i="3"/>
  <c r="L150" i="3"/>
  <c r="J150" i="3"/>
  <c r="I150" i="3"/>
  <c r="H150" i="3"/>
  <c r="G150" i="3"/>
  <c r="E150" i="3"/>
  <c r="D150" i="3"/>
  <c r="C150" i="3"/>
  <c r="B150" i="3"/>
  <c r="AD149" i="3"/>
  <c r="AC149" i="3"/>
  <c r="AB149" i="3"/>
  <c r="Y149" i="3"/>
  <c r="X149" i="3"/>
  <c r="W149" i="3"/>
  <c r="T149" i="3"/>
  <c r="S149" i="3"/>
  <c r="R149" i="3"/>
  <c r="O149" i="3"/>
  <c r="N149" i="3"/>
  <c r="M149" i="3"/>
  <c r="J149" i="3"/>
  <c r="I149" i="3"/>
  <c r="H149" i="3"/>
  <c r="E149" i="3"/>
  <c r="D149" i="3"/>
  <c r="C149" i="3"/>
  <c r="B149" i="3"/>
  <c r="F149" i="3" s="1"/>
  <c r="AE145" i="3"/>
  <c r="Z145" i="3"/>
  <c r="U145" i="3"/>
  <c r="P145" i="3"/>
  <c r="K145" i="3"/>
  <c r="F145" i="3"/>
  <c r="AE144" i="3"/>
  <c r="Z144" i="3"/>
  <c r="AA149" i="3" s="1"/>
  <c r="U144" i="3"/>
  <c r="V149" i="3" s="1"/>
  <c r="P144" i="3"/>
  <c r="Q149" i="3" s="1"/>
  <c r="K144" i="3"/>
  <c r="L149" i="3" s="1"/>
  <c r="F144" i="3"/>
  <c r="G149" i="3" s="1"/>
  <c r="AE143" i="3"/>
  <c r="Z143" i="3"/>
  <c r="U143" i="3"/>
  <c r="P143" i="3"/>
  <c r="K143" i="3"/>
  <c r="F143" i="3"/>
  <c r="AD128" i="3"/>
  <c r="AC128" i="3"/>
  <c r="AB128" i="3"/>
  <c r="AA128" i="3"/>
  <c r="Y128" i="3"/>
  <c r="X128" i="3"/>
  <c r="W128" i="3"/>
  <c r="V128" i="3"/>
  <c r="T128" i="3"/>
  <c r="S128" i="3"/>
  <c r="R128" i="3"/>
  <c r="Q128" i="3"/>
  <c r="O128" i="3"/>
  <c r="N128" i="3"/>
  <c r="M128" i="3"/>
  <c r="L128" i="3"/>
  <c r="J128" i="3"/>
  <c r="I128" i="3"/>
  <c r="H128" i="3"/>
  <c r="G128" i="3"/>
  <c r="E128" i="3"/>
  <c r="D128" i="3"/>
  <c r="C128" i="3"/>
  <c r="B128" i="3"/>
  <c r="AD126" i="3"/>
  <c r="AC126" i="3"/>
  <c r="AB126" i="3"/>
  <c r="AA126" i="3"/>
  <c r="Y126" i="3"/>
  <c r="X126" i="3"/>
  <c r="W126" i="3"/>
  <c r="V126" i="3"/>
  <c r="T126" i="3"/>
  <c r="S126" i="3"/>
  <c r="R126" i="3"/>
  <c r="Q126" i="3"/>
  <c r="O126" i="3"/>
  <c r="N126" i="3"/>
  <c r="M126" i="3"/>
  <c r="L126" i="3"/>
  <c r="J126" i="3"/>
  <c r="I126" i="3"/>
  <c r="H126" i="3"/>
  <c r="G126" i="3"/>
  <c r="E126" i="3"/>
  <c r="D126" i="3"/>
  <c r="C126" i="3"/>
  <c r="B126" i="3"/>
  <c r="AD124" i="3"/>
  <c r="AC124" i="3"/>
  <c r="AB124" i="3"/>
  <c r="AA124" i="3"/>
  <c r="Y124" i="3"/>
  <c r="X124" i="3"/>
  <c r="W124" i="3"/>
  <c r="V124" i="3"/>
  <c r="T124" i="3"/>
  <c r="S124" i="3"/>
  <c r="R124" i="3"/>
  <c r="Q124" i="3"/>
  <c r="O124" i="3"/>
  <c r="N124" i="3"/>
  <c r="M124" i="3"/>
  <c r="L124" i="3"/>
  <c r="J124" i="3"/>
  <c r="I124" i="3"/>
  <c r="H124" i="3"/>
  <c r="G124" i="3"/>
  <c r="E124" i="3"/>
  <c r="D124" i="3"/>
  <c r="C124" i="3"/>
  <c r="B124" i="3"/>
  <c r="AD121" i="3"/>
  <c r="AC121" i="3"/>
  <c r="AC123" i="3" s="1"/>
  <c r="AB121" i="3"/>
  <c r="AB123" i="3" s="1"/>
  <c r="AA121" i="3"/>
  <c r="AA123" i="3" s="1"/>
  <c r="Y121" i="3"/>
  <c r="Y123" i="3" s="1"/>
  <c r="X121" i="3"/>
  <c r="X123" i="3" s="1"/>
  <c r="W121" i="3"/>
  <c r="W123" i="3" s="1"/>
  <c r="V121" i="3"/>
  <c r="T121" i="3"/>
  <c r="S121" i="3"/>
  <c r="R121" i="3"/>
  <c r="Q121" i="3"/>
  <c r="O121" i="3"/>
  <c r="O123" i="3" s="1"/>
  <c r="N121" i="3"/>
  <c r="N123" i="3" s="1"/>
  <c r="M121" i="3"/>
  <c r="M123" i="3" s="1"/>
  <c r="L121" i="3"/>
  <c r="L123" i="3" s="1"/>
  <c r="J121" i="3"/>
  <c r="I121" i="3"/>
  <c r="I123" i="3" s="1"/>
  <c r="H121" i="3"/>
  <c r="G121" i="3"/>
  <c r="E121" i="3"/>
  <c r="D121" i="3"/>
  <c r="D123" i="3" s="1"/>
  <c r="C121" i="3"/>
  <c r="C123" i="3" s="1"/>
  <c r="B121" i="3"/>
  <c r="B123" i="3" s="1"/>
  <c r="F123" i="3" s="1"/>
  <c r="AD120" i="3"/>
  <c r="AE120" i="3" s="1"/>
  <c r="AC120" i="3"/>
  <c r="AB120" i="3"/>
  <c r="AA120" i="3"/>
  <c r="Y120" i="3"/>
  <c r="Z120" i="3" s="1"/>
  <c r="X120" i="3"/>
  <c r="W120" i="3"/>
  <c r="V120" i="3"/>
  <c r="T120" i="3"/>
  <c r="U120" i="3" s="1"/>
  <c r="S120" i="3"/>
  <c r="R120" i="3"/>
  <c r="Q120" i="3"/>
  <c r="O120" i="3"/>
  <c r="P120" i="3" s="1"/>
  <c r="N120" i="3"/>
  <c r="M120" i="3"/>
  <c r="L120" i="3"/>
  <c r="J120" i="3"/>
  <c r="I120" i="3"/>
  <c r="H120" i="3"/>
  <c r="G120" i="3"/>
  <c r="E120" i="3"/>
  <c r="F120" i="3" s="1"/>
  <c r="D120" i="3"/>
  <c r="C120" i="3"/>
  <c r="B120" i="3"/>
  <c r="AD117" i="3"/>
  <c r="AC117" i="3"/>
  <c r="AB117" i="3"/>
  <c r="AA117" i="3"/>
  <c r="Y117" i="3"/>
  <c r="X117" i="3"/>
  <c r="W117" i="3"/>
  <c r="V117" i="3"/>
  <c r="T117" i="3"/>
  <c r="S117" i="3"/>
  <c r="R117" i="3"/>
  <c r="Q117" i="3"/>
  <c r="O117" i="3"/>
  <c r="N117" i="3"/>
  <c r="M117" i="3"/>
  <c r="L117" i="3"/>
  <c r="J117" i="3"/>
  <c r="I117" i="3"/>
  <c r="H117" i="3"/>
  <c r="G117" i="3"/>
  <c r="E117" i="3"/>
  <c r="D117" i="3"/>
  <c r="C117" i="3"/>
  <c r="B117" i="3"/>
  <c r="AD115" i="3"/>
  <c r="AC115" i="3"/>
  <c r="AB115" i="3"/>
  <c r="AA115" i="3"/>
  <c r="Y115" i="3"/>
  <c r="X115" i="3"/>
  <c r="W115" i="3"/>
  <c r="V115" i="3"/>
  <c r="T115" i="3"/>
  <c r="S115" i="3"/>
  <c r="R115" i="3"/>
  <c r="Q115" i="3"/>
  <c r="O115" i="3"/>
  <c r="N115" i="3"/>
  <c r="M115" i="3"/>
  <c r="L115" i="3"/>
  <c r="J115" i="3"/>
  <c r="I115" i="3"/>
  <c r="H115" i="3"/>
  <c r="G115" i="3"/>
  <c r="E115" i="3"/>
  <c r="D115" i="3"/>
  <c r="C115" i="3"/>
  <c r="B115" i="3"/>
  <c r="AD114" i="3"/>
  <c r="AC114" i="3"/>
  <c r="AB114" i="3"/>
  <c r="AA114" i="3"/>
  <c r="Y114" i="3"/>
  <c r="X114" i="3"/>
  <c r="W114" i="3"/>
  <c r="W116" i="3" s="1"/>
  <c r="V114" i="3"/>
  <c r="T114" i="3"/>
  <c r="S114" i="3"/>
  <c r="R114" i="3"/>
  <c r="Q114" i="3"/>
  <c r="O114" i="3"/>
  <c r="O116" i="3" s="1"/>
  <c r="N114" i="3"/>
  <c r="N116" i="3" s="1"/>
  <c r="M114" i="3"/>
  <c r="L114" i="3"/>
  <c r="J114" i="3"/>
  <c r="I114" i="3"/>
  <c r="H114" i="3"/>
  <c r="G114" i="3"/>
  <c r="E114" i="3"/>
  <c r="E116" i="3" s="1"/>
  <c r="D114" i="3"/>
  <c r="C114" i="3"/>
  <c r="B114" i="3"/>
  <c r="B116" i="3" s="1"/>
  <c r="AD112" i="3"/>
  <c r="AC112" i="3"/>
  <c r="AB112" i="3"/>
  <c r="AA112" i="3"/>
  <c r="Y112" i="3"/>
  <c r="X112" i="3"/>
  <c r="W112" i="3"/>
  <c r="V112" i="3"/>
  <c r="T112" i="3"/>
  <c r="S112" i="3"/>
  <c r="R112" i="3"/>
  <c r="Q112" i="3"/>
  <c r="O112" i="3"/>
  <c r="N112" i="3"/>
  <c r="M112" i="3"/>
  <c r="L112" i="3"/>
  <c r="J112" i="3"/>
  <c r="I112" i="3"/>
  <c r="H112" i="3"/>
  <c r="G112" i="3"/>
  <c r="E112" i="3"/>
  <c r="D112" i="3"/>
  <c r="C112" i="3"/>
  <c r="B112" i="3"/>
  <c r="AD111" i="3"/>
  <c r="AD113" i="3" s="1"/>
  <c r="AC111" i="3"/>
  <c r="AC113" i="3" s="1"/>
  <c r="AB111" i="3"/>
  <c r="AA111" i="3"/>
  <c r="AA113" i="3" s="1"/>
  <c r="Y111" i="3"/>
  <c r="X111" i="3"/>
  <c r="W111" i="3"/>
  <c r="V111" i="3"/>
  <c r="V113" i="3" s="1"/>
  <c r="T111" i="3"/>
  <c r="T113" i="3" s="1"/>
  <c r="S111" i="3"/>
  <c r="S113" i="3" s="1"/>
  <c r="R111" i="3"/>
  <c r="R113" i="3" s="1"/>
  <c r="Q111" i="3"/>
  <c r="Q113" i="3" s="1"/>
  <c r="O111" i="3"/>
  <c r="O113" i="3" s="1"/>
  <c r="N111" i="3"/>
  <c r="N113" i="3" s="1"/>
  <c r="M111" i="3"/>
  <c r="L111" i="3"/>
  <c r="J111" i="3"/>
  <c r="J113" i="3" s="1"/>
  <c r="I111" i="3"/>
  <c r="H111" i="3"/>
  <c r="H113" i="3" s="1"/>
  <c r="G111" i="3"/>
  <c r="G113" i="3" s="1"/>
  <c r="E111" i="3"/>
  <c r="E113" i="3" s="1"/>
  <c r="D111" i="3"/>
  <c r="D113" i="3" s="1"/>
  <c r="C111" i="3"/>
  <c r="B111" i="3"/>
  <c r="AD109" i="3"/>
  <c r="AD110" i="3" s="1"/>
  <c r="AC109" i="3"/>
  <c r="AC110" i="3" s="1"/>
  <c r="AB109" i="3"/>
  <c r="AB110" i="3" s="1"/>
  <c r="AA109" i="3"/>
  <c r="AA110" i="3" s="1"/>
  <c r="Y109" i="3"/>
  <c r="Y110" i="3" s="1"/>
  <c r="X109" i="3"/>
  <c r="X110" i="3" s="1"/>
  <c r="W109" i="3"/>
  <c r="W110" i="3" s="1"/>
  <c r="V109" i="3"/>
  <c r="V110" i="3" s="1"/>
  <c r="T109" i="3"/>
  <c r="U109" i="3" s="1"/>
  <c r="S109" i="3"/>
  <c r="S110" i="3" s="1"/>
  <c r="R109" i="3"/>
  <c r="R110" i="3" s="1"/>
  <c r="Q109" i="3"/>
  <c r="Q110" i="3" s="1"/>
  <c r="O109" i="3"/>
  <c r="N109" i="3"/>
  <c r="N110" i="3" s="1"/>
  <c r="M109" i="3"/>
  <c r="M110" i="3" s="1"/>
  <c r="L109" i="3"/>
  <c r="L110" i="3" s="1"/>
  <c r="J109" i="3"/>
  <c r="K109" i="3" s="1"/>
  <c r="K110" i="3" s="1"/>
  <c r="I109" i="3"/>
  <c r="I110" i="3" s="1"/>
  <c r="H109" i="3"/>
  <c r="H110" i="3" s="1"/>
  <c r="G109" i="3"/>
  <c r="G110" i="3" s="1"/>
  <c r="E109" i="3"/>
  <c r="E110" i="3" s="1"/>
  <c r="D109" i="3"/>
  <c r="D110" i="3" s="1"/>
  <c r="C109" i="3"/>
  <c r="C110" i="3" s="1"/>
  <c r="B109" i="3"/>
  <c r="B110" i="3" s="1"/>
  <c r="AD107" i="3"/>
  <c r="AC107" i="3"/>
  <c r="AB107" i="3"/>
  <c r="AA107" i="3"/>
  <c r="AA108" i="3" s="1"/>
  <c r="Y107" i="3"/>
  <c r="Z107" i="3" s="1"/>
  <c r="X107" i="3"/>
  <c r="W107" i="3"/>
  <c r="V107" i="3"/>
  <c r="T107" i="3"/>
  <c r="U107" i="3" s="1"/>
  <c r="S107" i="3"/>
  <c r="R107" i="3"/>
  <c r="Q107" i="3"/>
  <c r="O107" i="3"/>
  <c r="N107" i="3"/>
  <c r="M107" i="3"/>
  <c r="L107" i="3"/>
  <c r="L108" i="3" s="1"/>
  <c r="J107" i="3"/>
  <c r="K107" i="3" s="1"/>
  <c r="I107" i="3"/>
  <c r="I108" i="3" s="1"/>
  <c r="H107" i="3"/>
  <c r="G107" i="3"/>
  <c r="E107" i="3"/>
  <c r="E108" i="3" s="1"/>
  <c r="D107" i="3"/>
  <c r="C107" i="3"/>
  <c r="B107" i="3"/>
  <c r="AD105" i="3"/>
  <c r="AC105" i="3"/>
  <c r="AC106" i="3" s="1"/>
  <c r="AB105" i="3"/>
  <c r="AB106" i="3" s="1"/>
  <c r="AA105" i="3"/>
  <c r="AA106" i="3" s="1"/>
  <c r="Y105" i="3"/>
  <c r="Y106" i="3" s="1"/>
  <c r="X105" i="3"/>
  <c r="X106" i="3" s="1"/>
  <c r="W105" i="3"/>
  <c r="W106" i="3" s="1"/>
  <c r="V105" i="3"/>
  <c r="V106" i="3" s="1"/>
  <c r="T105" i="3"/>
  <c r="T106" i="3" s="1"/>
  <c r="S105" i="3"/>
  <c r="S106" i="3" s="1"/>
  <c r="R105" i="3"/>
  <c r="R106" i="3" s="1"/>
  <c r="Q105" i="3"/>
  <c r="Q106" i="3" s="1"/>
  <c r="O105" i="3"/>
  <c r="P105" i="3" s="1"/>
  <c r="N105" i="3"/>
  <c r="N106" i="3" s="1"/>
  <c r="M105" i="3"/>
  <c r="M106" i="3" s="1"/>
  <c r="L105" i="3"/>
  <c r="L106" i="3" s="1"/>
  <c r="J105" i="3"/>
  <c r="K105" i="3" s="1"/>
  <c r="I105" i="3"/>
  <c r="I106" i="3" s="1"/>
  <c r="H105" i="3"/>
  <c r="H106" i="3" s="1"/>
  <c r="G105" i="3"/>
  <c r="G106" i="3" s="1"/>
  <c r="E105" i="3"/>
  <c r="D105" i="3"/>
  <c r="D106" i="3" s="1"/>
  <c r="C105" i="3"/>
  <c r="C106" i="3" s="1"/>
  <c r="B105" i="3"/>
  <c r="B106" i="3" s="1"/>
  <c r="AD99" i="3"/>
  <c r="AC99" i="3"/>
  <c r="AB99" i="3"/>
  <c r="AA99" i="3"/>
  <c r="Y99" i="3"/>
  <c r="X99" i="3"/>
  <c r="W99" i="3"/>
  <c r="V99" i="3"/>
  <c r="T99" i="3"/>
  <c r="S99" i="3"/>
  <c r="R99" i="3"/>
  <c r="Q99" i="3"/>
  <c r="O99" i="3"/>
  <c r="N99" i="3"/>
  <c r="M99" i="3"/>
  <c r="L99" i="3"/>
  <c r="J99" i="3"/>
  <c r="I99" i="3"/>
  <c r="H99" i="3"/>
  <c r="G99" i="3"/>
  <c r="E99" i="3"/>
  <c r="D99" i="3"/>
  <c r="C99" i="3"/>
  <c r="B99" i="3"/>
  <c r="AD97" i="3"/>
  <c r="AC97" i="3"/>
  <c r="AB97" i="3"/>
  <c r="AA97" i="3"/>
  <c r="Y97" i="3"/>
  <c r="X97" i="3"/>
  <c r="W97" i="3"/>
  <c r="V97" i="3"/>
  <c r="T97" i="3"/>
  <c r="S97" i="3"/>
  <c r="R97" i="3"/>
  <c r="Q97" i="3"/>
  <c r="O97" i="3"/>
  <c r="N97" i="3"/>
  <c r="M97" i="3"/>
  <c r="L97" i="3"/>
  <c r="J97" i="3"/>
  <c r="I97" i="3"/>
  <c r="H97" i="3"/>
  <c r="G97" i="3"/>
  <c r="E97" i="3"/>
  <c r="D97" i="3"/>
  <c r="C97" i="3"/>
  <c r="B97" i="3"/>
  <c r="AD78" i="3"/>
  <c r="AC78" i="3"/>
  <c r="AB78" i="3"/>
  <c r="AA78" i="3"/>
  <c r="Y78" i="3"/>
  <c r="X78" i="3"/>
  <c r="W78" i="3"/>
  <c r="V78" i="3"/>
  <c r="T78" i="3"/>
  <c r="S78" i="3"/>
  <c r="R78" i="3"/>
  <c r="Q78" i="3"/>
  <c r="O78" i="3"/>
  <c r="N78" i="3"/>
  <c r="M78" i="3"/>
  <c r="L78" i="3"/>
  <c r="J78" i="3"/>
  <c r="I78" i="3"/>
  <c r="H78" i="3"/>
  <c r="G78" i="3"/>
  <c r="E78" i="3"/>
  <c r="D78" i="3"/>
  <c r="C78" i="3"/>
  <c r="B78" i="3"/>
  <c r="AE74" i="3"/>
  <c r="Z74" i="3"/>
  <c r="U74" i="3"/>
  <c r="P74" i="3"/>
  <c r="K74" i="3"/>
  <c r="F74" i="3"/>
  <c r="AE73" i="3"/>
  <c r="Z73" i="3"/>
  <c r="U73" i="3"/>
  <c r="P73" i="3"/>
  <c r="K73" i="3"/>
  <c r="F73" i="3"/>
  <c r="AE72" i="3"/>
  <c r="Z72" i="3"/>
  <c r="U72" i="3"/>
  <c r="P72" i="3"/>
  <c r="K72" i="3"/>
  <c r="F72" i="3"/>
  <c r="AE62" i="3"/>
  <c r="Z62" i="3"/>
  <c r="U62" i="3"/>
  <c r="P62" i="3"/>
  <c r="K62" i="3"/>
  <c r="F62" i="3"/>
  <c r="AD59" i="3"/>
  <c r="AC59" i="3"/>
  <c r="AB59" i="3"/>
  <c r="AA59" i="3"/>
  <c r="Y59" i="3"/>
  <c r="X59" i="3"/>
  <c r="W59" i="3"/>
  <c r="V59" i="3"/>
  <c r="T59" i="3"/>
  <c r="S59" i="3"/>
  <c r="R59" i="3"/>
  <c r="Q59" i="3"/>
  <c r="O59" i="3"/>
  <c r="N59" i="3"/>
  <c r="M59" i="3"/>
  <c r="L59" i="3"/>
  <c r="J59" i="3"/>
  <c r="I59" i="3"/>
  <c r="H59" i="3"/>
  <c r="G59" i="3"/>
  <c r="E59" i="3"/>
  <c r="D59" i="3"/>
  <c r="C59" i="3"/>
  <c r="B59" i="3"/>
  <c r="AD58" i="3"/>
  <c r="AC58" i="3"/>
  <c r="AB58" i="3"/>
  <c r="AA58" i="3"/>
  <c r="Y58" i="3"/>
  <c r="X58" i="3"/>
  <c r="W58" i="3"/>
  <c r="V58" i="3"/>
  <c r="T58" i="3"/>
  <c r="S58" i="3"/>
  <c r="R58" i="3"/>
  <c r="Q58" i="3"/>
  <c r="O58" i="3"/>
  <c r="N58" i="3"/>
  <c r="M58" i="3"/>
  <c r="L58" i="3"/>
  <c r="J58" i="3"/>
  <c r="I58" i="3"/>
  <c r="H58" i="3"/>
  <c r="G58" i="3"/>
  <c r="E58" i="3"/>
  <c r="D58" i="3"/>
  <c r="C58" i="3"/>
  <c r="B58" i="3"/>
  <c r="AD56" i="3"/>
  <c r="AC56" i="3"/>
  <c r="AB56" i="3"/>
  <c r="AA56" i="3"/>
  <c r="Y56" i="3"/>
  <c r="X56" i="3"/>
  <c r="W56" i="3"/>
  <c r="V56" i="3"/>
  <c r="T56" i="3"/>
  <c r="S56" i="3"/>
  <c r="R56" i="3"/>
  <c r="Q56" i="3"/>
  <c r="O56" i="3"/>
  <c r="N56" i="3"/>
  <c r="M56" i="3"/>
  <c r="L56" i="3"/>
  <c r="J56" i="3"/>
  <c r="I56" i="3"/>
  <c r="H56" i="3"/>
  <c r="G56" i="3"/>
  <c r="E56" i="3"/>
  <c r="D56" i="3"/>
  <c r="C56" i="3"/>
  <c r="B56" i="3"/>
  <c r="AD54" i="3"/>
  <c r="AC54" i="3"/>
  <c r="AB54" i="3"/>
  <c r="AA54" i="3"/>
  <c r="Y54" i="3"/>
  <c r="X54" i="3"/>
  <c r="W54" i="3"/>
  <c r="V54" i="3"/>
  <c r="T54" i="3"/>
  <c r="U54" i="3" s="1"/>
  <c r="S54" i="3"/>
  <c r="R54" i="3"/>
  <c r="Q54" i="3"/>
  <c r="O54" i="3"/>
  <c r="N54" i="3"/>
  <c r="M54" i="3"/>
  <c r="L54" i="3"/>
  <c r="J54" i="3"/>
  <c r="I54" i="3"/>
  <c r="H54" i="3"/>
  <c r="G54" i="3"/>
  <c r="E54" i="3"/>
  <c r="F54" i="3" s="1"/>
  <c r="F55" i="3" s="1"/>
  <c r="D54" i="3"/>
  <c r="C54" i="3"/>
  <c r="B54" i="3"/>
  <c r="B55" i="3" s="1"/>
  <c r="AD52" i="3"/>
  <c r="AD53" i="3" s="1"/>
  <c r="AC52" i="3"/>
  <c r="AC53" i="3" s="1"/>
  <c r="AB52" i="3"/>
  <c r="AB53" i="3" s="1"/>
  <c r="AA52" i="3"/>
  <c r="AA53" i="3" s="1"/>
  <c r="Y52" i="3"/>
  <c r="Z52" i="3" s="1"/>
  <c r="X52" i="3"/>
  <c r="X53" i="3" s="1"/>
  <c r="W52" i="3"/>
  <c r="W53" i="3" s="1"/>
  <c r="V52" i="3"/>
  <c r="V53" i="3" s="1"/>
  <c r="T52" i="3"/>
  <c r="T53" i="3" s="1"/>
  <c r="S52" i="3"/>
  <c r="S53" i="3" s="1"/>
  <c r="R52" i="3"/>
  <c r="R53" i="3" s="1"/>
  <c r="Q52" i="3"/>
  <c r="Q53" i="3" s="1"/>
  <c r="O52" i="3"/>
  <c r="P52" i="3" s="1"/>
  <c r="N52" i="3"/>
  <c r="N53" i="3" s="1"/>
  <c r="M52" i="3"/>
  <c r="M53" i="3" s="1"/>
  <c r="L52" i="3"/>
  <c r="L53" i="3" s="1"/>
  <c r="J52" i="3"/>
  <c r="J53" i="3" s="1"/>
  <c r="I52" i="3"/>
  <c r="I53" i="3" s="1"/>
  <c r="H52" i="3"/>
  <c r="H53" i="3" s="1"/>
  <c r="G52" i="3"/>
  <c r="G53" i="3" s="1"/>
  <c r="E52" i="3"/>
  <c r="E53" i="3" s="1"/>
  <c r="D52" i="3"/>
  <c r="D53" i="3" s="1"/>
  <c r="C52" i="3"/>
  <c r="C53" i="3" s="1"/>
  <c r="B52" i="3"/>
  <c r="B53" i="3" s="1"/>
  <c r="AE47" i="3"/>
  <c r="Z47" i="3"/>
  <c r="U47" i="3"/>
  <c r="P47" i="3"/>
  <c r="K47" i="3"/>
  <c r="F47" i="3"/>
  <c r="AE46" i="3"/>
  <c r="Z46" i="3"/>
  <c r="U46" i="3"/>
  <c r="P46" i="3"/>
  <c r="K46" i="3"/>
  <c r="F46" i="3"/>
  <c r="AE45" i="3"/>
  <c r="Z45" i="3"/>
  <c r="U45" i="3"/>
  <c r="P45" i="3"/>
  <c r="K45" i="3"/>
  <c r="F45" i="3"/>
  <c r="AE44" i="3"/>
  <c r="Z44" i="3"/>
  <c r="U44" i="3"/>
  <c r="P44" i="3"/>
  <c r="K44" i="3"/>
  <c r="F44" i="3"/>
  <c r="AD43" i="3"/>
  <c r="AD134" i="3" s="1"/>
  <c r="AC43" i="3"/>
  <c r="AB43" i="3"/>
  <c r="AA43" i="3"/>
  <c r="Y43" i="3"/>
  <c r="X43" i="3"/>
  <c r="X65" i="3" s="1"/>
  <c r="W43" i="3"/>
  <c r="W65" i="3" s="1"/>
  <c r="V43" i="3"/>
  <c r="V65" i="3" s="1"/>
  <c r="T43" i="3"/>
  <c r="S43" i="3"/>
  <c r="R43" i="3"/>
  <c r="Q43" i="3"/>
  <c r="Q134" i="3" s="1"/>
  <c r="O43" i="3"/>
  <c r="N43" i="3"/>
  <c r="M43" i="3"/>
  <c r="L43" i="3"/>
  <c r="L134" i="3" s="1"/>
  <c r="L146" i="3" s="1"/>
  <c r="L147" i="3" s="1"/>
  <c r="J43" i="3"/>
  <c r="I43" i="3"/>
  <c r="H43" i="3"/>
  <c r="G43" i="3"/>
  <c r="G134" i="3" s="1"/>
  <c r="E43" i="3"/>
  <c r="D43" i="3"/>
  <c r="D134" i="3" s="1"/>
  <c r="C43" i="3"/>
  <c r="B43" i="3"/>
  <c r="AE42" i="3"/>
  <c r="Z42" i="3"/>
  <c r="U42" i="3"/>
  <c r="P42" i="3"/>
  <c r="K42" i="3"/>
  <c r="F42" i="3"/>
  <c r="AE41" i="3"/>
  <c r="Z41" i="3"/>
  <c r="U41" i="3"/>
  <c r="P41" i="3"/>
  <c r="K41" i="3"/>
  <c r="F41" i="3"/>
  <c r="AE40" i="3"/>
  <c r="Z40" i="3"/>
  <c r="U40" i="3"/>
  <c r="P40" i="3"/>
  <c r="K40" i="3"/>
  <c r="F40" i="3"/>
  <c r="AE39" i="3"/>
  <c r="Z39" i="3"/>
  <c r="U39" i="3"/>
  <c r="P39" i="3"/>
  <c r="K39" i="3"/>
  <c r="F39" i="3"/>
  <c r="AE38" i="3"/>
  <c r="Z38" i="3"/>
  <c r="U38" i="3"/>
  <c r="P38" i="3"/>
  <c r="K38" i="3"/>
  <c r="F38" i="3"/>
  <c r="AE37" i="3"/>
  <c r="AE128" i="3" s="1"/>
  <c r="Z37" i="3"/>
  <c r="Z128" i="3" s="1"/>
  <c r="U37" i="3"/>
  <c r="U128" i="3" s="1"/>
  <c r="P37" i="3"/>
  <c r="P128" i="3" s="1"/>
  <c r="K37" i="3"/>
  <c r="K128" i="3" s="1"/>
  <c r="F37" i="3"/>
  <c r="F128" i="3" s="1"/>
  <c r="AE36" i="3"/>
  <c r="AE111" i="3" s="1"/>
  <c r="Z36" i="3"/>
  <c r="Z111" i="3" s="1"/>
  <c r="U36" i="3"/>
  <c r="U111" i="3" s="1"/>
  <c r="P36" i="3"/>
  <c r="P111" i="3" s="1"/>
  <c r="K36" i="3"/>
  <c r="K111" i="3" s="1"/>
  <c r="F36" i="3"/>
  <c r="F111" i="3" s="1"/>
  <c r="AE35" i="3"/>
  <c r="AE114" i="3" s="1"/>
  <c r="Z35" i="3"/>
  <c r="Z114" i="3" s="1"/>
  <c r="U35" i="3"/>
  <c r="U114" i="3" s="1"/>
  <c r="P35" i="3"/>
  <c r="P114" i="3" s="1"/>
  <c r="K35" i="3"/>
  <c r="K114" i="3" s="1"/>
  <c r="F35" i="3"/>
  <c r="F114" i="3" s="1"/>
  <c r="AE34" i="3"/>
  <c r="Z34" i="3"/>
  <c r="U34" i="3"/>
  <c r="P34" i="3"/>
  <c r="K34" i="3"/>
  <c r="F34" i="3"/>
  <c r="AE33" i="3"/>
  <c r="AE117" i="3" s="1"/>
  <c r="Z33" i="3"/>
  <c r="Z117" i="3" s="1"/>
  <c r="U33" i="3"/>
  <c r="U117" i="3" s="1"/>
  <c r="P33" i="3"/>
  <c r="P117" i="3" s="1"/>
  <c r="K33" i="3"/>
  <c r="K117" i="3" s="1"/>
  <c r="F33" i="3"/>
  <c r="F117" i="3" s="1"/>
  <c r="AE32" i="3"/>
  <c r="Z32" i="3"/>
  <c r="U32" i="3"/>
  <c r="P32" i="3"/>
  <c r="K32" i="3"/>
  <c r="F32" i="3"/>
  <c r="AE31" i="3"/>
  <c r="AE58" i="3" s="1"/>
  <c r="Z31" i="3"/>
  <c r="Z58" i="3" s="1"/>
  <c r="U31" i="3"/>
  <c r="U58" i="3" s="1"/>
  <c r="P31" i="3"/>
  <c r="P58" i="3" s="1"/>
  <c r="K31" i="3"/>
  <c r="K58" i="3" s="1"/>
  <c r="F31" i="3"/>
  <c r="F58" i="3" s="1"/>
  <c r="AE30" i="3"/>
  <c r="Z30" i="3"/>
  <c r="U30" i="3"/>
  <c r="P30" i="3"/>
  <c r="K30" i="3"/>
  <c r="F30" i="3"/>
  <c r="AE29" i="3"/>
  <c r="Z29" i="3"/>
  <c r="U29" i="3"/>
  <c r="P29" i="3"/>
  <c r="K29" i="3"/>
  <c r="F29" i="3"/>
  <c r="AD28" i="3"/>
  <c r="AC28" i="3"/>
  <c r="AB28" i="3"/>
  <c r="AA28" i="3"/>
  <c r="Y28" i="3"/>
  <c r="Y27" i="3" s="1"/>
  <c r="X28" i="3"/>
  <c r="W28" i="3"/>
  <c r="W27" i="3" s="1"/>
  <c r="V28" i="3"/>
  <c r="V27" i="3" s="1"/>
  <c r="T28" i="3"/>
  <c r="S28" i="3"/>
  <c r="R28" i="3"/>
  <c r="Q28" i="3"/>
  <c r="O28" i="3"/>
  <c r="N28" i="3"/>
  <c r="M28" i="3"/>
  <c r="L28" i="3"/>
  <c r="J28" i="3"/>
  <c r="I28" i="3"/>
  <c r="H28" i="3"/>
  <c r="G28" i="3"/>
  <c r="E28" i="3"/>
  <c r="D28" i="3"/>
  <c r="D27" i="3" s="1"/>
  <c r="C28" i="3"/>
  <c r="B28" i="3"/>
  <c r="B83" i="3" s="1"/>
  <c r="AD27" i="3"/>
  <c r="AD26" i="3" s="1"/>
  <c r="AE24" i="3"/>
  <c r="Z24" i="3"/>
  <c r="U24" i="3"/>
  <c r="P24" i="3"/>
  <c r="K24" i="3"/>
  <c r="F24" i="3"/>
  <c r="AE23" i="3"/>
  <c r="Z23" i="3"/>
  <c r="U23" i="3"/>
  <c r="P23" i="3"/>
  <c r="K23" i="3"/>
  <c r="F23" i="3"/>
  <c r="AE22" i="3"/>
  <c r="Z22" i="3"/>
  <c r="U22" i="3"/>
  <c r="P22" i="3"/>
  <c r="K22" i="3"/>
  <c r="F22" i="3"/>
  <c r="AE21" i="3"/>
  <c r="Z21" i="3"/>
  <c r="U21" i="3"/>
  <c r="P21" i="3"/>
  <c r="K21" i="3"/>
  <c r="F21" i="3"/>
  <c r="AD20" i="3"/>
  <c r="AC20" i="3"/>
  <c r="AB20" i="3"/>
  <c r="AA20" i="3"/>
  <c r="Y20" i="3"/>
  <c r="X20" i="3"/>
  <c r="W20" i="3"/>
  <c r="V20" i="3"/>
  <c r="T20" i="3"/>
  <c r="S20" i="3"/>
  <c r="R20" i="3"/>
  <c r="Q20" i="3"/>
  <c r="O20" i="3"/>
  <c r="N20" i="3"/>
  <c r="M20" i="3"/>
  <c r="L20" i="3"/>
  <c r="J20" i="3"/>
  <c r="I20" i="3"/>
  <c r="H20" i="3"/>
  <c r="G20" i="3"/>
  <c r="E20" i="3"/>
  <c r="D20" i="3"/>
  <c r="C20" i="3"/>
  <c r="B20" i="3"/>
  <c r="AE19" i="3"/>
  <c r="Z19" i="3"/>
  <c r="U19" i="3"/>
  <c r="P19" i="3"/>
  <c r="K19" i="3"/>
  <c r="F19" i="3"/>
  <c r="AE18" i="3"/>
  <c r="AE124" i="3" s="1"/>
  <c r="Z18" i="3"/>
  <c r="Z124" i="3" s="1"/>
  <c r="U18" i="3"/>
  <c r="U124" i="3" s="1"/>
  <c r="P18" i="3"/>
  <c r="P124" i="3" s="1"/>
  <c r="K18" i="3"/>
  <c r="K124" i="3" s="1"/>
  <c r="F18" i="3"/>
  <c r="F124" i="3" s="1"/>
  <c r="AE17" i="3"/>
  <c r="Z17" i="3"/>
  <c r="U17" i="3"/>
  <c r="P17" i="3"/>
  <c r="K17" i="3"/>
  <c r="F17" i="3"/>
  <c r="AE16" i="3"/>
  <c r="AE126" i="3" s="1"/>
  <c r="Z16" i="3"/>
  <c r="Z126" i="3" s="1"/>
  <c r="U16" i="3"/>
  <c r="U126" i="3" s="1"/>
  <c r="P16" i="3"/>
  <c r="P126" i="3" s="1"/>
  <c r="K16" i="3"/>
  <c r="K126" i="3" s="1"/>
  <c r="F16" i="3"/>
  <c r="F126" i="3" s="1"/>
  <c r="AE15" i="3"/>
  <c r="Z15" i="3"/>
  <c r="U15" i="3"/>
  <c r="P15" i="3"/>
  <c r="K15" i="3"/>
  <c r="F15" i="3"/>
  <c r="AE14" i="3"/>
  <c r="Z14" i="3"/>
  <c r="U14" i="3"/>
  <c r="P14" i="3"/>
  <c r="K14" i="3"/>
  <c r="F14" i="3"/>
  <c r="AE13" i="3"/>
  <c r="Z13" i="3"/>
  <c r="U13" i="3"/>
  <c r="P13" i="3"/>
  <c r="K13" i="3"/>
  <c r="F13" i="3"/>
  <c r="AD12" i="3"/>
  <c r="AC12" i="3"/>
  <c r="AC101" i="3" s="1"/>
  <c r="AB12" i="3"/>
  <c r="AA12" i="3"/>
  <c r="AA101" i="3" s="1"/>
  <c r="Y12" i="3"/>
  <c r="X12" i="3"/>
  <c r="X101" i="3" s="1"/>
  <c r="W12" i="3"/>
  <c r="W101" i="3" s="1"/>
  <c r="V12" i="3"/>
  <c r="V101" i="3" s="1"/>
  <c r="T12" i="3"/>
  <c r="T101" i="3" s="1"/>
  <c r="S12" i="3"/>
  <c r="S101" i="3" s="1"/>
  <c r="R12" i="3"/>
  <c r="Q12" i="3"/>
  <c r="Q101" i="3" s="1"/>
  <c r="O12" i="3"/>
  <c r="N12" i="3"/>
  <c r="M12" i="3"/>
  <c r="L12" i="3"/>
  <c r="L101" i="3" s="1"/>
  <c r="J12" i="3"/>
  <c r="J101" i="3" s="1"/>
  <c r="I12" i="3"/>
  <c r="I101" i="3" s="1"/>
  <c r="H12" i="3"/>
  <c r="G12" i="3"/>
  <c r="E12" i="3"/>
  <c r="E101" i="3" s="1"/>
  <c r="D12" i="3"/>
  <c r="D101" i="3" s="1"/>
  <c r="C12" i="3"/>
  <c r="B12" i="3"/>
  <c r="AE11" i="3"/>
  <c r="AF29" i="2" s="1"/>
  <c r="Z11" i="3"/>
  <c r="AA29" i="2" s="1"/>
  <c r="U11" i="3"/>
  <c r="V29" i="2" s="1"/>
  <c r="P11" i="3"/>
  <c r="Q29" i="2" s="1"/>
  <c r="K11" i="3"/>
  <c r="L29" i="2" s="1"/>
  <c r="F11" i="3"/>
  <c r="G29" i="2" s="1"/>
  <c r="AE10" i="3"/>
  <c r="AE99" i="3" s="1"/>
  <c r="Z10" i="3"/>
  <c r="Z99" i="3" s="1"/>
  <c r="U10" i="3"/>
  <c r="U99" i="3" s="1"/>
  <c r="P10" i="3"/>
  <c r="P99" i="3" s="1"/>
  <c r="K10" i="3"/>
  <c r="F10" i="3"/>
  <c r="AE9" i="3"/>
  <c r="Z9" i="3"/>
  <c r="Z97" i="3" s="1"/>
  <c r="U9" i="3"/>
  <c r="U97" i="3" s="1"/>
  <c r="P9" i="3"/>
  <c r="P97" i="3" s="1"/>
  <c r="K9" i="3"/>
  <c r="F9" i="3"/>
  <c r="F97" i="3" s="1"/>
  <c r="AD8" i="3"/>
  <c r="AC8" i="3"/>
  <c r="AB8" i="3"/>
  <c r="AA8" i="3"/>
  <c r="Y8" i="3"/>
  <c r="X8" i="3"/>
  <c r="W8" i="3"/>
  <c r="V8" i="3"/>
  <c r="T8" i="3"/>
  <c r="S8" i="3"/>
  <c r="R8" i="3"/>
  <c r="Q8" i="3"/>
  <c r="O8" i="3"/>
  <c r="N8" i="3"/>
  <c r="M8" i="3"/>
  <c r="L8" i="3"/>
  <c r="J8" i="3"/>
  <c r="I8" i="3"/>
  <c r="H8" i="3"/>
  <c r="G8" i="3"/>
  <c r="E8" i="3"/>
  <c r="D8" i="3"/>
  <c r="C8" i="3"/>
  <c r="B8" i="3"/>
  <c r="AE7" i="3"/>
  <c r="Z7" i="3"/>
  <c r="U7" i="3"/>
  <c r="P7" i="3"/>
  <c r="K7" i="3"/>
  <c r="F7" i="3"/>
  <c r="AE6" i="3"/>
  <c r="Z6" i="3"/>
  <c r="U6" i="3"/>
  <c r="P6" i="3"/>
  <c r="K6" i="3"/>
  <c r="F6" i="3"/>
  <c r="AD109" i="2"/>
  <c r="AE109" i="2" s="1"/>
  <c r="AC109" i="2"/>
  <c r="AC110" i="2" s="1"/>
  <c r="AB109" i="2"/>
  <c r="AB110" i="2" s="1"/>
  <c r="AA109" i="2"/>
  <c r="AA110" i="2" s="1"/>
  <c r="Y109" i="2"/>
  <c r="Z109" i="2" s="1"/>
  <c r="X109" i="2"/>
  <c r="X110" i="2" s="1"/>
  <c r="W109" i="2"/>
  <c r="W110" i="2" s="1"/>
  <c r="V109" i="2"/>
  <c r="V110" i="2" s="1"/>
  <c r="T109" i="2"/>
  <c r="T110" i="2" s="1"/>
  <c r="S109" i="2"/>
  <c r="S110" i="2" s="1"/>
  <c r="R109" i="2"/>
  <c r="R110" i="2" s="1"/>
  <c r="Q109" i="2"/>
  <c r="Q110" i="2" s="1"/>
  <c r="O109" i="2"/>
  <c r="O110" i="2" s="1"/>
  <c r="N109" i="2"/>
  <c r="N110" i="2" s="1"/>
  <c r="M109" i="2"/>
  <c r="M110" i="2" s="1"/>
  <c r="L109" i="2"/>
  <c r="L110" i="2" s="1"/>
  <c r="J109" i="2"/>
  <c r="J110" i="2" s="1"/>
  <c r="I109" i="2"/>
  <c r="I110" i="2" s="1"/>
  <c r="H109" i="2"/>
  <c r="H110" i="2" s="1"/>
  <c r="G109" i="2"/>
  <c r="G110" i="2" s="1"/>
  <c r="E109" i="2"/>
  <c r="D109" i="2"/>
  <c r="D110" i="2" s="1"/>
  <c r="C109" i="2"/>
  <c r="C110" i="2" s="1"/>
  <c r="B109" i="2"/>
  <c r="B110" i="2" s="1"/>
  <c r="AE108" i="2"/>
  <c r="Z108" i="2"/>
  <c r="U108" i="2"/>
  <c r="P108" i="2"/>
  <c r="K108" i="2"/>
  <c r="F108" i="2"/>
  <c r="AE107" i="2"/>
  <c r="AE32" i="4" s="1"/>
  <c r="Z107" i="2"/>
  <c r="U107" i="2"/>
  <c r="P107" i="2"/>
  <c r="K107" i="2"/>
  <c r="F107" i="2"/>
  <c r="Y101" i="2"/>
  <c r="O101" i="2"/>
  <c r="M101" i="2"/>
  <c r="E101" i="2"/>
  <c r="D101" i="2"/>
  <c r="AD101" i="2"/>
  <c r="AC101" i="2"/>
  <c r="AB101" i="2"/>
  <c r="X101" i="2"/>
  <c r="W101" i="2"/>
  <c r="T101" i="2"/>
  <c r="S101" i="2"/>
  <c r="R101" i="2"/>
  <c r="N101" i="2"/>
  <c r="J101" i="2"/>
  <c r="I101" i="2"/>
  <c r="H101" i="2"/>
  <c r="C101" i="2"/>
  <c r="B101" i="2"/>
  <c r="AE99" i="2"/>
  <c r="AE100" i="2" s="1"/>
  <c r="AE101" i="2" s="1"/>
  <c r="Z99" i="2"/>
  <c r="U99" i="2"/>
  <c r="U100" i="2" s="1"/>
  <c r="U101" i="2" s="1"/>
  <c r="P99" i="2"/>
  <c r="K99" i="2"/>
  <c r="F99" i="2"/>
  <c r="AD95" i="2"/>
  <c r="AD102" i="2" s="1"/>
  <c r="AC95" i="2"/>
  <c r="AB95" i="2"/>
  <c r="AA95" i="2"/>
  <c r="Y95" i="2"/>
  <c r="X95" i="2"/>
  <c r="X102" i="2" s="1"/>
  <c r="W95" i="2"/>
  <c r="V95" i="2"/>
  <c r="T95" i="2"/>
  <c r="S95" i="2"/>
  <c r="S96" i="2" s="1"/>
  <c r="R95" i="2"/>
  <c r="R98" i="2" s="1"/>
  <c r="Q95" i="2"/>
  <c r="Q98" i="2" s="1"/>
  <c r="O95" i="2"/>
  <c r="N95" i="2"/>
  <c r="M95" i="2"/>
  <c r="L95" i="2"/>
  <c r="L102" i="2" s="1"/>
  <c r="J95" i="2"/>
  <c r="I95" i="2"/>
  <c r="H95" i="2"/>
  <c r="G95" i="2"/>
  <c r="E95" i="2"/>
  <c r="D95" i="2"/>
  <c r="C95" i="2"/>
  <c r="C96" i="2" s="1"/>
  <c r="B95" i="2"/>
  <c r="B102" i="2" s="1"/>
  <c r="AE94" i="2"/>
  <c r="Z94" i="2"/>
  <c r="U94" i="2"/>
  <c r="P94" i="2"/>
  <c r="K94" i="2"/>
  <c r="F94" i="2"/>
  <c r="AD80" i="2"/>
  <c r="AC80" i="2"/>
  <c r="AB80" i="2"/>
  <c r="AA80" i="2"/>
  <c r="Y80" i="2"/>
  <c r="X80" i="2"/>
  <c r="W80" i="2"/>
  <c r="V80" i="2"/>
  <c r="T80" i="2"/>
  <c r="S80" i="2"/>
  <c r="R80" i="2"/>
  <c r="Q80" i="2"/>
  <c r="O80" i="2"/>
  <c r="N80" i="2"/>
  <c r="M80" i="2"/>
  <c r="L80" i="2"/>
  <c r="J80" i="2"/>
  <c r="I80" i="2"/>
  <c r="H80" i="2"/>
  <c r="G80" i="2"/>
  <c r="E80" i="2"/>
  <c r="D80" i="2"/>
  <c r="C80" i="2"/>
  <c r="B80" i="2"/>
  <c r="AD79" i="2"/>
  <c r="AC79" i="2"/>
  <c r="AB79" i="2"/>
  <c r="AA79" i="2"/>
  <c r="Y79" i="2"/>
  <c r="X79" i="2"/>
  <c r="W79" i="2"/>
  <c r="V79" i="2"/>
  <c r="T79" i="2"/>
  <c r="S79" i="2"/>
  <c r="R79" i="2"/>
  <c r="Q79" i="2"/>
  <c r="O79" i="2"/>
  <c r="N79" i="2"/>
  <c r="M79" i="2"/>
  <c r="L79" i="2"/>
  <c r="J79" i="2"/>
  <c r="I79" i="2"/>
  <c r="H79" i="2"/>
  <c r="G79" i="2"/>
  <c r="E79" i="2"/>
  <c r="D79" i="2"/>
  <c r="C79" i="2"/>
  <c r="B79" i="2"/>
  <c r="AD72" i="2"/>
  <c r="AC72" i="2"/>
  <c r="AB72" i="2"/>
  <c r="AA72" i="2"/>
  <c r="Y72" i="2"/>
  <c r="X72" i="2"/>
  <c r="W72" i="2"/>
  <c r="V72" i="2"/>
  <c r="T72" i="2"/>
  <c r="S72" i="2"/>
  <c r="R72" i="2"/>
  <c r="Q72" i="2"/>
  <c r="O72" i="2"/>
  <c r="N72" i="2"/>
  <c r="M72" i="2"/>
  <c r="L72" i="2"/>
  <c r="J72" i="2"/>
  <c r="I72" i="2"/>
  <c r="H72" i="2"/>
  <c r="G72" i="2"/>
  <c r="E72" i="2"/>
  <c r="D72" i="2"/>
  <c r="C72" i="2"/>
  <c r="B72" i="2"/>
  <c r="AD71" i="2"/>
  <c r="AC71" i="2"/>
  <c r="AB71" i="2"/>
  <c r="AA71" i="2"/>
  <c r="Y71" i="2"/>
  <c r="X71" i="2"/>
  <c r="W71" i="2"/>
  <c r="V71" i="2"/>
  <c r="T71" i="2"/>
  <c r="S71" i="2"/>
  <c r="R71" i="2"/>
  <c r="Q71" i="2"/>
  <c r="O71" i="2"/>
  <c r="N71" i="2"/>
  <c r="M71" i="2"/>
  <c r="L71" i="2"/>
  <c r="J71" i="2"/>
  <c r="I71" i="2"/>
  <c r="H71" i="2"/>
  <c r="G71" i="2"/>
  <c r="E71" i="2"/>
  <c r="D71" i="2"/>
  <c r="C71" i="2"/>
  <c r="B71" i="2"/>
  <c r="AD69" i="2"/>
  <c r="AC69" i="2"/>
  <c r="AB69" i="2"/>
  <c r="AA69" i="2"/>
  <c r="Y69" i="2"/>
  <c r="X69" i="2"/>
  <c r="W69" i="2"/>
  <c r="V69" i="2"/>
  <c r="T69" i="2"/>
  <c r="S69" i="2"/>
  <c r="R69" i="2"/>
  <c r="Q69" i="2"/>
  <c r="O69" i="2"/>
  <c r="N69" i="2"/>
  <c r="M69" i="2"/>
  <c r="L69" i="2"/>
  <c r="J69" i="2"/>
  <c r="I69" i="2"/>
  <c r="H69" i="2"/>
  <c r="G69" i="2"/>
  <c r="E69" i="2"/>
  <c r="D69" i="2"/>
  <c r="C69" i="2"/>
  <c r="B69" i="2"/>
  <c r="AD68" i="2"/>
  <c r="AC68" i="2"/>
  <c r="AB68" i="2"/>
  <c r="AA68" i="2"/>
  <c r="Y68" i="2"/>
  <c r="X68" i="2"/>
  <c r="W68" i="2"/>
  <c r="V68" i="2"/>
  <c r="T68" i="2"/>
  <c r="S68" i="2"/>
  <c r="R68" i="2"/>
  <c r="Q68" i="2"/>
  <c r="O68" i="2"/>
  <c r="N68" i="2"/>
  <c r="M68" i="2"/>
  <c r="L68" i="2"/>
  <c r="J68" i="2"/>
  <c r="I68" i="2"/>
  <c r="H68" i="2"/>
  <c r="G68" i="2"/>
  <c r="E68" i="2"/>
  <c r="D68" i="2"/>
  <c r="C68" i="2"/>
  <c r="B68" i="2"/>
  <c r="AD67" i="2"/>
  <c r="AD66" i="2" s="1"/>
  <c r="AC67" i="2"/>
  <c r="AB67" i="2"/>
  <c r="AA67" i="2"/>
  <c r="Y67" i="2"/>
  <c r="X67" i="2"/>
  <c r="X66" i="2" s="1"/>
  <c r="W67" i="2"/>
  <c r="V67" i="2"/>
  <c r="V66" i="2" s="1"/>
  <c r="T67" i="2"/>
  <c r="T66" i="2" s="1"/>
  <c r="S67" i="2"/>
  <c r="S66" i="2" s="1"/>
  <c r="R67" i="2"/>
  <c r="R66" i="2" s="1"/>
  <c r="Q67" i="2"/>
  <c r="Q66" i="2" s="1"/>
  <c r="O67" i="2"/>
  <c r="N67" i="2"/>
  <c r="M67" i="2"/>
  <c r="L67" i="2"/>
  <c r="L66" i="2" s="1"/>
  <c r="J67" i="2"/>
  <c r="J66" i="2" s="1"/>
  <c r="I67" i="2"/>
  <c r="H67" i="2"/>
  <c r="G67" i="2"/>
  <c r="E67" i="2"/>
  <c r="D67" i="2"/>
  <c r="D66" i="2" s="1"/>
  <c r="C67" i="2"/>
  <c r="B67" i="2"/>
  <c r="B66" i="2" s="1"/>
  <c r="AE64" i="2"/>
  <c r="AE78" i="3" s="1"/>
  <c r="Z64" i="2"/>
  <c r="Z78" i="3" s="1"/>
  <c r="U64" i="2"/>
  <c r="U78" i="3" s="1"/>
  <c r="P64" i="2"/>
  <c r="P78" i="3" s="1"/>
  <c r="K64" i="2"/>
  <c r="K78" i="3" s="1"/>
  <c r="F64" i="2"/>
  <c r="F78" i="3" s="1"/>
  <c r="AD62" i="2"/>
  <c r="AC62" i="2"/>
  <c r="AB62" i="2"/>
  <c r="AA62" i="2"/>
  <c r="Y62" i="2"/>
  <c r="X62" i="2"/>
  <c r="W62" i="2"/>
  <c r="V62" i="2"/>
  <c r="T62" i="2"/>
  <c r="S62" i="2"/>
  <c r="R62" i="2"/>
  <c r="Q62" i="2"/>
  <c r="O62" i="2"/>
  <c r="N62" i="2"/>
  <c r="M62" i="2"/>
  <c r="L62" i="2"/>
  <c r="J62" i="2"/>
  <c r="I62" i="2"/>
  <c r="H62" i="2"/>
  <c r="G62" i="2"/>
  <c r="E62" i="2"/>
  <c r="D62" i="2"/>
  <c r="C62" i="2"/>
  <c r="B62" i="2"/>
  <c r="AD60" i="2"/>
  <c r="AC60" i="2"/>
  <c r="AB60" i="2"/>
  <c r="AA60" i="2"/>
  <c r="Y60" i="2"/>
  <c r="X60" i="2"/>
  <c r="W60" i="2"/>
  <c r="V60" i="2"/>
  <c r="T60" i="2"/>
  <c r="S60" i="2"/>
  <c r="R60" i="2"/>
  <c r="Q60" i="2"/>
  <c r="O60" i="2"/>
  <c r="N60" i="2"/>
  <c r="M60" i="2"/>
  <c r="L60" i="2"/>
  <c r="J60" i="2"/>
  <c r="I60" i="2"/>
  <c r="H60" i="2"/>
  <c r="G60" i="2"/>
  <c r="E60" i="2"/>
  <c r="D60" i="2"/>
  <c r="C60" i="2"/>
  <c r="B60" i="2"/>
  <c r="AE55" i="2"/>
  <c r="Z55" i="2"/>
  <c r="Z53" i="2" s="1"/>
  <c r="U55" i="2"/>
  <c r="U53" i="2" s="1"/>
  <c r="P55" i="2"/>
  <c r="P53" i="2" s="1"/>
  <c r="K55" i="2"/>
  <c r="K53" i="2" s="1"/>
  <c r="F55" i="2"/>
  <c r="AD53" i="2"/>
  <c r="AC53" i="2"/>
  <c r="AB53" i="2"/>
  <c r="AA53" i="2"/>
  <c r="Y53" i="2"/>
  <c r="X53" i="2"/>
  <c r="W53" i="2"/>
  <c r="V53" i="2"/>
  <c r="T53" i="2"/>
  <c r="S53" i="2"/>
  <c r="R53" i="2"/>
  <c r="Q53" i="2"/>
  <c r="O53" i="2"/>
  <c r="N53" i="2"/>
  <c r="M53" i="2"/>
  <c r="L53" i="2"/>
  <c r="J53" i="2"/>
  <c r="I53" i="2"/>
  <c r="H53" i="2"/>
  <c r="G53" i="2"/>
  <c r="E53" i="2"/>
  <c r="D53" i="2"/>
  <c r="C53" i="2"/>
  <c r="B53" i="2"/>
  <c r="AD50" i="2"/>
  <c r="AC50" i="2"/>
  <c r="AB50" i="2"/>
  <c r="AA50" i="2"/>
  <c r="Y50" i="2"/>
  <c r="X50" i="2"/>
  <c r="W50" i="2"/>
  <c r="V50" i="2"/>
  <c r="T50" i="2"/>
  <c r="S50" i="2"/>
  <c r="R50" i="2"/>
  <c r="Q50" i="2"/>
  <c r="O50" i="2"/>
  <c r="N50" i="2"/>
  <c r="M50" i="2"/>
  <c r="L50" i="2"/>
  <c r="J50" i="2"/>
  <c r="I50" i="2"/>
  <c r="H50" i="2"/>
  <c r="G50" i="2"/>
  <c r="E50" i="2"/>
  <c r="D50" i="2"/>
  <c r="C50" i="2"/>
  <c r="B50" i="2"/>
  <c r="F50" i="2" s="1"/>
  <c r="AE49" i="2"/>
  <c r="Z49" i="2"/>
  <c r="U49" i="2"/>
  <c r="P49" i="2"/>
  <c r="K49" i="2"/>
  <c r="F49" i="2"/>
  <c r="AE48" i="2"/>
  <c r="Z48" i="2"/>
  <c r="U48" i="2"/>
  <c r="P48" i="2"/>
  <c r="K48" i="2"/>
  <c r="F48" i="2"/>
  <c r="AE43" i="2"/>
  <c r="AE72" i="2" s="1"/>
  <c r="Z43" i="2"/>
  <c r="Z72" i="2" s="1"/>
  <c r="U43" i="2"/>
  <c r="P43" i="2"/>
  <c r="P72" i="2" s="1"/>
  <c r="K43" i="2"/>
  <c r="F43" i="2"/>
  <c r="F72" i="2" s="1"/>
  <c r="AE40" i="2"/>
  <c r="Z40" i="2"/>
  <c r="U40" i="2"/>
  <c r="P40" i="2"/>
  <c r="K40" i="2"/>
  <c r="F40" i="2"/>
  <c r="AE38" i="2"/>
  <c r="Z38" i="2"/>
  <c r="U38" i="2"/>
  <c r="P38" i="2"/>
  <c r="K38" i="2"/>
  <c r="F38" i="2"/>
  <c r="AE36" i="2"/>
  <c r="Z36" i="2"/>
  <c r="U36" i="2"/>
  <c r="P36" i="2"/>
  <c r="K36" i="2"/>
  <c r="F36" i="2"/>
  <c r="AE34" i="2"/>
  <c r="Z34" i="2"/>
  <c r="U34" i="2"/>
  <c r="P34" i="2"/>
  <c r="K34" i="2"/>
  <c r="F34" i="2"/>
  <c r="AE33" i="2"/>
  <c r="Z33" i="2"/>
  <c r="U33" i="2"/>
  <c r="P33" i="2"/>
  <c r="K33" i="2"/>
  <c r="F33" i="2"/>
  <c r="AE32" i="2"/>
  <c r="Z32" i="2"/>
  <c r="U32" i="2"/>
  <c r="P32" i="2"/>
  <c r="K32" i="2"/>
  <c r="F32" i="2"/>
  <c r="AE31" i="2"/>
  <c r="Z31" i="2"/>
  <c r="U31" i="2"/>
  <c r="P31" i="2"/>
  <c r="K31" i="2"/>
  <c r="F31" i="2"/>
  <c r="AD30" i="2"/>
  <c r="AC30" i="2"/>
  <c r="AB30" i="2"/>
  <c r="AA30" i="2"/>
  <c r="Y30" i="2"/>
  <c r="X30" i="2"/>
  <c r="W30" i="2"/>
  <c r="V30" i="2"/>
  <c r="T30" i="2"/>
  <c r="S30" i="2"/>
  <c r="R30" i="2"/>
  <c r="Q30" i="2"/>
  <c r="O30" i="2"/>
  <c r="N30" i="2"/>
  <c r="M30" i="2"/>
  <c r="L30" i="2"/>
  <c r="J30" i="2"/>
  <c r="I30" i="2"/>
  <c r="H30" i="2"/>
  <c r="G30" i="2"/>
  <c r="E30" i="2"/>
  <c r="D30" i="2"/>
  <c r="C30" i="2"/>
  <c r="B30" i="2"/>
  <c r="AE28" i="2"/>
  <c r="AE29" i="2" s="1"/>
  <c r="Z28" i="2"/>
  <c r="Z29" i="2" s="1"/>
  <c r="U28" i="2"/>
  <c r="U29" i="2" s="1"/>
  <c r="P28" i="2"/>
  <c r="P29" i="2" s="1"/>
  <c r="K28" i="2"/>
  <c r="F28" i="2"/>
  <c r="F29" i="2" s="1"/>
  <c r="AE26" i="2"/>
  <c r="Z26" i="2"/>
  <c r="U26" i="2"/>
  <c r="P26" i="2"/>
  <c r="K26" i="2"/>
  <c r="F26" i="2"/>
  <c r="AE24" i="2"/>
  <c r="AE25" i="2" s="1"/>
  <c r="Z24" i="2"/>
  <c r="U24" i="2"/>
  <c r="U25" i="2" s="1"/>
  <c r="P24" i="2"/>
  <c r="K24" i="2"/>
  <c r="K25" i="2" s="1"/>
  <c r="F24" i="2"/>
  <c r="F25" i="2" s="1"/>
  <c r="AD23" i="2"/>
  <c r="AC23" i="2"/>
  <c r="AB23" i="2"/>
  <c r="AA23" i="2"/>
  <c r="AA17" i="2" s="1"/>
  <c r="Y23" i="2"/>
  <c r="X23" i="2"/>
  <c r="W23" i="2"/>
  <c r="V23" i="2"/>
  <c r="T23" i="2"/>
  <c r="S23" i="2"/>
  <c r="R23" i="2"/>
  <c r="Q23" i="2"/>
  <c r="O23" i="2"/>
  <c r="N23" i="2"/>
  <c r="N17" i="2" s="1"/>
  <c r="M23" i="2"/>
  <c r="L23" i="2"/>
  <c r="J23" i="2"/>
  <c r="I23" i="2"/>
  <c r="H23" i="2"/>
  <c r="G23" i="2"/>
  <c r="E23" i="2"/>
  <c r="D23" i="2"/>
  <c r="C23" i="2"/>
  <c r="B23" i="2"/>
  <c r="AE21" i="2"/>
  <c r="Z21" i="2"/>
  <c r="U21" i="2"/>
  <c r="P21" i="2"/>
  <c r="K21" i="2"/>
  <c r="F21" i="2"/>
  <c r="AA20" i="2"/>
  <c r="T20" i="2"/>
  <c r="L20" i="2"/>
  <c r="AE18" i="2"/>
  <c r="Z18" i="2"/>
  <c r="U18" i="2"/>
  <c r="P18" i="2"/>
  <c r="K18" i="2"/>
  <c r="F18" i="2"/>
  <c r="AD15" i="2"/>
  <c r="AC15" i="2"/>
  <c r="AB15" i="2"/>
  <c r="AA15" i="2"/>
  <c r="Y15" i="2"/>
  <c r="X15" i="2"/>
  <c r="W15" i="2"/>
  <c r="V15" i="2"/>
  <c r="T15" i="2"/>
  <c r="S15" i="2"/>
  <c r="R15" i="2"/>
  <c r="Q15" i="2"/>
  <c r="O15" i="2"/>
  <c r="N15" i="2"/>
  <c r="M15" i="2"/>
  <c r="L15" i="2"/>
  <c r="J15" i="2"/>
  <c r="I15" i="2"/>
  <c r="H15" i="2"/>
  <c r="G15" i="2"/>
  <c r="E15" i="2"/>
  <c r="D15" i="2"/>
  <c r="C15" i="2"/>
  <c r="B15" i="2"/>
  <c r="AE14" i="2"/>
  <c r="Z14" i="2"/>
  <c r="U14" i="2"/>
  <c r="P14" i="2"/>
  <c r="K14" i="2"/>
  <c r="F14" i="2"/>
  <c r="AE13" i="2"/>
  <c r="Z13" i="2"/>
  <c r="U13" i="2"/>
  <c r="P13" i="2"/>
  <c r="K13" i="2"/>
  <c r="F13" i="2"/>
  <c r="AD12" i="2"/>
  <c r="AC12" i="2"/>
  <c r="AB12" i="2"/>
  <c r="AA12" i="2"/>
  <c r="Y12" i="2"/>
  <c r="X12" i="2"/>
  <c r="W12" i="2"/>
  <c r="V12" i="2"/>
  <c r="T12" i="2"/>
  <c r="S12" i="2"/>
  <c r="R12" i="2"/>
  <c r="Q12" i="2"/>
  <c r="O12" i="2"/>
  <c r="N12" i="2"/>
  <c r="M12" i="2"/>
  <c r="L12" i="2"/>
  <c r="J12" i="2"/>
  <c r="I12" i="2"/>
  <c r="H12" i="2"/>
  <c r="G12" i="2"/>
  <c r="E12" i="2"/>
  <c r="D12" i="2"/>
  <c r="C12" i="2"/>
  <c r="B12" i="2"/>
  <c r="AE11" i="2"/>
  <c r="AE60" i="2" s="1"/>
  <c r="Z11" i="2"/>
  <c r="U11" i="2"/>
  <c r="P11" i="2"/>
  <c r="K11" i="2"/>
  <c r="K60" i="2" s="1"/>
  <c r="F11" i="2"/>
  <c r="F60" i="2" s="1"/>
  <c r="AD10" i="2"/>
  <c r="AC10" i="2"/>
  <c r="AB10" i="2"/>
  <c r="AA10" i="2"/>
  <c r="Y10" i="2"/>
  <c r="X10" i="2"/>
  <c r="W10" i="2"/>
  <c r="V10" i="2"/>
  <c r="T10" i="2"/>
  <c r="S10" i="2"/>
  <c r="R10" i="2"/>
  <c r="Q10" i="2"/>
  <c r="O10" i="2"/>
  <c r="N10" i="2"/>
  <c r="M10" i="2"/>
  <c r="L10" i="2"/>
  <c r="J10" i="2"/>
  <c r="I10" i="2"/>
  <c r="H10" i="2"/>
  <c r="G10" i="2"/>
  <c r="E10" i="2"/>
  <c r="D10" i="2"/>
  <c r="C10" i="2"/>
  <c r="B10" i="2"/>
  <c r="AE7" i="2"/>
  <c r="Z7" i="2"/>
  <c r="U7" i="2"/>
  <c r="P7" i="2"/>
  <c r="K7" i="2"/>
  <c r="F7" i="2"/>
  <c r="AE6" i="2"/>
  <c r="Z6" i="2"/>
  <c r="U6" i="2"/>
  <c r="U80" i="2" s="1"/>
  <c r="P6" i="2"/>
  <c r="K6" i="2"/>
  <c r="F6" i="2"/>
  <c r="AE5" i="2"/>
  <c r="Z5" i="2"/>
  <c r="U5" i="2"/>
  <c r="P5" i="2"/>
  <c r="K5" i="2"/>
  <c r="F5" i="2"/>
  <c r="AD4" i="2"/>
  <c r="AD8" i="2" s="1"/>
  <c r="AC4" i="2"/>
  <c r="AC8" i="2" s="1"/>
  <c r="AB4" i="2"/>
  <c r="AB9" i="2" s="1"/>
  <c r="AA4" i="2"/>
  <c r="Y4" i="2"/>
  <c r="X4" i="2"/>
  <c r="X9" i="2" s="1"/>
  <c r="W4" i="2"/>
  <c r="V4" i="2"/>
  <c r="T4" i="2"/>
  <c r="T8" i="2" s="1"/>
  <c r="S4" i="2"/>
  <c r="S8" i="2" s="1"/>
  <c r="R4" i="2"/>
  <c r="Q4" i="2"/>
  <c r="Q9" i="2" s="1"/>
  <c r="O4" i="2"/>
  <c r="N4" i="2"/>
  <c r="M4" i="2"/>
  <c r="L4" i="2"/>
  <c r="J4" i="2"/>
  <c r="J9" i="2" s="1"/>
  <c r="I4" i="2"/>
  <c r="H4" i="2"/>
  <c r="G4" i="2"/>
  <c r="G8" i="2" s="1"/>
  <c r="E4" i="2"/>
  <c r="E8" i="2" s="1"/>
  <c r="D4" i="2"/>
  <c r="D8" i="2" s="1"/>
  <c r="C4" i="2"/>
  <c r="C8" i="2" s="1"/>
  <c r="B4" i="2"/>
  <c r="B8" i="2" s="1"/>
  <c r="BZ13" i="3"/>
  <c r="BZ105" i="3" s="1"/>
  <c r="BZ106" i="3" s="1"/>
  <c r="BZ41" i="4"/>
  <c r="BZ32" i="4"/>
  <c r="CB34" i="4" s="1"/>
  <c r="BZ128" i="3"/>
  <c r="BZ126" i="3"/>
  <c r="BZ124" i="3"/>
  <c r="BZ120" i="3"/>
  <c r="CA122" i="3" s="1"/>
  <c r="BZ117" i="3"/>
  <c r="BZ115" i="3"/>
  <c r="BZ114" i="3"/>
  <c r="BZ109" i="3"/>
  <c r="BZ110" i="3" s="1"/>
  <c r="BZ97" i="3"/>
  <c r="BZ72" i="3"/>
  <c r="BZ38" i="3"/>
  <c r="BZ44" i="3"/>
  <c r="BZ43" i="3" s="1"/>
  <c r="CA84" i="3" s="1"/>
  <c r="BZ41" i="3"/>
  <c r="BZ40" i="3"/>
  <c r="BZ36" i="3"/>
  <c r="BZ111" i="3" s="1"/>
  <c r="BZ30" i="3"/>
  <c r="BZ19" i="3"/>
  <c r="BZ10" i="3"/>
  <c r="BZ8" i="3" s="1"/>
  <c r="BZ6" i="3"/>
  <c r="N25" i="12" s="1"/>
  <c r="BZ20" i="3"/>
  <c r="CG20" i="2"/>
  <c r="U12" i="2" l="1"/>
  <c r="D26" i="3"/>
  <c r="M108" i="3"/>
  <c r="W26" i="3"/>
  <c r="CA72" i="3"/>
  <c r="CB72" i="3"/>
  <c r="W113" i="3"/>
  <c r="CA81" i="3"/>
  <c r="N23" i="12"/>
  <c r="CA39" i="4"/>
  <c r="CA113" i="2" s="1"/>
  <c r="CA114" i="2" s="1"/>
  <c r="CA87" i="3"/>
  <c r="CA25" i="2"/>
  <c r="F46" i="4"/>
  <c r="AC20" i="2"/>
  <c r="B103" i="2"/>
  <c r="B104" i="2" s="1"/>
  <c r="B79" i="3"/>
  <c r="P68" i="2"/>
  <c r="M122" i="3"/>
  <c r="D17" i="2"/>
  <c r="S17" i="2"/>
  <c r="Y36" i="4"/>
  <c r="E17" i="2"/>
  <c r="T17" i="2"/>
  <c r="I113" i="3"/>
  <c r="E66" i="2"/>
  <c r="H20" i="2"/>
  <c r="V108" i="3"/>
  <c r="W108" i="3"/>
  <c r="M55" i="3"/>
  <c r="K43" i="3"/>
  <c r="M113" i="3"/>
  <c r="P28" i="3"/>
  <c r="Q96" i="2" s="1"/>
  <c r="Q97" i="2" s="1"/>
  <c r="S55" i="3"/>
  <c r="S60" i="3"/>
  <c r="S61" i="3" s="1"/>
  <c r="S63" i="3" s="1"/>
  <c r="AE20" i="3"/>
  <c r="U28" i="3"/>
  <c r="U27" i="3" s="1"/>
  <c r="U43" i="3"/>
  <c r="U65" i="3" s="1"/>
  <c r="AE28" i="3"/>
  <c r="G66" i="2"/>
  <c r="AB17" i="2"/>
  <c r="H17" i="2"/>
  <c r="W17" i="2"/>
  <c r="AD20" i="2"/>
  <c r="O108" i="3"/>
  <c r="AD108" i="3"/>
  <c r="AD116" i="3"/>
  <c r="B125" i="3"/>
  <c r="I42" i="4"/>
  <c r="X42" i="4"/>
  <c r="D122" i="3"/>
  <c r="T14" i="4"/>
  <c r="T33" i="4" s="1"/>
  <c r="K46" i="4"/>
  <c r="K106" i="3"/>
  <c r="AA18" i="4"/>
  <c r="O20" i="2"/>
  <c r="Z105" i="3"/>
  <c r="Z106" i="3" s="1"/>
  <c r="S20" i="2"/>
  <c r="C17" i="2"/>
  <c r="O96" i="2"/>
  <c r="O97" i="2" s="1"/>
  <c r="AD103" i="2"/>
  <c r="AD104" i="2" s="1"/>
  <c r="Z28" i="3"/>
  <c r="Z51" i="3" s="1"/>
  <c r="Z43" i="3"/>
  <c r="Z134" i="3" s="1"/>
  <c r="R116" i="3"/>
  <c r="C129" i="3"/>
  <c r="R14" i="4"/>
  <c r="R33" i="4" s="1"/>
  <c r="Y66" i="2"/>
  <c r="J5" i="3"/>
  <c r="J4" i="3" s="1"/>
  <c r="J140" i="3" s="1"/>
  <c r="S14" i="4"/>
  <c r="S33" i="4" s="1"/>
  <c r="U20" i="3"/>
  <c r="AB8" i="2"/>
  <c r="L5" i="3"/>
  <c r="L4" i="3" s="1"/>
  <c r="L140" i="3" s="1"/>
  <c r="AE112" i="3"/>
  <c r="AE113" i="3" s="1"/>
  <c r="X108" i="3"/>
  <c r="AB81" i="3"/>
  <c r="AB82" i="3" s="1"/>
  <c r="AC9" i="2"/>
  <c r="AC41" i="2" s="1"/>
  <c r="Y108" i="3"/>
  <c r="V125" i="3"/>
  <c r="AA14" i="4"/>
  <c r="AA33" i="4" s="1"/>
  <c r="F16" i="4"/>
  <c r="P106" i="3"/>
  <c r="K149" i="3"/>
  <c r="F6" i="4"/>
  <c r="C66" i="2"/>
  <c r="C55" i="3"/>
  <c r="J106" i="3"/>
  <c r="K29" i="4"/>
  <c r="Y96" i="2"/>
  <c r="Y97" i="2" s="1"/>
  <c r="Z12" i="2"/>
  <c r="Z110" i="2"/>
  <c r="Q108" i="3"/>
  <c r="J96" i="2"/>
  <c r="J97" i="2" s="1"/>
  <c r="R20" i="2"/>
  <c r="C108" i="3"/>
  <c r="R108" i="3"/>
  <c r="BZ125" i="3"/>
  <c r="F80" i="2"/>
  <c r="X122" i="3"/>
  <c r="Z121" i="3"/>
  <c r="Z122" i="3" s="1"/>
  <c r="S36" i="4"/>
  <c r="AC81" i="3"/>
  <c r="AC82" i="3" s="1"/>
  <c r="O125" i="3"/>
  <c r="H60" i="3"/>
  <c r="H61" i="3" s="1"/>
  <c r="H63" i="3" s="1"/>
  <c r="W36" i="4"/>
  <c r="X36" i="4"/>
  <c r="H42" i="4"/>
  <c r="H96" i="2"/>
  <c r="H97" i="2" s="1"/>
  <c r="W96" i="2"/>
  <c r="W97" i="2" s="1"/>
  <c r="AD129" i="3"/>
  <c r="F79" i="2"/>
  <c r="P112" i="3"/>
  <c r="P113" i="3" s="1"/>
  <c r="N125" i="3"/>
  <c r="AC125" i="3"/>
  <c r="AC127" i="3"/>
  <c r="AE149" i="3"/>
  <c r="H36" i="4"/>
  <c r="AB55" i="3"/>
  <c r="Q125" i="3"/>
  <c r="Q127" i="3"/>
  <c r="Z16" i="4"/>
  <c r="I36" i="4"/>
  <c r="M42" i="4"/>
  <c r="AC17" i="2"/>
  <c r="I17" i="2"/>
  <c r="X17" i="2"/>
  <c r="N55" i="3"/>
  <c r="H129" i="3"/>
  <c r="U115" i="3"/>
  <c r="U116" i="3" s="1"/>
  <c r="R125" i="3"/>
  <c r="R129" i="3"/>
  <c r="N96" i="2"/>
  <c r="N97" i="2" s="1"/>
  <c r="AC96" i="2"/>
  <c r="AC97" i="2" s="1"/>
  <c r="O60" i="3"/>
  <c r="O61" i="3" s="1"/>
  <c r="O63" i="3" s="1"/>
  <c r="I127" i="3"/>
  <c r="D14" i="4"/>
  <c r="D33" i="4" s="1"/>
  <c r="AE79" i="2"/>
  <c r="J127" i="3"/>
  <c r="W122" i="3"/>
  <c r="E129" i="3"/>
  <c r="E14" i="4"/>
  <c r="E33" i="4" s="1"/>
  <c r="AB37" i="4"/>
  <c r="AB38" i="4" s="1"/>
  <c r="G5" i="3"/>
  <c r="G4" i="3" s="1"/>
  <c r="J17" i="2"/>
  <c r="J35" i="2" s="1"/>
  <c r="J37" i="2" s="1"/>
  <c r="X96" i="2"/>
  <c r="X97" i="2" s="1"/>
  <c r="P8" i="3"/>
  <c r="P93" i="3" s="1"/>
  <c r="X104" i="3"/>
  <c r="O81" i="3"/>
  <c r="O82" i="3" s="1"/>
  <c r="Z20" i="3"/>
  <c r="Z116" i="3"/>
  <c r="D55" i="3"/>
  <c r="R55" i="3"/>
  <c r="R60" i="3"/>
  <c r="R61" i="3" s="1"/>
  <c r="R63" i="3" s="1"/>
  <c r="AD125" i="3"/>
  <c r="AB14" i="4"/>
  <c r="AB33" i="4" s="1"/>
  <c r="BZ129" i="3"/>
  <c r="P12" i="2"/>
  <c r="Z41" i="4"/>
  <c r="AB20" i="2"/>
  <c r="P30" i="2"/>
  <c r="R79" i="3"/>
  <c r="E60" i="3"/>
  <c r="E61" i="3" s="1"/>
  <c r="E63" i="3" s="1"/>
  <c r="AE6" i="4"/>
  <c r="Z28" i="4"/>
  <c r="Z29" i="4" s="1"/>
  <c r="Z79" i="2"/>
  <c r="K23" i="2"/>
  <c r="M96" i="2"/>
  <c r="AB96" i="2"/>
  <c r="AB97" i="2" s="1"/>
  <c r="N102" i="2"/>
  <c r="N103" i="2" s="1"/>
  <c r="N104" i="2" s="1"/>
  <c r="D81" i="3"/>
  <c r="D82" i="3" s="1"/>
  <c r="S81" i="3"/>
  <c r="S82" i="3" s="1"/>
  <c r="V26" i="3"/>
  <c r="W60" i="3"/>
  <c r="W61" i="3" s="1"/>
  <c r="W63" i="3" s="1"/>
  <c r="U105" i="3"/>
  <c r="U106" i="3" s="1"/>
  <c r="B108" i="3"/>
  <c r="AB108" i="3"/>
  <c r="K115" i="3"/>
  <c r="K116" i="3" s="1"/>
  <c r="F8" i="4"/>
  <c r="J36" i="4"/>
  <c r="J42" i="4"/>
  <c r="Y42" i="4"/>
  <c r="T21" i="4"/>
  <c r="M36" i="4"/>
  <c r="B36" i="4"/>
  <c r="L42" i="4"/>
  <c r="W66" i="2"/>
  <c r="AE110" i="2"/>
  <c r="Z127" i="3"/>
  <c r="Z125" i="3"/>
  <c r="Y26" i="3"/>
  <c r="AB83" i="3"/>
  <c r="X55" i="3"/>
  <c r="K11" i="4"/>
  <c r="AE127" i="3"/>
  <c r="Y55" i="3"/>
  <c r="J60" i="3"/>
  <c r="J61" i="3" s="1"/>
  <c r="J63" i="3" s="1"/>
  <c r="Y60" i="3"/>
  <c r="Y61" i="3" s="1"/>
  <c r="Y63" i="3" s="1"/>
  <c r="AE107" i="3"/>
  <c r="AE108" i="3" s="1"/>
  <c r="N129" i="3"/>
  <c r="Y122" i="3"/>
  <c r="P11" i="4"/>
  <c r="G14" i="4"/>
  <c r="G33" i="4" s="1"/>
  <c r="N37" i="4"/>
  <c r="N38" i="4" s="1"/>
  <c r="D36" i="4"/>
  <c r="P80" i="2"/>
  <c r="W102" i="3"/>
  <c r="W103" i="3" s="1"/>
  <c r="AE15" i="2"/>
  <c r="N98" i="2"/>
  <c r="F107" i="3"/>
  <c r="F108" i="3" s="1"/>
  <c r="L122" i="3"/>
  <c r="Z6" i="4"/>
  <c r="U11" i="4"/>
  <c r="H14" i="4"/>
  <c r="H33" i="4" s="1"/>
  <c r="F17" i="4"/>
  <c r="F18" i="4" s="1"/>
  <c r="H18" i="4"/>
  <c r="O37" i="4"/>
  <c r="O38" i="4" s="1"/>
  <c r="E36" i="4"/>
  <c r="T36" i="4"/>
  <c r="I102" i="3"/>
  <c r="X102" i="3"/>
  <c r="X103" i="3" s="1"/>
  <c r="J81" i="3"/>
  <c r="J82" i="3" s="1"/>
  <c r="Y81" i="3"/>
  <c r="Y82" i="3" s="1"/>
  <c r="P149" i="3"/>
  <c r="Z35" i="4"/>
  <c r="Z80" i="2"/>
  <c r="K68" i="2"/>
  <c r="Y110" i="2"/>
  <c r="O55" i="3"/>
  <c r="AC55" i="3"/>
  <c r="N60" i="3"/>
  <c r="N61" i="3" s="1"/>
  <c r="N63" i="3" s="1"/>
  <c r="Q129" i="3"/>
  <c r="AC129" i="3"/>
  <c r="AB18" i="4"/>
  <c r="C37" i="4"/>
  <c r="C38" i="4" s="1"/>
  <c r="W42" i="4"/>
  <c r="O17" i="2"/>
  <c r="AE69" i="2"/>
  <c r="X98" i="2"/>
  <c r="P20" i="3"/>
  <c r="P54" i="3"/>
  <c r="Q55" i="3" s="1"/>
  <c r="AD60" i="3"/>
  <c r="AD61" i="3" s="1"/>
  <c r="AD63" i="3" s="1"/>
  <c r="E127" i="3"/>
  <c r="R127" i="3"/>
  <c r="Z149" i="3"/>
  <c r="X19" i="2"/>
  <c r="J41" i="2"/>
  <c r="J22" i="2"/>
  <c r="J59" i="2"/>
  <c r="J16" i="2"/>
  <c r="J78" i="2" s="1"/>
  <c r="J88" i="2" s="1"/>
  <c r="J19" i="2"/>
  <c r="Q16" i="2"/>
  <c r="Q78" i="2" s="1"/>
  <c r="Q88" i="2" s="1"/>
  <c r="U15" i="2"/>
  <c r="Z68" i="2"/>
  <c r="K30" i="2"/>
  <c r="Z30" i="2"/>
  <c r="Z69" i="2"/>
  <c r="Z150" i="3"/>
  <c r="P50" i="2"/>
  <c r="AE50" i="2"/>
  <c r="E102" i="2"/>
  <c r="E103" i="2" s="1"/>
  <c r="E96" i="2"/>
  <c r="E97" i="2" s="1"/>
  <c r="K87" i="3"/>
  <c r="G25" i="2"/>
  <c r="G87" i="3"/>
  <c r="F88" i="3"/>
  <c r="AC93" i="3"/>
  <c r="AC79" i="3"/>
  <c r="C20" i="4"/>
  <c r="M81" i="3"/>
  <c r="M82" i="3" s="1"/>
  <c r="J83" i="3"/>
  <c r="J51" i="3"/>
  <c r="J57" i="3" s="1"/>
  <c r="J64" i="3" s="1"/>
  <c r="W83" i="3"/>
  <c r="W51" i="3"/>
  <c r="I8" i="2"/>
  <c r="V8" i="2"/>
  <c r="V9" i="2"/>
  <c r="V59" i="2" s="1"/>
  <c r="K10" i="2"/>
  <c r="K102" i="3" s="1"/>
  <c r="Z60" i="2"/>
  <c r="P23" i="2"/>
  <c r="AE150" i="3"/>
  <c r="T102" i="2"/>
  <c r="T103" i="2" s="1"/>
  <c r="T104" i="2" s="1"/>
  <c r="T96" i="2"/>
  <c r="T97" i="2" s="1"/>
  <c r="F100" i="2"/>
  <c r="F101" i="2" s="1"/>
  <c r="K56" i="3"/>
  <c r="P87" i="3"/>
  <c r="L25" i="2"/>
  <c r="L87" i="3"/>
  <c r="K88" i="3"/>
  <c r="C93" i="3"/>
  <c r="C79" i="3"/>
  <c r="Q93" i="3"/>
  <c r="AD79" i="3"/>
  <c r="D20" i="4"/>
  <c r="H5" i="3"/>
  <c r="H4" i="3" s="1"/>
  <c r="H140" i="3" s="1"/>
  <c r="N81" i="3"/>
  <c r="N82" i="3" s="1"/>
  <c r="L27" i="3"/>
  <c r="L26" i="3" s="1"/>
  <c r="L51" i="3"/>
  <c r="X27" i="3"/>
  <c r="X26" i="3" s="1"/>
  <c r="X83" i="3"/>
  <c r="X51" i="3"/>
  <c r="X57" i="3" s="1"/>
  <c r="O102" i="3"/>
  <c r="O118" i="3" s="1"/>
  <c r="O119" i="3" s="1"/>
  <c r="L102" i="3"/>
  <c r="AD102" i="3"/>
  <c r="AD118" i="3" s="1"/>
  <c r="AA102" i="3"/>
  <c r="AA118" i="3" s="1"/>
  <c r="AA119" i="3" s="1"/>
  <c r="Q19" i="2"/>
  <c r="K100" i="2"/>
  <c r="K101" i="2" s="1"/>
  <c r="G34" i="4"/>
  <c r="G36" i="4" s="1"/>
  <c r="F32" i="4"/>
  <c r="G39" i="4" s="1"/>
  <c r="G37" i="4" s="1"/>
  <c r="K34" i="4"/>
  <c r="Q25" i="2"/>
  <c r="U87" i="3"/>
  <c r="P88" i="3"/>
  <c r="Q87" i="3"/>
  <c r="D93" i="3"/>
  <c r="D79" i="3"/>
  <c r="U81" i="3"/>
  <c r="M83" i="3"/>
  <c r="M51" i="3"/>
  <c r="Y83" i="3"/>
  <c r="Y51" i="3"/>
  <c r="Y57" i="3" s="1"/>
  <c r="Y64" i="3" s="1"/>
  <c r="BZ56" i="3"/>
  <c r="BZ93" i="3"/>
  <c r="CA96" i="3" s="1"/>
  <c r="CA39" i="2" s="1"/>
  <c r="K4" i="2"/>
  <c r="K8" i="2" s="1"/>
  <c r="P10" i="2"/>
  <c r="P102" i="3" s="1"/>
  <c r="P118" i="3" s="1"/>
  <c r="P119" i="3" s="1"/>
  <c r="M102" i="3"/>
  <c r="M118" i="3" s="1"/>
  <c r="M119" i="3" s="1"/>
  <c r="AE10" i="2"/>
  <c r="AE102" i="3" s="1"/>
  <c r="AE118" i="3" s="1"/>
  <c r="AE119" i="3" s="1"/>
  <c r="AB102" i="3"/>
  <c r="AB118" i="3" s="1"/>
  <c r="AB119" i="3" s="1"/>
  <c r="K67" i="2"/>
  <c r="K29" i="2"/>
  <c r="K71" i="2"/>
  <c r="AA66" i="2"/>
  <c r="I96" i="2"/>
  <c r="I97" i="2" s="1"/>
  <c r="P100" i="2"/>
  <c r="P101" i="2" s="1"/>
  <c r="S102" i="2"/>
  <c r="S103" i="2" s="1"/>
  <c r="K32" i="4"/>
  <c r="L39" i="4" s="1"/>
  <c r="L37" i="4" s="1"/>
  <c r="L34" i="4"/>
  <c r="L36" i="4" s="1"/>
  <c r="I5" i="3"/>
  <c r="I4" i="3" s="1"/>
  <c r="I140" i="3" s="1"/>
  <c r="Z87" i="3"/>
  <c r="V87" i="3"/>
  <c r="U88" i="3"/>
  <c r="V25" i="2"/>
  <c r="U56" i="3"/>
  <c r="E93" i="3"/>
  <c r="E79" i="3"/>
  <c r="S93" i="3"/>
  <c r="S79" i="3"/>
  <c r="B81" i="3"/>
  <c r="B82" i="3" s="1"/>
  <c r="Q81" i="3"/>
  <c r="Q82" i="3" s="1"/>
  <c r="AD81" i="3"/>
  <c r="AD82" i="3" s="1"/>
  <c r="N83" i="3"/>
  <c r="F59" i="3"/>
  <c r="G60" i="3" s="1"/>
  <c r="G100" i="2"/>
  <c r="G101" i="2" s="1"/>
  <c r="W132" i="3"/>
  <c r="G55" i="3"/>
  <c r="BZ14" i="3"/>
  <c r="BZ112" i="3" s="1"/>
  <c r="BZ113" i="3" s="1"/>
  <c r="L8" i="2"/>
  <c r="N102" i="3"/>
  <c r="N118" i="3" s="1"/>
  <c r="N119" i="3" s="1"/>
  <c r="AC102" i="3"/>
  <c r="AC118" i="3" s="1"/>
  <c r="F12" i="2"/>
  <c r="P67" i="2"/>
  <c r="P25" i="2"/>
  <c r="AE30" i="2"/>
  <c r="U50" i="2"/>
  <c r="AC66" i="2"/>
  <c r="M66" i="2"/>
  <c r="G98" i="2"/>
  <c r="W102" i="2"/>
  <c r="Q34" i="4"/>
  <c r="Q36" i="4" s="1"/>
  <c r="P32" i="4"/>
  <c r="Q39" i="4" s="1"/>
  <c r="U39" i="4" s="1"/>
  <c r="U40" i="4" s="1"/>
  <c r="U34" i="4"/>
  <c r="AA87" i="3"/>
  <c r="AA25" i="2"/>
  <c r="AE87" i="3"/>
  <c r="Z88" i="3"/>
  <c r="G93" i="3"/>
  <c r="T93" i="3"/>
  <c r="T79" i="3"/>
  <c r="K12" i="3"/>
  <c r="K101" i="3" s="1"/>
  <c r="L104" i="3" s="1"/>
  <c r="C81" i="3"/>
  <c r="C82" i="3" s="1"/>
  <c r="R81" i="3"/>
  <c r="R82" i="3" s="1"/>
  <c r="O83" i="3"/>
  <c r="AA83" i="3"/>
  <c r="L100" i="2"/>
  <c r="L101" i="2" s="1"/>
  <c r="K59" i="3"/>
  <c r="L60" i="3" s="1"/>
  <c r="L61" i="3" s="1"/>
  <c r="L63" i="3" s="1"/>
  <c r="H9" i="2"/>
  <c r="H59" i="2" s="1"/>
  <c r="E102" i="3"/>
  <c r="E118" i="3" s="1"/>
  <c r="E119" i="3" s="1"/>
  <c r="B102" i="3"/>
  <c r="B118" i="3" s="1"/>
  <c r="B119" i="3" s="1"/>
  <c r="L98" i="2"/>
  <c r="Z100" i="2"/>
  <c r="Z101" i="2" s="1"/>
  <c r="X103" i="2"/>
  <c r="X104" i="2" s="1"/>
  <c r="U32" i="4"/>
  <c r="V39" i="4" s="1"/>
  <c r="Z39" i="4" s="1"/>
  <c r="Z40" i="4" s="1"/>
  <c r="Z34" i="4"/>
  <c r="V34" i="4"/>
  <c r="V36" i="4" s="1"/>
  <c r="AF87" i="3"/>
  <c r="AE88" i="3"/>
  <c r="AF25" i="2"/>
  <c r="AJ87" i="3"/>
  <c r="AE56" i="3"/>
  <c r="H79" i="3"/>
  <c r="H93" i="3"/>
  <c r="V93" i="3"/>
  <c r="Q100" i="2"/>
  <c r="Q101" i="2" s="1"/>
  <c r="P59" i="3"/>
  <c r="Q60" i="3" s="1"/>
  <c r="BZ29" i="3"/>
  <c r="BZ54" i="3"/>
  <c r="CA55" i="3" s="1"/>
  <c r="BZ99" i="3"/>
  <c r="N8" i="2"/>
  <c r="I9" i="2"/>
  <c r="I41" i="2" s="1"/>
  <c r="C102" i="3"/>
  <c r="C118" i="3" s="1"/>
  <c r="C119" i="3" s="1"/>
  <c r="U10" i="2"/>
  <c r="U102" i="3" s="1"/>
  <c r="U118" i="3" s="1"/>
  <c r="U119" i="3" s="1"/>
  <c r="T102" i="3"/>
  <c r="Q102" i="3"/>
  <c r="Q118" i="3" s="1"/>
  <c r="Q119" i="3" s="1"/>
  <c r="Z23" i="2"/>
  <c r="Z67" i="2"/>
  <c r="Z25" i="2"/>
  <c r="AE67" i="2"/>
  <c r="O66" i="2"/>
  <c r="AA96" i="2"/>
  <c r="AA34" i="4"/>
  <c r="AA36" i="4" s="1"/>
  <c r="Z32" i="4"/>
  <c r="AA39" i="4" s="1"/>
  <c r="AE39" i="4" s="1"/>
  <c r="AE40" i="4" s="1"/>
  <c r="U109" i="2"/>
  <c r="U110" i="2" s="1"/>
  <c r="Q5" i="3"/>
  <c r="Q4" i="3" s="1"/>
  <c r="Q140" i="3" s="1"/>
  <c r="I79" i="3"/>
  <c r="I93" i="3"/>
  <c r="W79" i="3"/>
  <c r="W93" i="3"/>
  <c r="E81" i="3"/>
  <c r="E82" i="3" s="1"/>
  <c r="T81" i="3"/>
  <c r="T82" i="3" s="1"/>
  <c r="C83" i="3"/>
  <c r="Q51" i="3"/>
  <c r="AC83" i="3"/>
  <c r="V100" i="2"/>
  <c r="V101" i="2" s="1"/>
  <c r="U59" i="3"/>
  <c r="V60" i="3" s="1"/>
  <c r="BZ65" i="3"/>
  <c r="N16" i="12" s="1"/>
  <c r="H8" i="2"/>
  <c r="F10" i="2"/>
  <c r="F102" i="3" s="1"/>
  <c r="F118" i="3" s="1"/>
  <c r="F119" i="3" s="1"/>
  <c r="D102" i="3"/>
  <c r="D118" i="3" s="1"/>
  <c r="D119" i="3" s="1"/>
  <c r="R102" i="3"/>
  <c r="R118" i="3" s="1"/>
  <c r="R119" i="3" s="1"/>
  <c r="K12" i="2"/>
  <c r="AD17" i="2"/>
  <c r="S5" i="3"/>
  <c r="S4" i="3" s="1"/>
  <c r="S140" i="3" s="1"/>
  <c r="J79" i="3"/>
  <c r="J93" i="3"/>
  <c r="X93" i="3"/>
  <c r="X79" i="3"/>
  <c r="Z112" i="3"/>
  <c r="V81" i="3"/>
  <c r="V82" i="3" s="1"/>
  <c r="D83" i="3"/>
  <c r="R83" i="3"/>
  <c r="AD83" i="3"/>
  <c r="AA100" i="2"/>
  <c r="AA101" i="2" s="1"/>
  <c r="Z59" i="3"/>
  <c r="O8" i="2"/>
  <c r="L9" i="2"/>
  <c r="S102" i="3"/>
  <c r="S118" i="3" s="1"/>
  <c r="S119" i="3" s="1"/>
  <c r="F30" i="2"/>
  <c r="F150" i="3"/>
  <c r="Q59" i="2"/>
  <c r="F67" i="2"/>
  <c r="S98" i="2"/>
  <c r="G102" i="2"/>
  <c r="T5" i="3"/>
  <c r="T4" i="3" s="1"/>
  <c r="T140" i="3" s="1"/>
  <c r="L93" i="3"/>
  <c r="Y79" i="3"/>
  <c r="H81" i="3"/>
  <c r="H82" i="3" s="1"/>
  <c r="W81" i="3"/>
  <c r="W82" i="3" s="1"/>
  <c r="J27" i="3"/>
  <c r="J26" i="3" s="1"/>
  <c r="E83" i="3"/>
  <c r="S83" i="3"/>
  <c r="AE59" i="3"/>
  <c r="AF100" i="2"/>
  <c r="J8" i="2"/>
  <c r="BZ134" i="3"/>
  <c r="Q8" i="2"/>
  <c r="M9" i="2"/>
  <c r="M41" i="2" s="1"/>
  <c r="G102" i="3"/>
  <c r="G118" i="3" s="1"/>
  <c r="G119" i="3" s="1"/>
  <c r="J102" i="3"/>
  <c r="J118" i="3" s="1"/>
  <c r="J119" i="3" s="1"/>
  <c r="L17" i="2"/>
  <c r="R17" i="2"/>
  <c r="K69" i="2"/>
  <c r="K150" i="3"/>
  <c r="U67" i="2"/>
  <c r="B98" i="2"/>
  <c r="B96" i="2"/>
  <c r="B97" i="2" s="1"/>
  <c r="P95" i="2"/>
  <c r="P98" i="2" s="1"/>
  <c r="AD96" i="2"/>
  <c r="AD97" i="2" s="1"/>
  <c r="T98" i="2"/>
  <c r="H102" i="2"/>
  <c r="V5" i="3"/>
  <c r="V4" i="3" s="1"/>
  <c r="M79" i="3"/>
  <c r="Z8" i="3"/>
  <c r="Z93" i="3" s="1"/>
  <c r="I81" i="3"/>
  <c r="I82" i="3" s="1"/>
  <c r="X81" i="3"/>
  <c r="X82" i="3" s="1"/>
  <c r="Q27" i="3"/>
  <c r="Q26" i="3" s="1"/>
  <c r="T83" i="3"/>
  <c r="F28" i="3"/>
  <c r="F83" i="3" s="1"/>
  <c r="F85" i="3" s="1"/>
  <c r="X8" i="2"/>
  <c r="R8" i="2"/>
  <c r="N9" i="2"/>
  <c r="H102" i="3"/>
  <c r="H118" i="3" s="1"/>
  <c r="H119" i="3" s="1"/>
  <c r="Y102" i="3"/>
  <c r="Y118" i="3" s="1"/>
  <c r="Y119" i="3" s="1"/>
  <c r="V102" i="3"/>
  <c r="P62" i="2"/>
  <c r="P150" i="3"/>
  <c r="K50" i="2"/>
  <c r="Z50" i="2"/>
  <c r="H66" i="2"/>
  <c r="U95" i="2"/>
  <c r="U96" i="2" s="1"/>
  <c r="U97" i="2" s="1"/>
  <c r="V98" i="2"/>
  <c r="I102" i="2"/>
  <c r="I103" i="2" s="1"/>
  <c r="I104" i="2" s="1"/>
  <c r="W5" i="3"/>
  <c r="W4" i="3" s="1"/>
  <c r="N79" i="3"/>
  <c r="R27" i="3"/>
  <c r="R26" i="3" s="1"/>
  <c r="H83" i="3"/>
  <c r="H51" i="3"/>
  <c r="H57" i="3" s="1"/>
  <c r="K28" i="3"/>
  <c r="L103" i="2" s="1"/>
  <c r="L104" i="2" s="1"/>
  <c r="AD135" i="3"/>
  <c r="AD146" i="3"/>
  <c r="AD147" i="3" s="1"/>
  <c r="O9" i="2"/>
  <c r="O16" i="2" s="1"/>
  <c r="P15" i="2"/>
  <c r="V17" i="2"/>
  <c r="U30" i="2"/>
  <c r="U69" i="2"/>
  <c r="U150" i="3"/>
  <c r="I66" i="2"/>
  <c r="D102" i="2"/>
  <c r="D103" i="2" s="1"/>
  <c r="D104" i="2" s="1"/>
  <c r="D96" i="2"/>
  <c r="D97" i="2" s="1"/>
  <c r="R102" i="2"/>
  <c r="R103" i="2" s="1"/>
  <c r="R104" i="2" s="1"/>
  <c r="R96" i="2"/>
  <c r="R97" i="2" s="1"/>
  <c r="W98" i="2"/>
  <c r="J102" i="2"/>
  <c r="J103" i="2" s="1"/>
  <c r="J104" i="2" s="1"/>
  <c r="X5" i="3"/>
  <c r="X4" i="3" s="1"/>
  <c r="X140" i="3" s="1"/>
  <c r="O79" i="3"/>
  <c r="AB79" i="3"/>
  <c r="B20" i="4"/>
  <c r="F20" i="3"/>
  <c r="G81" i="3" s="1"/>
  <c r="G82" i="3" s="1"/>
  <c r="I83" i="3"/>
  <c r="I51" i="3"/>
  <c r="V51" i="3"/>
  <c r="D135" i="3"/>
  <c r="D146" i="3"/>
  <c r="D147" i="3" s="1"/>
  <c r="H55" i="3"/>
  <c r="J110" i="3"/>
  <c r="B122" i="3"/>
  <c r="P43" i="3"/>
  <c r="P134" i="3" s="1"/>
  <c r="K52" i="3"/>
  <c r="K53" i="3" s="1"/>
  <c r="E55" i="3"/>
  <c r="T60" i="3"/>
  <c r="T61" i="3" s="1"/>
  <c r="T63" i="3" s="1"/>
  <c r="D65" i="3"/>
  <c r="C122" i="3"/>
  <c r="V123" i="3"/>
  <c r="Z123" i="3" s="1"/>
  <c r="V42" i="4"/>
  <c r="Z53" i="3"/>
  <c r="Y53" i="3"/>
  <c r="E65" i="3"/>
  <c r="I122" i="3"/>
  <c r="B14" i="4"/>
  <c r="B33" i="4" s="1"/>
  <c r="C18" i="4"/>
  <c r="AC18" i="4"/>
  <c r="AA28" i="4"/>
  <c r="AA29" i="4" s="1"/>
  <c r="U29" i="4"/>
  <c r="Z46" i="4"/>
  <c r="I134" i="3"/>
  <c r="I135" i="3" s="1"/>
  <c r="G65" i="3"/>
  <c r="P107" i="3"/>
  <c r="P108" i="3" s="1"/>
  <c r="H122" i="3"/>
  <c r="O122" i="3"/>
  <c r="C14" i="4"/>
  <c r="C33" i="4" s="1"/>
  <c r="AC14" i="4"/>
  <c r="AC33" i="4" s="1"/>
  <c r="D18" i="4"/>
  <c r="AD18" i="4"/>
  <c r="H37" i="4"/>
  <c r="H38" i="4" s="1"/>
  <c r="J134" i="3"/>
  <c r="J146" i="3" s="1"/>
  <c r="J147" i="3" s="1"/>
  <c r="X134" i="3"/>
  <c r="Z54" i="3"/>
  <c r="AA55" i="3" s="1"/>
  <c r="H65" i="3"/>
  <c r="Z109" i="3"/>
  <c r="Z110" i="3" s="1"/>
  <c r="L116" i="3"/>
  <c r="V122" i="3"/>
  <c r="E134" i="3"/>
  <c r="Z11" i="4"/>
  <c r="AD14" i="4"/>
  <c r="AD33" i="4" s="1"/>
  <c r="E18" i="4"/>
  <c r="I37" i="4"/>
  <c r="I38" i="4" s="1"/>
  <c r="P53" i="3"/>
  <c r="I65" i="3"/>
  <c r="T110" i="3"/>
  <c r="M116" i="3"/>
  <c r="J122" i="3"/>
  <c r="B129" i="3"/>
  <c r="AE11" i="4"/>
  <c r="K21" i="4"/>
  <c r="U17" i="4"/>
  <c r="U18" i="4" s="1"/>
  <c r="B21" i="4"/>
  <c r="F21" i="4" s="1"/>
  <c r="J65" i="3"/>
  <c r="AB113" i="3"/>
  <c r="Z129" i="3"/>
  <c r="H127" i="3"/>
  <c r="W127" i="3"/>
  <c r="H134" i="3"/>
  <c r="H135" i="3" s="1"/>
  <c r="G18" i="4"/>
  <c r="P28" i="4"/>
  <c r="P29" i="4" s="1"/>
  <c r="AL25" i="2"/>
  <c r="AL87" i="3"/>
  <c r="L65" i="3"/>
  <c r="AA122" i="3"/>
  <c r="U134" i="3"/>
  <c r="Z108" i="3"/>
  <c r="AE41" i="4"/>
  <c r="AD55" i="3"/>
  <c r="T55" i="3"/>
  <c r="Q65" i="3"/>
  <c r="AB122" i="3"/>
  <c r="V134" i="3"/>
  <c r="P34" i="4"/>
  <c r="K13" i="4"/>
  <c r="O14" i="4"/>
  <c r="O33" i="4" s="1"/>
  <c r="N18" i="4"/>
  <c r="P35" i="4"/>
  <c r="AB36" i="4"/>
  <c r="AC134" i="3"/>
  <c r="AC135" i="3" s="1"/>
  <c r="AE54" i="3"/>
  <c r="T65" i="3"/>
  <c r="O106" i="3"/>
  <c r="J108" i="3"/>
  <c r="AE109" i="3"/>
  <c r="AE110" i="3" s="1"/>
  <c r="H123" i="3"/>
  <c r="T125" i="3"/>
  <c r="Q14" i="4"/>
  <c r="Q33" i="4" s="1"/>
  <c r="O18" i="4"/>
  <c r="O36" i="4"/>
  <c r="AC36" i="4"/>
  <c r="AW25" i="2"/>
  <c r="AX87" i="3"/>
  <c r="C134" i="3"/>
  <c r="C135" i="3" s="1"/>
  <c r="AD65" i="3"/>
  <c r="AE43" i="3"/>
  <c r="AE65" i="3" s="1"/>
  <c r="U52" i="3"/>
  <c r="U53" i="3" s="1"/>
  <c r="F109" i="3"/>
  <c r="F110" i="3" s="1"/>
  <c r="C113" i="3"/>
  <c r="AE17" i="4"/>
  <c r="AE18" i="4" s="1"/>
  <c r="R18" i="4"/>
  <c r="AD36" i="4"/>
  <c r="S134" i="3"/>
  <c r="S135" i="3" s="1"/>
  <c r="AE125" i="3"/>
  <c r="AE121" i="3"/>
  <c r="AE122" i="3" s="1"/>
  <c r="J123" i="3"/>
  <c r="H125" i="3"/>
  <c r="W125" i="3"/>
  <c r="N127" i="3"/>
  <c r="AE34" i="4"/>
  <c r="Z13" i="4"/>
  <c r="S18" i="4"/>
  <c r="C36" i="4"/>
  <c r="R36" i="4"/>
  <c r="V18" i="4"/>
  <c r="V14" i="4"/>
  <c r="Q42" i="4"/>
  <c r="U41" i="4"/>
  <c r="S108" i="3"/>
  <c r="W18" i="4"/>
  <c r="W14" i="4"/>
  <c r="W33" i="4" s="1"/>
  <c r="AE35" i="4"/>
  <c r="E42" i="4"/>
  <c r="R42" i="4"/>
  <c r="G108" i="3"/>
  <c r="P46" i="4"/>
  <c r="U108" i="3"/>
  <c r="R37" i="4"/>
  <c r="R38" i="4" s="1"/>
  <c r="Y21" i="4"/>
  <c r="W37" i="4"/>
  <c r="W38" i="4" s="1"/>
  <c r="S37" i="4"/>
  <c r="S38" i="4" s="1"/>
  <c r="W20" i="2"/>
  <c r="X127" i="3"/>
  <c r="Z8" i="4"/>
  <c r="F11" i="4"/>
  <c r="J37" i="4"/>
  <c r="J38" i="4" s="1"/>
  <c r="X37" i="4"/>
  <c r="X38" i="4" s="1"/>
  <c r="T37" i="4"/>
  <c r="T38" i="4" s="1"/>
  <c r="G127" i="3"/>
  <c r="G125" i="3"/>
  <c r="S127" i="3"/>
  <c r="S129" i="3"/>
  <c r="Y127" i="3"/>
  <c r="G129" i="3"/>
  <c r="U6" i="4"/>
  <c r="N14" i="4"/>
  <c r="N33" i="4" s="1"/>
  <c r="Q18" i="4"/>
  <c r="Q28" i="4"/>
  <c r="Q29" i="4" s="1"/>
  <c r="Y37" i="4"/>
  <c r="Y38" i="4" s="1"/>
  <c r="D37" i="4"/>
  <c r="D38" i="4" s="1"/>
  <c r="S125" i="3"/>
  <c r="L127" i="3"/>
  <c r="T129" i="3"/>
  <c r="M37" i="4"/>
  <c r="M38" i="4" s="1"/>
  <c r="E37" i="4"/>
  <c r="E38" i="4" s="1"/>
  <c r="T42" i="4"/>
  <c r="F115" i="3"/>
  <c r="F127" i="3" s="1"/>
  <c r="F34" i="4"/>
  <c r="F29" i="4"/>
  <c r="F13" i="4"/>
  <c r="I18" i="4"/>
  <c r="I14" i="4"/>
  <c r="I33" i="4" s="1"/>
  <c r="U35" i="4"/>
  <c r="U36" i="4" s="1"/>
  <c r="D42" i="4"/>
  <c r="M129" i="3"/>
  <c r="X18" i="4"/>
  <c r="X14" i="4"/>
  <c r="X33" i="4" s="1"/>
  <c r="F35" i="4"/>
  <c r="F41" i="4"/>
  <c r="P16" i="4"/>
  <c r="Y18" i="4"/>
  <c r="Y14" i="4"/>
  <c r="Y33" i="4" s="1"/>
  <c r="K35" i="4"/>
  <c r="V20" i="2"/>
  <c r="M127" i="3"/>
  <c r="P8" i="4"/>
  <c r="B18" i="4"/>
  <c r="N36" i="4"/>
  <c r="N42" i="4"/>
  <c r="AA42" i="4"/>
  <c r="I20" i="2"/>
  <c r="U127" i="3"/>
  <c r="U125" i="3"/>
  <c r="Y116" i="3"/>
  <c r="V116" i="3"/>
  <c r="V127" i="3"/>
  <c r="I125" i="3"/>
  <c r="X125" i="3"/>
  <c r="AC37" i="4"/>
  <c r="AC38" i="4" s="1"/>
  <c r="B42" i="4"/>
  <c r="O42" i="4"/>
  <c r="AB42" i="4"/>
  <c r="L125" i="3"/>
  <c r="AD42" i="4"/>
  <c r="M125" i="3"/>
  <c r="J18" i="4"/>
  <c r="J14" i="4"/>
  <c r="J33" i="4" s="1"/>
  <c r="T108" i="3"/>
  <c r="K17" i="4"/>
  <c r="K18" i="4" s="1"/>
  <c r="V21" i="4"/>
  <c r="B113" i="2"/>
  <c r="B114" i="2" s="1"/>
  <c r="F114" i="2" s="1"/>
  <c r="B111" i="2"/>
  <c r="B112" i="2" s="1"/>
  <c r="F112" i="2" s="1"/>
  <c r="S42" i="4"/>
  <c r="H108" i="3"/>
  <c r="L18" i="4"/>
  <c r="L14" i="4"/>
  <c r="P17" i="4"/>
  <c r="W21" i="4"/>
  <c r="G42" i="4"/>
  <c r="K41" i="4"/>
  <c r="M18" i="4"/>
  <c r="M14" i="4"/>
  <c r="M33" i="4" s="1"/>
  <c r="M20" i="2"/>
  <c r="Z17" i="4"/>
  <c r="Z18" i="4" s="1"/>
  <c r="X21" i="4"/>
  <c r="AE16" i="4"/>
  <c r="B37" i="4"/>
  <c r="X116" i="3"/>
  <c r="J20" i="2"/>
  <c r="D108" i="3"/>
  <c r="AC108" i="3"/>
  <c r="Y125" i="3"/>
  <c r="K16" i="4"/>
  <c r="K8" i="4"/>
  <c r="K6" i="4"/>
  <c r="P6" i="4"/>
  <c r="U16" i="4"/>
  <c r="N21" i="4"/>
  <c r="P21" i="4" s="1"/>
  <c r="G28" i="4"/>
  <c r="G29" i="4" s="1"/>
  <c r="AD37" i="4"/>
  <c r="AD38" i="4" s="1"/>
  <c r="C42" i="4"/>
  <c r="P41" i="4"/>
  <c r="AC42" i="4"/>
  <c r="U129" i="3"/>
  <c r="AA21" i="4"/>
  <c r="AE21" i="4" s="1"/>
  <c r="U46" i="4"/>
  <c r="AE116" i="3"/>
  <c r="AE129" i="3"/>
  <c r="K108" i="3"/>
  <c r="B127" i="3"/>
  <c r="I129" i="3"/>
  <c r="V129" i="3"/>
  <c r="P13" i="4"/>
  <c r="J129" i="3"/>
  <c r="Q21" i="4"/>
  <c r="K127" i="3"/>
  <c r="K125" i="3"/>
  <c r="H116" i="3"/>
  <c r="E125" i="3"/>
  <c r="K129" i="3"/>
  <c r="X129" i="3"/>
  <c r="T116" i="3"/>
  <c r="W129" i="3"/>
  <c r="N108" i="3"/>
  <c r="U110" i="3"/>
  <c r="I116" i="3"/>
  <c r="D125" i="3"/>
  <c r="L129" i="3"/>
  <c r="Y129" i="3"/>
  <c r="AE13" i="4"/>
  <c r="AE29" i="4"/>
  <c r="U55" i="3"/>
  <c r="C5" i="3"/>
  <c r="C4" i="3" s="1"/>
  <c r="C101" i="3"/>
  <c r="N93" i="3"/>
  <c r="O93" i="3"/>
  <c r="E104" i="3"/>
  <c r="E122" i="3"/>
  <c r="E123" i="3"/>
  <c r="Z113" i="3"/>
  <c r="N134" i="3"/>
  <c r="N65" i="3"/>
  <c r="AA134" i="3"/>
  <c r="AA65" i="3"/>
  <c r="I55" i="3"/>
  <c r="V55" i="3"/>
  <c r="F121" i="3"/>
  <c r="F122" i="3" s="1"/>
  <c r="T122" i="3"/>
  <c r="T123" i="3"/>
  <c r="M93" i="3"/>
  <c r="K99" i="3"/>
  <c r="W48" i="3"/>
  <c r="F56" i="3"/>
  <c r="S122" i="3"/>
  <c r="S123" i="3"/>
  <c r="U82" i="3"/>
  <c r="S51" i="3"/>
  <c r="O65" i="3"/>
  <c r="O134" i="3"/>
  <c r="J55" i="3"/>
  <c r="K54" i="3"/>
  <c r="B60" i="3"/>
  <c r="AA60" i="3"/>
  <c r="AA61" i="3" s="1"/>
  <c r="AA63" i="3" s="1"/>
  <c r="K120" i="3"/>
  <c r="G51" i="3"/>
  <c r="G27" i="3"/>
  <c r="T51" i="3"/>
  <c r="T57" i="3" s="1"/>
  <c r="AC60" i="3"/>
  <c r="AC61" i="3" s="1"/>
  <c r="AC63" i="3" s="1"/>
  <c r="AB60" i="3"/>
  <c r="AB61" i="3" s="1"/>
  <c r="AB63" i="3" s="1"/>
  <c r="M101" i="3"/>
  <c r="M104" i="3" s="1"/>
  <c r="M5" i="3"/>
  <c r="M4" i="3" s="1"/>
  <c r="P127" i="3"/>
  <c r="P125" i="3"/>
  <c r="T27" i="3"/>
  <c r="T26" i="3" s="1"/>
  <c r="T48" i="3" s="1"/>
  <c r="Y93" i="3"/>
  <c r="F99" i="3"/>
  <c r="F8" i="3"/>
  <c r="B5" i="3"/>
  <c r="B4" i="3" s="1"/>
  <c r="B101" i="3"/>
  <c r="O101" i="3"/>
  <c r="O5" i="3"/>
  <c r="O4" i="3" s="1"/>
  <c r="P12" i="3"/>
  <c r="K134" i="3"/>
  <c r="K65" i="3"/>
  <c r="W140" i="3"/>
  <c r="AA93" i="3"/>
  <c r="U149" i="3"/>
  <c r="B93" i="3"/>
  <c r="B96" i="3" s="1"/>
  <c r="B39" i="2" s="1"/>
  <c r="G140" i="3"/>
  <c r="G135" i="3"/>
  <c r="G146" i="3"/>
  <c r="G147" i="3" s="1"/>
  <c r="AC103" i="3"/>
  <c r="M134" i="3"/>
  <c r="M65" i="3"/>
  <c r="D51" i="3"/>
  <c r="Y101" i="3"/>
  <c r="Y104" i="3" s="1"/>
  <c r="Y5" i="3"/>
  <c r="Y4" i="3" s="1"/>
  <c r="E51" i="3"/>
  <c r="E57" i="3" s="1"/>
  <c r="E27" i="3"/>
  <c r="E26" i="3" s="1"/>
  <c r="AA125" i="3"/>
  <c r="AA127" i="3"/>
  <c r="AA129" i="3"/>
  <c r="G122" i="3"/>
  <c r="K121" i="3"/>
  <c r="G123" i="3"/>
  <c r="U121" i="3"/>
  <c r="U122" i="3" s="1"/>
  <c r="Z12" i="3"/>
  <c r="S27" i="3"/>
  <c r="S26" i="3" s="1"/>
  <c r="F51" i="3"/>
  <c r="B65" i="3"/>
  <c r="B134" i="3"/>
  <c r="D60" i="3"/>
  <c r="D61" i="3" s="1"/>
  <c r="D63" i="3" s="1"/>
  <c r="C60" i="3"/>
  <c r="C61" i="3" s="1"/>
  <c r="C63" i="3" s="1"/>
  <c r="D129" i="3"/>
  <c r="D116" i="3"/>
  <c r="AB127" i="3"/>
  <c r="AB129" i="3"/>
  <c r="AB116" i="3"/>
  <c r="S97" i="2"/>
  <c r="AA5" i="3"/>
  <c r="AA4" i="3" s="1"/>
  <c r="AE97" i="3"/>
  <c r="AE8" i="3"/>
  <c r="F20" i="4" s="1"/>
  <c r="N101" i="3"/>
  <c r="N5" i="3"/>
  <c r="N4" i="3" s="1"/>
  <c r="O127" i="3"/>
  <c r="W55" i="3"/>
  <c r="O110" i="3"/>
  <c r="P109" i="3"/>
  <c r="P110" i="3" s="1"/>
  <c r="R5" i="3"/>
  <c r="R4" i="3" s="1"/>
  <c r="AD101" i="3"/>
  <c r="AD5" i="3"/>
  <c r="AD4" i="3" s="1"/>
  <c r="AD48" i="3" s="1"/>
  <c r="S104" i="2"/>
  <c r="AE12" i="3"/>
  <c r="T134" i="3"/>
  <c r="D5" i="3"/>
  <c r="D4" i="3" s="1"/>
  <c r="D48" i="3" s="1"/>
  <c r="O53" i="3"/>
  <c r="AD93" i="3"/>
  <c r="G101" i="3"/>
  <c r="AD119" i="3"/>
  <c r="C127" i="3"/>
  <c r="E5" i="3"/>
  <c r="E4" i="3" s="1"/>
  <c r="U8" i="3"/>
  <c r="K97" i="3"/>
  <c r="K8" i="3"/>
  <c r="U12" i="3"/>
  <c r="K112" i="3"/>
  <c r="K113" i="3" s="1"/>
  <c r="N51" i="3"/>
  <c r="N27" i="3"/>
  <c r="N26" i="3" s="1"/>
  <c r="P65" i="3"/>
  <c r="F52" i="3"/>
  <c r="F53" i="3" s="1"/>
  <c r="H101" i="3"/>
  <c r="J104" i="3"/>
  <c r="AA116" i="3"/>
  <c r="J116" i="3"/>
  <c r="N122" i="3"/>
  <c r="P121" i="3"/>
  <c r="D127" i="3"/>
  <c r="O51" i="3"/>
  <c r="O57" i="3" s="1"/>
  <c r="O27" i="3"/>
  <c r="O26" i="3" s="1"/>
  <c r="AA51" i="3"/>
  <c r="AA27" i="3"/>
  <c r="AA26" i="3" s="1"/>
  <c r="J135" i="3"/>
  <c r="W134" i="3"/>
  <c r="AE52" i="3"/>
  <c r="AE53" i="3" s="1"/>
  <c r="M60" i="3"/>
  <c r="M61" i="3" s="1"/>
  <c r="M63" i="3" s="1"/>
  <c r="X60" i="3"/>
  <c r="X61" i="3" s="1"/>
  <c r="X63" i="3" s="1"/>
  <c r="B113" i="3"/>
  <c r="J125" i="3"/>
  <c r="AB101" i="3"/>
  <c r="AB104" i="3" s="1"/>
  <c r="AB5" i="3"/>
  <c r="AB4" i="3" s="1"/>
  <c r="P56" i="3"/>
  <c r="R93" i="3"/>
  <c r="AC119" i="3"/>
  <c r="AD106" i="3"/>
  <c r="AE105" i="3"/>
  <c r="AE106" i="3" s="1"/>
  <c r="T104" i="3"/>
  <c r="K20" i="3"/>
  <c r="Z56" i="3"/>
  <c r="E106" i="3"/>
  <c r="F105" i="3"/>
  <c r="F106" i="3" s="1"/>
  <c r="M27" i="3"/>
  <c r="M26" i="3" s="1"/>
  <c r="B85" i="3"/>
  <c r="B51" i="3"/>
  <c r="B27" i="3"/>
  <c r="B26" i="3" s="1"/>
  <c r="AB51" i="3"/>
  <c r="AB27" i="3"/>
  <c r="AB26" i="3" s="1"/>
  <c r="I60" i="3"/>
  <c r="I61" i="3" s="1"/>
  <c r="I63" i="3" s="1"/>
  <c r="P116" i="3"/>
  <c r="C65" i="3"/>
  <c r="C125" i="3"/>
  <c r="AC5" i="3"/>
  <c r="AC4" i="3" s="1"/>
  <c r="P129" i="3"/>
  <c r="F12" i="3"/>
  <c r="AB93" i="3"/>
  <c r="H27" i="3"/>
  <c r="H26" i="3" s="1"/>
  <c r="F43" i="3"/>
  <c r="F112" i="3"/>
  <c r="F113" i="3" s="1"/>
  <c r="I27" i="3"/>
  <c r="I26" i="3" s="1"/>
  <c r="V140" i="3"/>
  <c r="C51" i="3"/>
  <c r="C27" i="3"/>
  <c r="AC51" i="3"/>
  <c r="AC27" i="3"/>
  <c r="AC26" i="3" s="1"/>
  <c r="Y134" i="3"/>
  <c r="Y65" i="3"/>
  <c r="W57" i="3"/>
  <c r="S65" i="3"/>
  <c r="R101" i="3"/>
  <c r="C116" i="3"/>
  <c r="R122" i="3"/>
  <c r="R123" i="3"/>
  <c r="AD122" i="3"/>
  <c r="AD123" i="3"/>
  <c r="AE123" i="3" s="1"/>
  <c r="AB134" i="3"/>
  <c r="AB65" i="3"/>
  <c r="I118" i="3"/>
  <c r="I119" i="3" s="1"/>
  <c r="I103" i="3"/>
  <c r="T127" i="3"/>
  <c r="O129" i="3"/>
  <c r="E104" i="2"/>
  <c r="U112" i="3"/>
  <c r="U113" i="3" s="1"/>
  <c r="Q135" i="3"/>
  <c r="Q146" i="3"/>
  <c r="Q147" i="3" s="1"/>
  <c r="AC65" i="3"/>
  <c r="W104" i="3"/>
  <c r="R65" i="3"/>
  <c r="R134" i="3"/>
  <c r="P123" i="3"/>
  <c r="AB125" i="3"/>
  <c r="X113" i="3"/>
  <c r="AD127" i="3"/>
  <c r="L113" i="3"/>
  <c r="Y113" i="3"/>
  <c r="R51" i="3"/>
  <c r="AD51" i="3"/>
  <c r="Q116" i="3"/>
  <c r="AC116" i="3"/>
  <c r="L135" i="3"/>
  <c r="G116" i="3"/>
  <c r="S116" i="3"/>
  <c r="X118" i="3"/>
  <c r="X119" i="3" s="1"/>
  <c r="Q122" i="3"/>
  <c r="AC122" i="3"/>
  <c r="Q123" i="3"/>
  <c r="U71" i="2"/>
  <c r="U62" i="2"/>
  <c r="Z71" i="2"/>
  <c r="C102" i="2"/>
  <c r="C97" i="2"/>
  <c r="F95" i="2"/>
  <c r="F98" i="2" s="1"/>
  <c r="C98" i="2"/>
  <c r="W8" i="2"/>
  <c r="W9" i="2"/>
  <c r="M16" i="2"/>
  <c r="AE71" i="2"/>
  <c r="AE62" i="2"/>
  <c r="Y9" i="2"/>
  <c r="Y8" i="2"/>
  <c r="Z4" i="2"/>
  <c r="Z8" i="2" s="1"/>
  <c r="K80" i="2"/>
  <c r="K15" i="2"/>
  <c r="F109" i="2"/>
  <c r="F110" i="2" s="1"/>
  <c r="E110" i="2"/>
  <c r="M8" i="2"/>
  <c r="P4" i="2"/>
  <c r="AA9" i="2"/>
  <c r="AA8" i="2"/>
  <c r="AE4" i="2"/>
  <c r="AE8" i="2" s="1"/>
  <c r="AE12" i="2"/>
  <c r="F4" i="2"/>
  <c r="F8" i="2" s="1"/>
  <c r="B9" i="2"/>
  <c r="F68" i="2"/>
  <c r="F69" i="2"/>
  <c r="K72" i="2"/>
  <c r="Q61" i="2"/>
  <c r="Z62" i="2"/>
  <c r="AB19" i="2"/>
  <c r="AB59" i="2"/>
  <c r="AB16" i="2"/>
  <c r="AB22" i="2"/>
  <c r="AE95" i="2"/>
  <c r="AE96" i="2" s="1"/>
  <c r="AA98" i="2"/>
  <c r="AA97" i="2"/>
  <c r="AA102" i="2"/>
  <c r="AA103" i="2" s="1"/>
  <c r="U79" i="2"/>
  <c r="AB98" i="2"/>
  <c r="AB102" i="2"/>
  <c r="G17" i="2"/>
  <c r="U23" i="2"/>
  <c r="Q17" i="2"/>
  <c r="Q35" i="2" s="1"/>
  <c r="AE23" i="2"/>
  <c r="P71" i="2"/>
  <c r="AB41" i="2"/>
  <c r="U72" i="2"/>
  <c r="O98" i="2"/>
  <c r="O102" i="2"/>
  <c r="AC102" i="2"/>
  <c r="AC98" i="2"/>
  <c r="U68" i="2"/>
  <c r="U66" i="2" s="1"/>
  <c r="C9" i="2"/>
  <c r="Q41" i="2"/>
  <c r="F53" i="2"/>
  <c r="U60" i="2"/>
  <c r="K109" i="2"/>
  <c r="K110" i="2" s="1"/>
  <c r="D9" i="2"/>
  <c r="Z15" i="2"/>
  <c r="AE68" i="2"/>
  <c r="D98" i="2"/>
  <c r="E9" i="2"/>
  <c r="U4" i="2"/>
  <c r="AD9" i="2"/>
  <c r="J85" i="2"/>
  <c r="J61" i="2"/>
  <c r="E98" i="2"/>
  <c r="Q102" i="2"/>
  <c r="R9" i="2"/>
  <c r="AE80" i="2"/>
  <c r="X59" i="2"/>
  <c r="X22" i="2"/>
  <c r="X16" i="2"/>
  <c r="Y17" i="2"/>
  <c r="X41" i="2"/>
  <c r="N66" i="2"/>
  <c r="K95" i="2"/>
  <c r="G9" i="2"/>
  <c r="S9" i="2"/>
  <c r="F62" i="2"/>
  <c r="M17" i="2"/>
  <c r="P17" i="2" s="1"/>
  <c r="Z95" i="2"/>
  <c r="T9" i="2"/>
  <c r="K79" i="2"/>
  <c r="P60" i="2"/>
  <c r="B17" i="2"/>
  <c r="F71" i="2"/>
  <c r="AE53" i="2"/>
  <c r="K62" i="2"/>
  <c r="AB66" i="2"/>
  <c r="P79" i="2"/>
  <c r="J98" i="2"/>
  <c r="H98" i="2"/>
  <c r="AD98" i="2"/>
  <c r="P109" i="2"/>
  <c r="P110" i="2" s="1"/>
  <c r="L59" i="2"/>
  <c r="L22" i="2"/>
  <c r="L16" i="2"/>
  <c r="Z10" i="2"/>
  <c r="Z102" i="3" s="1"/>
  <c r="Z118" i="3" s="1"/>
  <c r="Z119" i="3" s="1"/>
  <c r="Q22" i="2"/>
  <c r="F23" i="2"/>
  <c r="I98" i="2"/>
  <c r="V102" i="2"/>
  <c r="P69" i="2"/>
  <c r="AD110" i="2"/>
  <c r="F15" i="2"/>
  <c r="M102" i="2"/>
  <c r="M103" i="2" s="1"/>
  <c r="M98" i="2"/>
  <c r="M97" i="2"/>
  <c r="Y102" i="2"/>
  <c r="Y98" i="2"/>
  <c r="BZ127" i="3"/>
  <c r="BZ116" i="3"/>
  <c r="I48" i="3" l="1"/>
  <c r="G26" i="3"/>
  <c r="G48" i="3" s="1"/>
  <c r="X132" i="3"/>
  <c r="F17" i="2"/>
  <c r="P55" i="3"/>
  <c r="C26" i="3"/>
  <c r="CA37" i="4"/>
  <c r="CA38" i="4" s="1"/>
  <c r="CA111" i="2"/>
  <c r="CA115" i="2" s="1"/>
  <c r="CA117" i="2" s="1"/>
  <c r="V83" i="3"/>
  <c r="V103" i="2"/>
  <c r="V104" i="2" s="1"/>
  <c r="U51" i="3"/>
  <c r="V27" i="2" s="1"/>
  <c r="Q79" i="3"/>
  <c r="V96" i="2"/>
  <c r="V97" i="2" s="1"/>
  <c r="Z81" i="3"/>
  <c r="Z82" i="3" s="1"/>
  <c r="AE83" i="3"/>
  <c r="O59" i="2"/>
  <c r="O19" i="2"/>
  <c r="CA82" i="3"/>
  <c r="O17" i="12"/>
  <c r="P66" i="2"/>
  <c r="I132" i="3"/>
  <c r="S146" i="3"/>
  <c r="S147" i="3" s="1"/>
  <c r="K17" i="2"/>
  <c r="O41" i="2"/>
  <c r="P9" i="2"/>
  <c r="P41" i="2" s="1"/>
  <c r="O22" i="2"/>
  <c r="G27" i="2"/>
  <c r="S48" i="3"/>
  <c r="L48" i="3"/>
  <c r="L139" i="3"/>
  <c r="Z83" i="3"/>
  <c r="U26" i="3"/>
  <c r="AC146" i="3"/>
  <c r="AC147" i="3" s="1"/>
  <c r="K51" i="3"/>
  <c r="L27" i="2" s="1"/>
  <c r="U98" i="2"/>
  <c r="P39" i="4"/>
  <c r="P40" i="4" s="1"/>
  <c r="AE17" i="2"/>
  <c r="AC96" i="3"/>
  <c r="AC39" i="2" s="1"/>
  <c r="AE27" i="3"/>
  <c r="AE26" i="3" s="1"/>
  <c r="H27" i="2"/>
  <c r="AC22" i="2"/>
  <c r="AE51" i="3"/>
  <c r="AE132" i="3" s="1"/>
  <c r="Z66" i="2"/>
  <c r="AC59" i="2"/>
  <c r="AC139" i="3" s="1"/>
  <c r="Y96" i="3"/>
  <c r="Y39" i="2" s="1"/>
  <c r="Z65" i="3"/>
  <c r="Z132" i="3" s="1"/>
  <c r="J96" i="3"/>
  <c r="J39" i="2" s="1"/>
  <c r="AC16" i="2"/>
  <c r="AC78" i="2" s="1"/>
  <c r="AC19" i="2"/>
  <c r="I146" i="3"/>
  <c r="I147" i="3" s="1"/>
  <c r="H48" i="3"/>
  <c r="P27" i="3"/>
  <c r="P26" i="3" s="1"/>
  <c r="P51" i="3"/>
  <c r="Q27" i="2" s="1"/>
  <c r="H139" i="3"/>
  <c r="Q103" i="2"/>
  <c r="U83" i="3"/>
  <c r="Q83" i="3"/>
  <c r="F66" i="2"/>
  <c r="AE20" i="2"/>
  <c r="U21" i="4"/>
  <c r="V37" i="4"/>
  <c r="V38" i="4" s="1"/>
  <c r="U20" i="2"/>
  <c r="Q37" i="4"/>
  <c r="Q38" i="4" s="1"/>
  <c r="K36" i="4"/>
  <c r="B115" i="2"/>
  <c r="B117" i="2" s="1"/>
  <c r="J66" i="3"/>
  <c r="AA81" i="3"/>
  <c r="AA82" i="3" s="1"/>
  <c r="J132" i="3"/>
  <c r="V48" i="3"/>
  <c r="Z27" i="3"/>
  <c r="Z26" i="3" s="1"/>
  <c r="AE81" i="3"/>
  <c r="AE82" i="3" s="1"/>
  <c r="F27" i="3"/>
  <c r="F26" i="3" s="1"/>
  <c r="W96" i="3"/>
  <c r="W39" i="2" s="1"/>
  <c r="E96" i="3"/>
  <c r="E39" i="2" s="1"/>
  <c r="I59" i="2"/>
  <c r="I139" i="3" s="1"/>
  <c r="AA103" i="3"/>
  <c r="S103" i="3"/>
  <c r="AA37" i="4"/>
  <c r="AA38" i="4" s="1"/>
  <c r="W118" i="3"/>
  <c r="W119" i="3" s="1"/>
  <c r="F102" i="2"/>
  <c r="F103" i="2" s="1"/>
  <c r="F104" i="2" s="1"/>
  <c r="P42" i="4"/>
  <c r="H41" i="2"/>
  <c r="C103" i="3"/>
  <c r="Z42" i="4"/>
  <c r="AC27" i="2"/>
  <c r="K39" i="4"/>
  <c r="K40" i="4" s="1"/>
  <c r="AE55" i="3"/>
  <c r="C146" i="3"/>
  <c r="C147" i="3" s="1"/>
  <c r="K123" i="3"/>
  <c r="T96" i="3"/>
  <c r="T39" i="2" s="1"/>
  <c r="V139" i="3"/>
  <c r="Q96" i="3"/>
  <c r="Q39" i="2" s="1"/>
  <c r="D103" i="3"/>
  <c r="R94" i="3"/>
  <c r="R100" i="3" s="1"/>
  <c r="S96" i="3"/>
  <c r="S39" i="2" s="1"/>
  <c r="V41" i="2"/>
  <c r="M59" i="2"/>
  <c r="M139" i="3" s="1"/>
  <c r="X96" i="3"/>
  <c r="X39" i="2" s="1"/>
  <c r="Q103" i="3"/>
  <c r="K66" i="2"/>
  <c r="J139" i="3"/>
  <c r="Z17" i="2"/>
  <c r="M22" i="2"/>
  <c r="W94" i="3"/>
  <c r="W95" i="3" s="1"/>
  <c r="J48" i="3"/>
  <c r="X139" i="3"/>
  <c r="Y132" i="3"/>
  <c r="Z57" i="3"/>
  <c r="Z64" i="3" s="1"/>
  <c r="M19" i="2"/>
  <c r="Q48" i="3"/>
  <c r="B116" i="2"/>
  <c r="I96" i="3"/>
  <c r="I39" i="2" s="1"/>
  <c r="L132" i="3"/>
  <c r="K27" i="3"/>
  <c r="K26" i="3" s="1"/>
  <c r="E103" i="3"/>
  <c r="AC94" i="3"/>
  <c r="AC100" i="3" s="1"/>
  <c r="E27" i="2"/>
  <c r="O27" i="2"/>
  <c r="H132" i="3"/>
  <c r="AA48" i="3"/>
  <c r="Q94" i="3"/>
  <c r="Q98" i="3" s="1"/>
  <c r="AB139" i="3"/>
  <c r="N48" i="3"/>
  <c r="AD27" i="2"/>
  <c r="K81" i="3"/>
  <c r="K82" i="3" s="1"/>
  <c r="AA79" i="3"/>
  <c r="T132" i="3"/>
  <c r="N94" i="3"/>
  <c r="N100" i="3" s="1"/>
  <c r="R132" i="3"/>
  <c r="G79" i="3"/>
  <c r="L57" i="3"/>
  <c r="L64" i="3" s="1"/>
  <c r="K79" i="3"/>
  <c r="H96" i="3"/>
  <c r="H39" i="2" s="1"/>
  <c r="U123" i="3"/>
  <c r="M132" i="3"/>
  <c r="AE66" i="2"/>
  <c r="C48" i="3"/>
  <c r="U17" i="2"/>
  <c r="AB132" i="3"/>
  <c r="G83" i="3"/>
  <c r="Z36" i="4"/>
  <c r="AE134" i="3"/>
  <c r="AE135" i="3" s="1"/>
  <c r="T27" i="2"/>
  <c r="AE36" i="4"/>
  <c r="Q61" i="3"/>
  <c r="Q63" i="3" s="1"/>
  <c r="U63" i="3" s="1"/>
  <c r="U60" i="3"/>
  <c r="U61" i="3" s="1"/>
  <c r="Z55" i="3"/>
  <c r="P27" i="2"/>
  <c r="P96" i="2"/>
  <c r="P97" i="2" s="1"/>
  <c r="F27" i="2"/>
  <c r="Q57" i="3"/>
  <c r="R27" i="2"/>
  <c r="H94" i="3"/>
  <c r="H19" i="2"/>
  <c r="H22" i="2"/>
  <c r="H16" i="2"/>
  <c r="AB94" i="3"/>
  <c r="AB95" i="3" s="1"/>
  <c r="S94" i="3"/>
  <c r="N19" i="2"/>
  <c r="AE79" i="3"/>
  <c r="E20" i="4"/>
  <c r="F125" i="3"/>
  <c r="V118" i="3"/>
  <c r="V119" i="3" s="1"/>
  <c r="V103" i="3"/>
  <c r="I94" i="3"/>
  <c r="I19" i="2"/>
  <c r="I22" i="2"/>
  <c r="I16" i="2"/>
  <c r="P83" i="3"/>
  <c r="P81" i="3"/>
  <c r="K103" i="3"/>
  <c r="K118" i="3"/>
  <c r="K119" i="3" s="1"/>
  <c r="Y103" i="2"/>
  <c r="Y104" i="2" s="1"/>
  <c r="J94" i="3"/>
  <c r="G94" i="3"/>
  <c r="E94" i="3"/>
  <c r="E95" i="3" s="1"/>
  <c r="B94" i="3"/>
  <c r="U79" i="3"/>
  <c r="Y66" i="3"/>
  <c r="U132" i="3"/>
  <c r="O132" i="3"/>
  <c r="L94" i="3"/>
  <c r="O94" i="3"/>
  <c r="O95" i="3" s="1"/>
  <c r="L41" i="2"/>
  <c r="L19" i="2"/>
  <c r="W103" i="2"/>
  <c r="W104" i="2" s="1"/>
  <c r="V94" i="3"/>
  <c r="Y94" i="3"/>
  <c r="V16" i="2"/>
  <c r="V19" i="2"/>
  <c r="V22" i="2"/>
  <c r="P59" i="2"/>
  <c r="P85" i="2" s="1"/>
  <c r="P94" i="3"/>
  <c r="AB27" i="2"/>
  <c r="M96" i="3"/>
  <c r="M39" i="2" s="1"/>
  <c r="F116" i="3"/>
  <c r="V146" i="3"/>
  <c r="V147" i="3" s="1"/>
  <c r="V135" i="3"/>
  <c r="W27" i="2"/>
  <c r="V57" i="3"/>
  <c r="L79" i="3"/>
  <c r="V132" i="3"/>
  <c r="T94" i="3"/>
  <c r="T95" i="3" s="1"/>
  <c r="X94" i="3"/>
  <c r="V79" i="3"/>
  <c r="N22" i="2"/>
  <c r="H146" i="3"/>
  <c r="H147" i="3" s="1"/>
  <c r="O104" i="3"/>
  <c r="Q132" i="3"/>
  <c r="U146" i="3"/>
  <c r="U147" i="3" s="1"/>
  <c r="U135" i="3"/>
  <c r="I57" i="3"/>
  <c r="J27" i="2"/>
  <c r="Z79" i="3"/>
  <c r="J103" i="3"/>
  <c r="L103" i="3"/>
  <c r="L118" i="3"/>
  <c r="L119" i="3" s="1"/>
  <c r="C94" i="3"/>
  <c r="P22" i="2"/>
  <c r="N16" i="2"/>
  <c r="P16" i="2" s="1"/>
  <c r="P78" i="2" s="1"/>
  <c r="P88" i="2" s="1"/>
  <c r="AC48" i="3"/>
  <c r="X146" i="3"/>
  <c r="X147" i="3" s="1"/>
  <c r="X135" i="3"/>
  <c r="G103" i="2"/>
  <c r="G104" i="2" s="1"/>
  <c r="K102" i="2"/>
  <c r="K103" i="2" s="1"/>
  <c r="K104" i="2" s="1"/>
  <c r="AA27" i="2"/>
  <c r="E48" i="3"/>
  <c r="N96" i="3"/>
  <c r="N39" i="2" s="1"/>
  <c r="F129" i="3"/>
  <c r="F81" i="3"/>
  <c r="F82" i="3" s="1"/>
  <c r="K83" i="3"/>
  <c r="K27" i="2"/>
  <c r="BZ28" i="3"/>
  <c r="N26" i="12" s="1"/>
  <c r="BZ52" i="3"/>
  <c r="BZ53" i="3" s="1"/>
  <c r="L96" i="2"/>
  <c r="L97" i="2" s="1"/>
  <c r="BZ12" i="3"/>
  <c r="CA79" i="3" s="1"/>
  <c r="CA80" i="3" s="1"/>
  <c r="BZ107" i="3"/>
  <c r="M57" i="3"/>
  <c r="N27" i="2"/>
  <c r="Y27" i="2"/>
  <c r="N59" i="2"/>
  <c r="N139" i="3" s="1"/>
  <c r="AC104" i="3"/>
  <c r="F79" i="3"/>
  <c r="L81" i="3"/>
  <c r="L82" i="3" s="1"/>
  <c r="I27" i="2"/>
  <c r="H103" i="2"/>
  <c r="H104" i="2" s="1"/>
  <c r="G96" i="2"/>
  <c r="G97" i="2" s="1"/>
  <c r="Z96" i="2"/>
  <c r="Z97" i="2" s="1"/>
  <c r="AC103" i="2"/>
  <c r="AC104" i="2" s="1"/>
  <c r="AB103" i="2"/>
  <c r="AB104" i="2" s="1"/>
  <c r="D27" i="2"/>
  <c r="B48" i="3"/>
  <c r="AB103" i="3"/>
  <c r="P36" i="4"/>
  <c r="Q85" i="2"/>
  <c r="Q139" i="3"/>
  <c r="X48" i="3"/>
  <c r="X27" i="2"/>
  <c r="K96" i="2"/>
  <c r="K97" i="2" s="1"/>
  <c r="F96" i="2"/>
  <c r="F97" i="2" s="1"/>
  <c r="S27" i="2"/>
  <c r="O103" i="2"/>
  <c r="O104" i="2" s="1"/>
  <c r="AD94" i="3"/>
  <c r="AA94" i="3"/>
  <c r="O139" i="3"/>
  <c r="C103" i="2"/>
  <c r="C104" i="2" s="1"/>
  <c r="O103" i="3"/>
  <c r="B27" i="2"/>
  <c r="C27" i="2"/>
  <c r="C96" i="3"/>
  <c r="C39" i="2" s="1"/>
  <c r="F14" i="4"/>
  <c r="F33" i="4" s="1"/>
  <c r="AE14" i="4"/>
  <c r="AE33" i="4" s="1"/>
  <c r="T103" i="3"/>
  <c r="T118" i="3"/>
  <c r="T119" i="3" s="1"/>
  <c r="M27" i="2"/>
  <c r="AE27" i="2"/>
  <c r="P79" i="3"/>
  <c r="D94" i="3"/>
  <c r="Z98" i="2"/>
  <c r="N41" i="2"/>
  <c r="P122" i="3"/>
  <c r="U14" i="4"/>
  <c r="U33" i="4" s="1"/>
  <c r="F42" i="4"/>
  <c r="E135" i="3"/>
  <c r="E146" i="3"/>
  <c r="E147" i="3" s="1"/>
  <c r="U27" i="2"/>
  <c r="M94" i="3"/>
  <c r="D96" i="3"/>
  <c r="D39" i="2" s="1"/>
  <c r="L83" i="3"/>
  <c r="Z27" i="2"/>
  <c r="Z20" i="2"/>
  <c r="Z21" i="4"/>
  <c r="U42" i="4"/>
  <c r="G38" i="4"/>
  <c r="K37" i="4"/>
  <c r="K42" i="4"/>
  <c r="V33" i="4"/>
  <c r="Z14" i="4"/>
  <c r="Z33" i="4" s="1"/>
  <c r="F36" i="4"/>
  <c r="P37" i="4"/>
  <c r="L38" i="4"/>
  <c r="P20" i="2"/>
  <c r="P18" i="4"/>
  <c r="F37" i="4"/>
  <c r="B38" i="4"/>
  <c r="L33" i="4"/>
  <c r="P14" i="4"/>
  <c r="P33" i="4" s="1"/>
  <c r="K14" i="4"/>
  <c r="K33" i="4" s="1"/>
  <c r="AE42" i="4"/>
  <c r="U93" i="3"/>
  <c r="Z96" i="3" s="1"/>
  <c r="Z39" i="2" s="1"/>
  <c r="P5" i="3"/>
  <c r="P4" i="3" s="1"/>
  <c r="P101" i="3"/>
  <c r="R104" i="3"/>
  <c r="R103" i="3"/>
  <c r="F5" i="3"/>
  <c r="F4" i="3" s="1"/>
  <c r="F101" i="3"/>
  <c r="E140" i="3"/>
  <c r="AD104" i="3"/>
  <c r="AD103" i="3"/>
  <c r="F57" i="3"/>
  <c r="O140" i="3"/>
  <c r="M140" i="3"/>
  <c r="G57" i="3"/>
  <c r="Z60" i="3"/>
  <c r="Z61" i="3" s="1"/>
  <c r="V61" i="3"/>
  <c r="V63" i="3" s="1"/>
  <c r="Z63" i="3" s="1"/>
  <c r="R140" i="3"/>
  <c r="G132" i="3"/>
  <c r="S57" i="3"/>
  <c r="Z135" i="3"/>
  <c r="Z146" i="3"/>
  <c r="Z147" i="3" s="1"/>
  <c r="J67" i="3"/>
  <c r="AA57" i="3"/>
  <c r="R48" i="3"/>
  <c r="B103" i="3"/>
  <c r="B104" i="3"/>
  <c r="X66" i="3"/>
  <c r="X64" i="3"/>
  <c r="Y71" i="3" s="1"/>
  <c r="Y75" i="3" s="1"/>
  <c r="S132" i="3"/>
  <c r="C57" i="3"/>
  <c r="F65" i="3"/>
  <c r="F132" i="3" s="1"/>
  <c r="F134" i="3"/>
  <c r="B57" i="3"/>
  <c r="P60" i="3"/>
  <c r="P61" i="3" s="1"/>
  <c r="N57" i="3"/>
  <c r="K57" i="3"/>
  <c r="N103" i="3"/>
  <c r="N104" i="3"/>
  <c r="Z101" i="3"/>
  <c r="Z5" i="3"/>
  <c r="Z4" i="3" s="1"/>
  <c r="E132" i="3"/>
  <c r="Y140" i="3"/>
  <c r="B140" i="3"/>
  <c r="C104" i="3"/>
  <c r="AE63" i="3"/>
  <c r="AB140" i="3"/>
  <c r="O48" i="3"/>
  <c r="G103" i="3"/>
  <c r="AE93" i="3"/>
  <c r="Y67" i="3"/>
  <c r="F93" i="3"/>
  <c r="AE60" i="3"/>
  <c r="AE61" i="3" s="1"/>
  <c r="AA132" i="3"/>
  <c r="C140" i="3"/>
  <c r="AD57" i="3"/>
  <c r="AD132" i="3"/>
  <c r="Y103" i="3"/>
  <c r="W66" i="3"/>
  <c r="W64" i="3"/>
  <c r="M48" i="3"/>
  <c r="R96" i="3"/>
  <c r="R39" i="2" s="1"/>
  <c r="U57" i="3"/>
  <c r="O66" i="3"/>
  <c r="O64" i="3"/>
  <c r="AD96" i="3"/>
  <c r="AD39" i="2" s="1"/>
  <c r="D104" i="3"/>
  <c r="F60" i="3"/>
  <c r="F61" i="3" s="1"/>
  <c r="B61" i="3"/>
  <c r="B63" i="3" s="1"/>
  <c r="F63" i="3" s="1"/>
  <c r="R57" i="3"/>
  <c r="M103" i="3"/>
  <c r="AC140" i="3"/>
  <c r="P146" i="3"/>
  <c r="P147" i="3" s="1"/>
  <c r="P135" i="3"/>
  <c r="AA146" i="3"/>
  <c r="AA147" i="3" s="1"/>
  <c r="AA135" i="3"/>
  <c r="G61" i="3"/>
  <c r="G63" i="3" s="1"/>
  <c r="K63" i="3" s="1"/>
  <c r="K60" i="3"/>
  <c r="K61" i="3" s="1"/>
  <c r="Y146" i="3"/>
  <c r="Y147" i="3" s="1"/>
  <c r="Y135" i="3"/>
  <c r="AB96" i="3"/>
  <c r="AB39" i="2" s="1"/>
  <c r="W146" i="3"/>
  <c r="W147" i="3" s="1"/>
  <c r="W135" i="3"/>
  <c r="H103" i="3"/>
  <c r="H104" i="3"/>
  <c r="U101" i="3"/>
  <c r="U5" i="3"/>
  <c r="U4" i="3" s="1"/>
  <c r="T146" i="3"/>
  <c r="T147" i="3" s="1"/>
  <c r="T135" i="3"/>
  <c r="B146" i="3"/>
  <c r="B135" i="3"/>
  <c r="D57" i="3"/>
  <c r="L55" i="3"/>
  <c r="K55" i="3"/>
  <c r="N132" i="3"/>
  <c r="O96" i="3"/>
  <c r="O39" i="2" s="1"/>
  <c r="R135" i="3"/>
  <c r="R146" i="3"/>
  <c r="R147" i="3" s="1"/>
  <c r="AB146" i="3"/>
  <c r="AB147" i="3" s="1"/>
  <c r="AB135" i="3"/>
  <c r="AB48" i="3"/>
  <c r="I104" i="3"/>
  <c r="AE101" i="3"/>
  <c r="AE5" i="3"/>
  <c r="AE4" i="3" s="1"/>
  <c r="H66" i="3"/>
  <c r="H64" i="3"/>
  <c r="B132" i="3"/>
  <c r="AA96" i="3"/>
  <c r="AA39" i="2" s="1"/>
  <c r="T66" i="3"/>
  <c r="T64" i="3"/>
  <c r="P82" i="3"/>
  <c r="AD140" i="3"/>
  <c r="AC57" i="3"/>
  <c r="E64" i="3"/>
  <c r="E66" i="3"/>
  <c r="N140" i="3"/>
  <c r="P63" i="3"/>
  <c r="AB57" i="3"/>
  <c r="K93" i="3"/>
  <c r="K5" i="3"/>
  <c r="K4" i="3" s="1"/>
  <c r="D140" i="3"/>
  <c r="K122" i="3"/>
  <c r="S104" i="3"/>
  <c r="N146" i="3"/>
  <c r="N147" i="3" s="1"/>
  <c r="N135" i="3"/>
  <c r="Y48" i="3"/>
  <c r="AC132" i="3"/>
  <c r="C132" i="3"/>
  <c r="AA140" i="3"/>
  <c r="M146" i="3"/>
  <c r="M147" i="3" s="1"/>
  <c r="M135" i="3"/>
  <c r="K146" i="3"/>
  <c r="K147" i="3" s="1"/>
  <c r="K135" i="3"/>
  <c r="O135" i="3"/>
  <c r="O146" i="3"/>
  <c r="O147" i="3" s="1"/>
  <c r="D132" i="3"/>
  <c r="L61" i="2"/>
  <c r="L85" i="2"/>
  <c r="AA104" i="2"/>
  <c r="AE102" i="2"/>
  <c r="P8" i="2"/>
  <c r="E41" i="2"/>
  <c r="E59" i="2"/>
  <c r="E139" i="3" s="1"/>
  <c r="E19" i="2"/>
  <c r="E16" i="2"/>
  <c r="E22" i="2"/>
  <c r="O78" i="2"/>
  <c r="O88" i="2" s="1"/>
  <c r="O35" i="2"/>
  <c r="O37" i="2" s="1"/>
  <c r="Z102" i="2"/>
  <c r="X35" i="2"/>
  <c r="X37" i="2" s="1"/>
  <c r="X78" i="2"/>
  <c r="Q86" i="2"/>
  <c r="Q77" i="2"/>
  <c r="Q87" i="2" s="1"/>
  <c r="Q63" i="2"/>
  <c r="O85" i="2"/>
  <c r="O61" i="2"/>
  <c r="J86" i="2"/>
  <c r="J63" i="2"/>
  <c r="J133" i="3" s="1"/>
  <c r="J77" i="2"/>
  <c r="J87" i="2" s="1"/>
  <c r="AE98" i="2"/>
  <c r="AE97" i="2"/>
  <c r="S41" i="2"/>
  <c r="S19" i="2"/>
  <c r="S22" i="2"/>
  <c r="S16" i="2"/>
  <c r="S59" i="2"/>
  <c r="S139" i="3" s="1"/>
  <c r="X61" i="2"/>
  <c r="X85" i="2"/>
  <c r="W41" i="2"/>
  <c r="W19" i="2"/>
  <c r="W22" i="2"/>
  <c r="W59" i="2"/>
  <c r="W139" i="3" s="1"/>
  <c r="W16" i="2"/>
  <c r="Q37" i="2"/>
  <c r="Z9" i="2"/>
  <c r="Z94" i="3" s="1"/>
  <c r="Z95" i="3" s="1"/>
  <c r="J70" i="2"/>
  <c r="J42" i="2"/>
  <c r="G59" i="2"/>
  <c r="G139" i="3" s="1"/>
  <c r="G41" i="2"/>
  <c r="K9" i="2"/>
  <c r="K94" i="3" s="1"/>
  <c r="K98" i="3" s="1"/>
  <c r="G19" i="2"/>
  <c r="G22" i="2"/>
  <c r="G16" i="2"/>
  <c r="I85" i="2"/>
  <c r="I61" i="2"/>
  <c r="U9" i="2"/>
  <c r="U94" i="3" s="1"/>
  <c r="Y22" i="2"/>
  <c r="Y41" i="2"/>
  <c r="Y19" i="2"/>
  <c r="Y59" i="2"/>
  <c r="Y139" i="3" s="1"/>
  <c r="Y16" i="2"/>
  <c r="U8" i="2"/>
  <c r="M104" i="2"/>
  <c r="P102" i="2"/>
  <c r="T59" i="2"/>
  <c r="T139" i="3" s="1"/>
  <c r="T41" i="2"/>
  <c r="T22" i="2"/>
  <c r="T16" i="2"/>
  <c r="T19" i="2"/>
  <c r="C19" i="2"/>
  <c r="C16" i="2"/>
  <c r="C41" i="2"/>
  <c r="C22" i="2"/>
  <c r="C59" i="2"/>
  <c r="C139" i="3" s="1"/>
  <c r="P19" i="2"/>
  <c r="R41" i="2"/>
  <c r="R19" i="2"/>
  <c r="R16" i="2"/>
  <c r="R22" i="2"/>
  <c r="R59" i="2"/>
  <c r="R139" i="3" s="1"/>
  <c r="H61" i="2"/>
  <c r="H85" i="2"/>
  <c r="AD41" i="2"/>
  <c r="AD19" i="2"/>
  <c r="AD16" i="2"/>
  <c r="AD59" i="2"/>
  <c r="AD139" i="3" s="1"/>
  <c r="AD22" i="2"/>
  <c r="AB78" i="2"/>
  <c r="AB35" i="2"/>
  <c r="AB37" i="2" s="1"/>
  <c r="L35" i="2"/>
  <c r="L78" i="2"/>
  <c r="L88" i="2" s="1"/>
  <c r="U102" i="2"/>
  <c r="Q104" i="2"/>
  <c r="V61" i="2"/>
  <c r="V85" i="2"/>
  <c r="AB61" i="2"/>
  <c r="AB85" i="2"/>
  <c r="K98" i="2"/>
  <c r="D16" i="2"/>
  <c r="D41" i="2"/>
  <c r="D59" i="2"/>
  <c r="D139" i="3" s="1"/>
  <c r="D22" i="2"/>
  <c r="D19" i="2"/>
  <c r="F9" i="2"/>
  <c r="F94" i="3" s="1"/>
  <c r="B19" i="2"/>
  <c r="B22" i="2"/>
  <c r="B41" i="2"/>
  <c r="B16" i="2"/>
  <c r="B59" i="2"/>
  <c r="B139" i="3" s="1"/>
  <c r="AA41" i="2"/>
  <c r="AA19" i="2"/>
  <c r="AA59" i="2"/>
  <c r="AA139" i="3" s="1"/>
  <c r="AA16" i="2"/>
  <c r="AA22" i="2"/>
  <c r="AE9" i="2"/>
  <c r="AE94" i="3" s="1"/>
  <c r="M78" i="2"/>
  <c r="M88" i="2" s="1"/>
  <c r="M35" i="2"/>
  <c r="M37" i="2" s="1"/>
  <c r="BZ109" i="2"/>
  <c r="BZ110" i="2" s="1"/>
  <c r="BZ101" i="2"/>
  <c r="BZ95" i="2"/>
  <c r="BZ102" i="2" s="1"/>
  <c r="BZ48" i="2"/>
  <c r="BZ31" i="2"/>
  <c r="BZ21" i="2"/>
  <c r="BZ11" i="2"/>
  <c r="BZ10" i="2" s="1"/>
  <c r="BZ5" i="2"/>
  <c r="BZ35" i="4" s="1"/>
  <c r="BZ23" i="2"/>
  <c r="BZ15" i="2"/>
  <c r="CF9" i="3"/>
  <c r="CG9" i="3" s="1"/>
  <c r="CI9" i="3" s="1"/>
  <c r="CJ9" i="3" s="1"/>
  <c r="CK9" i="3" s="1"/>
  <c r="CL9" i="3" s="1"/>
  <c r="BY10" i="3"/>
  <c r="BW10" i="3"/>
  <c r="BX10" i="3" s="1"/>
  <c r="BV10" i="3"/>
  <c r="BU10" i="3"/>
  <c r="BT10" i="3"/>
  <c r="BR10" i="3"/>
  <c r="BS10" i="3" s="1"/>
  <c r="BQ10" i="3"/>
  <c r="BP10" i="3"/>
  <c r="BO10" i="3"/>
  <c r="BM10" i="3"/>
  <c r="BN10" i="3" s="1"/>
  <c r="BL10" i="3"/>
  <c r="BK10" i="3"/>
  <c r="BJ10" i="3"/>
  <c r="BH10" i="3"/>
  <c r="BI10" i="3" s="1"/>
  <c r="BG10" i="3"/>
  <c r="BF10" i="3"/>
  <c r="BE10" i="3"/>
  <c r="BC10" i="3"/>
  <c r="BD10" i="3" s="1"/>
  <c r="BX9" i="3"/>
  <c r="BS9" i="3"/>
  <c r="BZ25" i="4"/>
  <c r="BZ26" i="4" s="1"/>
  <c r="BY25" i="4"/>
  <c r="BZ28" i="4"/>
  <c r="BZ29" i="4" s="1"/>
  <c r="BW25" i="4"/>
  <c r="BX25" i="4" s="1"/>
  <c r="BV25" i="4"/>
  <c r="BU25" i="4"/>
  <c r="BT25" i="4"/>
  <c r="BR25" i="4"/>
  <c r="BS25" i="4" s="1"/>
  <c r="BQ25" i="4"/>
  <c r="BP25" i="4"/>
  <c r="BO25" i="4"/>
  <c r="BM25" i="4"/>
  <c r="BN25" i="4" s="1"/>
  <c r="BL25" i="4"/>
  <c r="BK25" i="4"/>
  <c r="BJ25" i="4"/>
  <c r="BH25" i="4"/>
  <c r="BI25" i="4" s="1"/>
  <c r="BG25" i="4"/>
  <c r="BF25" i="4"/>
  <c r="BE25" i="4"/>
  <c r="BC25" i="4"/>
  <c r="BD25" i="4" s="1"/>
  <c r="BB25" i="4"/>
  <c r="BA25" i="4"/>
  <c r="AZ25" i="4"/>
  <c r="AX25" i="4"/>
  <c r="AY25" i="4" s="1"/>
  <c r="AW25" i="4"/>
  <c r="AV25" i="4"/>
  <c r="AU25" i="4"/>
  <c r="AS25" i="4"/>
  <c r="AT25" i="4" s="1"/>
  <c r="AR25" i="4"/>
  <c r="AQ25" i="4"/>
  <c r="AP25" i="4"/>
  <c r="AN25" i="4"/>
  <c r="AM25" i="4"/>
  <c r="AL25" i="4"/>
  <c r="AK25" i="4"/>
  <c r="BZ15" i="4"/>
  <c r="BZ17" i="4" s="1"/>
  <c r="BZ20" i="4" s="1"/>
  <c r="BY15" i="4"/>
  <c r="BZ13" i="4"/>
  <c r="BZ11" i="4"/>
  <c r="BW15" i="4"/>
  <c r="BV15" i="4"/>
  <c r="BU15" i="4"/>
  <c r="BT15" i="4"/>
  <c r="BR15" i="4"/>
  <c r="BQ15" i="4"/>
  <c r="BP15" i="4"/>
  <c r="BO15" i="4"/>
  <c r="BM15" i="4"/>
  <c r="BL15" i="4"/>
  <c r="BK15" i="4"/>
  <c r="BJ15" i="4"/>
  <c r="BH15" i="4"/>
  <c r="BG15" i="4"/>
  <c r="BF15" i="4"/>
  <c r="BE15" i="4"/>
  <c r="BC15" i="4"/>
  <c r="BB15" i="4"/>
  <c r="BA15" i="4"/>
  <c r="AZ15" i="4"/>
  <c r="AX15" i="4"/>
  <c r="AW15" i="4"/>
  <c r="AV15" i="4"/>
  <c r="AU15" i="4"/>
  <c r="AS15" i="4"/>
  <c r="AR15" i="4"/>
  <c r="AQ15" i="4"/>
  <c r="AP15" i="4"/>
  <c r="AN15" i="4"/>
  <c r="AM15" i="4"/>
  <c r="AL15" i="4"/>
  <c r="AK15" i="4"/>
  <c r="BZ8" i="4"/>
  <c r="BZ6" i="4"/>
  <c r="BX143" i="3"/>
  <c r="BS143" i="3"/>
  <c r="BN143" i="3"/>
  <c r="BI143" i="3"/>
  <c r="BD143" i="3"/>
  <c r="AY143" i="3"/>
  <c r="BX144" i="3"/>
  <c r="BS144" i="3"/>
  <c r="BN144" i="3"/>
  <c r="BI144" i="3"/>
  <c r="BD144" i="3"/>
  <c r="AY144" i="3"/>
  <c r="BX47" i="3"/>
  <c r="BV47" i="3"/>
  <c r="BS47" i="3"/>
  <c r="BN47" i="3"/>
  <c r="BI47" i="3"/>
  <c r="BD47" i="3"/>
  <c r="BA47" i="3"/>
  <c r="AZ47" i="3"/>
  <c r="AY47" i="3"/>
  <c r="BX46" i="3"/>
  <c r="BS46" i="3"/>
  <c r="BN46" i="3"/>
  <c r="BI46" i="3"/>
  <c r="BD46" i="3"/>
  <c r="AY46" i="3"/>
  <c r="BX45" i="3"/>
  <c r="BS45" i="3"/>
  <c r="BN45" i="3"/>
  <c r="BI45" i="3"/>
  <c r="BD45" i="3"/>
  <c r="AY45" i="3"/>
  <c r="BY44" i="3"/>
  <c r="BW44" i="3"/>
  <c r="BX44" i="3" s="1"/>
  <c r="BV44" i="3"/>
  <c r="BU44" i="3"/>
  <c r="BT44" i="3"/>
  <c r="BR44" i="3"/>
  <c r="BS44" i="3" s="1"/>
  <c r="BQ44" i="3"/>
  <c r="BP44" i="3"/>
  <c r="BO44" i="3"/>
  <c r="BM44" i="3"/>
  <c r="BN44" i="3" s="1"/>
  <c r="BL44" i="3"/>
  <c r="BK44" i="3"/>
  <c r="BJ44" i="3"/>
  <c r="BH44" i="3"/>
  <c r="BI44" i="3" s="1"/>
  <c r="BG44" i="3"/>
  <c r="BF44" i="3"/>
  <c r="BE44" i="3"/>
  <c r="BC44" i="3"/>
  <c r="BD44" i="3" s="1"/>
  <c r="BB44" i="3"/>
  <c r="BA44" i="3"/>
  <c r="AZ44" i="3"/>
  <c r="AX44" i="3"/>
  <c r="AY44" i="3" s="1"/>
  <c r="BX42" i="3"/>
  <c r="BS42" i="3"/>
  <c r="BN42" i="3"/>
  <c r="BI42" i="3"/>
  <c r="BD42" i="3"/>
  <c r="AY42" i="3"/>
  <c r="BY41" i="3"/>
  <c r="BW41" i="3"/>
  <c r="BX41" i="3" s="1"/>
  <c r="BS41" i="3"/>
  <c r="BN41" i="3"/>
  <c r="BI41" i="3"/>
  <c r="BD41" i="3"/>
  <c r="AX41" i="3"/>
  <c r="AY41" i="3" s="1"/>
  <c r="BY40" i="3"/>
  <c r="BW40" i="3"/>
  <c r="BX40" i="3" s="1"/>
  <c r="BV40" i="3"/>
  <c r="BU40" i="3"/>
  <c r="BT40" i="3"/>
  <c r="BR40" i="3"/>
  <c r="BS40" i="3" s="1"/>
  <c r="BQ40" i="3"/>
  <c r="BP40" i="3"/>
  <c r="BO40" i="3"/>
  <c r="BM40" i="3"/>
  <c r="BN40" i="3" s="1"/>
  <c r="BL40" i="3"/>
  <c r="BK40" i="3"/>
  <c r="BJ40" i="3"/>
  <c r="BH40" i="3"/>
  <c r="BI40" i="3" s="1"/>
  <c r="BG40" i="3"/>
  <c r="BF40" i="3"/>
  <c r="BE40" i="3"/>
  <c r="BC40" i="3"/>
  <c r="BD40" i="3" s="1"/>
  <c r="BB40" i="3"/>
  <c r="BA40" i="3"/>
  <c r="AZ40" i="3"/>
  <c r="AX40" i="3"/>
  <c r="AY40" i="3" s="1"/>
  <c r="BX39" i="3"/>
  <c r="BS39" i="3"/>
  <c r="BN39" i="3"/>
  <c r="BI39" i="3"/>
  <c r="BD39" i="3"/>
  <c r="AX39" i="3"/>
  <c r="AY39" i="3" s="1"/>
  <c r="BY38" i="3"/>
  <c r="BW38" i="3"/>
  <c r="BX38" i="3" s="1"/>
  <c r="BV38" i="3"/>
  <c r="BU38" i="3"/>
  <c r="BT38" i="3"/>
  <c r="BR38" i="3"/>
  <c r="BS38" i="3" s="1"/>
  <c r="BQ38" i="3"/>
  <c r="BP38" i="3"/>
  <c r="BO38" i="3"/>
  <c r="BM38" i="3"/>
  <c r="BN38" i="3" s="1"/>
  <c r="BL38" i="3"/>
  <c r="BK38" i="3"/>
  <c r="BJ38" i="3"/>
  <c r="BH38" i="3"/>
  <c r="BI38" i="3" s="1"/>
  <c r="BG38" i="3"/>
  <c r="BF38" i="3"/>
  <c r="BE38" i="3"/>
  <c r="BC38" i="3"/>
  <c r="BD38" i="3" s="1"/>
  <c r="BB38" i="3"/>
  <c r="BA38" i="3"/>
  <c r="AZ38" i="3"/>
  <c r="AX38" i="3"/>
  <c r="AY38" i="3" s="1"/>
  <c r="BX37" i="3"/>
  <c r="BS37" i="3"/>
  <c r="BN37" i="3"/>
  <c r="BI37" i="3"/>
  <c r="BD37" i="3"/>
  <c r="AX37" i="3"/>
  <c r="AY37" i="3" s="1"/>
  <c r="BY36" i="3"/>
  <c r="BW36" i="3"/>
  <c r="BX36" i="3" s="1"/>
  <c r="BV36" i="3"/>
  <c r="BU36" i="3"/>
  <c r="BT36" i="3"/>
  <c r="BR36" i="3"/>
  <c r="BS36" i="3" s="1"/>
  <c r="BQ36" i="3"/>
  <c r="BP36" i="3"/>
  <c r="BO36" i="3"/>
  <c r="BM36" i="3"/>
  <c r="BN36" i="3" s="1"/>
  <c r="BL36" i="3"/>
  <c r="BK36" i="3"/>
  <c r="BJ36" i="3"/>
  <c r="BH36" i="3"/>
  <c r="BI36" i="3" s="1"/>
  <c r="BG36" i="3"/>
  <c r="BF36" i="3"/>
  <c r="BE36" i="3"/>
  <c r="BC36" i="3"/>
  <c r="BD36" i="3" s="1"/>
  <c r="BB36" i="3"/>
  <c r="BA36" i="3"/>
  <c r="AZ36" i="3"/>
  <c r="AX36" i="3"/>
  <c r="AY36" i="3" s="1"/>
  <c r="BX35" i="3"/>
  <c r="BS35" i="3"/>
  <c r="BN35" i="3"/>
  <c r="BI35" i="3"/>
  <c r="BD35" i="3"/>
  <c r="BB35" i="3"/>
  <c r="AX35" i="3"/>
  <c r="AY35" i="3" s="1"/>
  <c r="BX34" i="3"/>
  <c r="BS34" i="3"/>
  <c r="BN34" i="3"/>
  <c r="BI34" i="3"/>
  <c r="BD34" i="3"/>
  <c r="BB34" i="3"/>
  <c r="AX34" i="3"/>
  <c r="AY34" i="3" s="1"/>
  <c r="BX33" i="3"/>
  <c r="BS33" i="3"/>
  <c r="BN33" i="3"/>
  <c r="BI33" i="3"/>
  <c r="BD33" i="3"/>
  <c r="BB33" i="3"/>
  <c r="AX33" i="3"/>
  <c r="AY33" i="3" s="1"/>
  <c r="BX31" i="3"/>
  <c r="BS31" i="3"/>
  <c r="BN31" i="3"/>
  <c r="BI31" i="3"/>
  <c r="BD31" i="3"/>
  <c r="BB31" i="3"/>
  <c r="AX31" i="3"/>
  <c r="AY31" i="3" s="1"/>
  <c r="BY30" i="3"/>
  <c r="BY29" i="3" s="1"/>
  <c r="BW30" i="3"/>
  <c r="BX30" i="3" s="1"/>
  <c r="BV30" i="3"/>
  <c r="BV29" i="3" s="1"/>
  <c r="BU30" i="3"/>
  <c r="BU29" i="3" s="1"/>
  <c r="BT30" i="3"/>
  <c r="BT29" i="3" s="1"/>
  <c r="BR30" i="3"/>
  <c r="BS30" i="3" s="1"/>
  <c r="BQ30" i="3"/>
  <c r="BQ29" i="3" s="1"/>
  <c r="BP30" i="3"/>
  <c r="BP29" i="3" s="1"/>
  <c r="BO30" i="3"/>
  <c r="BO29" i="3" s="1"/>
  <c r="BM30" i="3"/>
  <c r="BM29" i="3" s="1"/>
  <c r="BN29" i="3" s="1"/>
  <c r="BL30" i="3"/>
  <c r="BL29" i="3" s="1"/>
  <c r="BK30" i="3"/>
  <c r="BK29" i="3" s="1"/>
  <c r="BJ30" i="3"/>
  <c r="BJ29" i="3" s="1"/>
  <c r="BH30" i="3"/>
  <c r="BI30" i="3" s="1"/>
  <c r="BG30" i="3"/>
  <c r="BG29" i="3" s="1"/>
  <c r="BF30" i="3"/>
  <c r="BF29" i="3" s="1"/>
  <c r="BE30" i="3"/>
  <c r="BE29" i="3" s="1"/>
  <c r="BC30" i="3"/>
  <c r="BD30" i="3" s="1"/>
  <c r="BB30" i="3"/>
  <c r="BB29" i="3" s="1"/>
  <c r="AX30" i="3"/>
  <c r="AX29" i="3" s="1"/>
  <c r="AY29" i="3" s="1"/>
  <c r="BA29" i="3"/>
  <c r="AZ29" i="3"/>
  <c r="CJ21" i="2" l="1"/>
  <c r="I13" i="9"/>
  <c r="R95" i="3"/>
  <c r="K132" i="3"/>
  <c r="CA112" i="2"/>
  <c r="CA116" i="2" s="1"/>
  <c r="CA118" i="2" s="1"/>
  <c r="BZ30" i="2"/>
  <c r="CB31" i="2"/>
  <c r="CB30" i="2" s="1"/>
  <c r="U37" i="4"/>
  <c r="Z37" i="4"/>
  <c r="AC35" i="2"/>
  <c r="AC37" i="2" s="1"/>
  <c r="R98" i="3"/>
  <c r="P57" i="3"/>
  <c r="CA83" i="3"/>
  <c r="CA85" i="3" s="1"/>
  <c r="CA86" i="3" s="1"/>
  <c r="CA103" i="2"/>
  <c r="CA104" i="2" s="1"/>
  <c r="CA96" i="2"/>
  <c r="CA97" i="2" s="1"/>
  <c r="P132" i="3"/>
  <c r="AC61" i="2"/>
  <c r="AC85" i="2"/>
  <c r="W100" i="3"/>
  <c r="BZ135" i="3"/>
  <c r="CA50" i="2"/>
  <c r="CA53" i="2"/>
  <c r="CA51" i="2"/>
  <c r="CA52" i="2"/>
  <c r="CA136" i="3" s="1"/>
  <c r="AE146" i="3"/>
  <c r="AE147" i="3" s="1"/>
  <c r="AE57" i="3"/>
  <c r="AE66" i="3" s="1"/>
  <c r="K48" i="3"/>
  <c r="P61" i="2"/>
  <c r="P77" i="2" s="1"/>
  <c r="P87" i="2" s="1"/>
  <c r="W98" i="3"/>
  <c r="N35" i="2"/>
  <c r="N37" i="2" s="1"/>
  <c r="Z66" i="3"/>
  <c r="M61" i="2"/>
  <c r="M85" i="2"/>
  <c r="P48" i="3"/>
  <c r="AE37" i="4"/>
  <c r="AE38" i="4" s="1"/>
  <c r="L66" i="3"/>
  <c r="N98" i="3"/>
  <c r="N95" i="3"/>
  <c r="F38" i="4"/>
  <c r="Q95" i="3"/>
  <c r="F48" i="3"/>
  <c r="Q100" i="3"/>
  <c r="N78" i="2"/>
  <c r="N88" i="2" s="1"/>
  <c r="Q133" i="3"/>
  <c r="AC95" i="3"/>
  <c r="AC98" i="3"/>
  <c r="BH29" i="3"/>
  <c r="BI29" i="3" s="1"/>
  <c r="B118" i="2"/>
  <c r="F116" i="2"/>
  <c r="F118" i="2" s="1"/>
  <c r="BW29" i="3"/>
  <c r="BX29" i="3" s="1"/>
  <c r="BZ4" i="2"/>
  <c r="BZ8" i="2" s="1"/>
  <c r="BZ12" i="2"/>
  <c r="Z103" i="2"/>
  <c r="Z104" i="2" s="1"/>
  <c r="AE103" i="2"/>
  <c r="AE104" i="2" s="1"/>
  <c r="V78" i="2"/>
  <c r="V88" i="2" s="1"/>
  <c r="V35" i="2"/>
  <c r="V37" i="2" s="1"/>
  <c r="V70" i="2" s="1"/>
  <c r="Q64" i="3"/>
  <c r="Q67" i="3" s="1"/>
  <c r="Q66" i="3"/>
  <c r="AA100" i="3"/>
  <c r="AA98" i="3"/>
  <c r="Y98" i="3"/>
  <c r="Y95" i="3"/>
  <c r="Y100" i="3"/>
  <c r="U98" i="3"/>
  <c r="U100" i="3"/>
  <c r="AD100" i="3"/>
  <c r="AD98" i="3"/>
  <c r="V95" i="3"/>
  <c r="V98" i="3"/>
  <c r="V100" i="3"/>
  <c r="I78" i="2"/>
  <c r="I88" i="2" s="1"/>
  <c r="I35" i="2"/>
  <c r="I37" i="2" s="1"/>
  <c r="I64" i="3"/>
  <c r="I66" i="3"/>
  <c r="AY30" i="3"/>
  <c r="X95" i="3"/>
  <c r="X98" i="3"/>
  <c r="X100" i="3"/>
  <c r="B98" i="3"/>
  <c r="B100" i="3"/>
  <c r="B95" i="3"/>
  <c r="S98" i="3"/>
  <c r="S95" i="3"/>
  <c r="S100" i="3"/>
  <c r="M64" i="3"/>
  <c r="M67" i="3" s="1"/>
  <c r="M66" i="3"/>
  <c r="T100" i="3"/>
  <c r="T98" i="3"/>
  <c r="E98" i="3"/>
  <c r="E100" i="3"/>
  <c r="I100" i="3"/>
  <c r="I95" i="3"/>
  <c r="I98" i="3"/>
  <c r="AB98" i="3"/>
  <c r="AB100" i="3"/>
  <c r="P103" i="2"/>
  <c r="P104" i="2" s="1"/>
  <c r="Z98" i="3"/>
  <c r="Z100" i="3"/>
  <c r="BZ108" i="3"/>
  <c r="G100" i="3"/>
  <c r="G98" i="3"/>
  <c r="G95" i="3"/>
  <c r="BZ98" i="2"/>
  <c r="F100" i="3"/>
  <c r="F98" i="3"/>
  <c r="BZ101" i="3"/>
  <c r="CA104" i="3" s="1"/>
  <c r="BZ5" i="3"/>
  <c r="J98" i="3"/>
  <c r="J100" i="3"/>
  <c r="J95" i="3"/>
  <c r="H78" i="2"/>
  <c r="H88" i="2" s="1"/>
  <c r="H35" i="2"/>
  <c r="H37" i="2" s="1"/>
  <c r="BZ20" i="2"/>
  <c r="AE100" i="3"/>
  <c r="AE98" i="3"/>
  <c r="N61" i="2"/>
  <c r="N77" i="2" s="1"/>
  <c r="N87" i="2" s="1"/>
  <c r="U38" i="4"/>
  <c r="D98" i="3"/>
  <c r="D95" i="3"/>
  <c r="D100" i="3"/>
  <c r="C98" i="3"/>
  <c r="C95" i="3"/>
  <c r="C100" i="3"/>
  <c r="P100" i="3"/>
  <c r="P98" i="3"/>
  <c r="P95" i="3"/>
  <c r="O100" i="3"/>
  <c r="O98" i="3"/>
  <c r="BR29" i="3"/>
  <c r="BS29" i="3" s="1"/>
  <c r="U103" i="2"/>
  <c r="U104" i="2" s="1"/>
  <c r="N85" i="2"/>
  <c r="V64" i="3"/>
  <c r="V67" i="3" s="1"/>
  <c r="V66" i="3"/>
  <c r="P139" i="3"/>
  <c r="L98" i="3"/>
  <c r="L95" i="3"/>
  <c r="L100" i="3"/>
  <c r="BC29" i="3"/>
  <c r="BD29" i="3" s="1"/>
  <c r="AA95" i="3"/>
  <c r="BZ27" i="3"/>
  <c r="BZ26" i="3" s="1"/>
  <c r="BZ51" i="3"/>
  <c r="K100" i="3"/>
  <c r="H100" i="3"/>
  <c r="H98" i="3"/>
  <c r="H95" i="3"/>
  <c r="BZ42" i="4"/>
  <c r="AD95" i="3"/>
  <c r="M95" i="3"/>
  <c r="M100" i="3"/>
  <c r="M98" i="3"/>
  <c r="K38" i="4"/>
  <c r="P38" i="4"/>
  <c r="Z38" i="4"/>
  <c r="P64" i="3"/>
  <c r="P66" i="3"/>
  <c r="D64" i="3"/>
  <c r="E71" i="3" s="1"/>
  <c r="E75" i="3" s="1"/>
  <c r="D66" i="3"/>
  <c r="P104" i="3"/>
  <c r="P103" i="3"/>
  <c r="Q104" i="3"/>
  <c r="B147" i="3"/>
  <c r="F104" i="3"/>
  <c r="F103" i="3"/>
  <c r="K104" i="3"/>
  <c r="H67" i="3"/>
  <c r="AA66" i="3"/>
  <c r="AA64" i="3"/>
  <c r="AE140" i="3"/>
  <c r="F66" i="3"/>
  <c r="F64" i="3"/>
  <c r="AB66" i="3"/>
  <c r="AB64" i="3"/>
  <c r="E67" i="3"/>
  <c r="AE104" i="3"/>
  <c r="AE103" i="3"/>
  <c r="N66" i="3"/>
  <c r="N64" i="3"/>
  <c r="O71" i="3" s="1"/>
  <c r="O75" i="3" s="1"/>
  <c r="X71" i="3"/>
  <c r="X75" i="3" s="1"/>
  <c r="X67" i="3"/>
  <c r="G64" i="3"/>
  <c r="G66" i="3"/>
  <c r="AE96" i="3"/>
  <c r="AE39" i="2" s="1"/>
  <c r="AE95" i="3"/>
  <c r="B64" i="3"/>
  <c r="B66" i="3"/>
  <c r="AC64" i="3"/>
  <c r="AC66" i="3"/>
  <c r="O67" i="3"/>
  <c r="AD66" i="3"/>
  <c r="AD64" i="3"/>
  <c r="Z103" i="3"/>
  <c r="Z104" i="3"/>
  <c r="AA104" i="3"/>
  <c r="R64" i="3"/>
  <c r="R66" i="3"/>
  <c r="G104" i="3"/>
  <c r="F135" i="3"/>
  <c r="F146" i="3"/>
  <c r="F147" i="3" s="1"/>
  <c r="S64" i="3"/>
  <c r="T71" i="3" s="1"/>
  <c r="T75" i="3" s="1"/>
  <c r="S66" i="3"/>
  <c r="F140" i="3"/>
  <c r="U96" i="3"/>
  <c r="U39" i="2" s="1"/>
  <c r="V96" i="3"/>
  <c r="V39" i="2" s="1"/>
  <c r="U95" i="3"/>
  <c r="AE48" i="3"/>
  <c r="U66" i="3"/>
  <c r="U64" i="3"/>
  <c r="Z71" i="3" s="1"/>
  <c r="Z75" i="3" s="1"/>
  <c r="K140" i="3"/>
  <c r="K66" i="3"/>
  <c r="K64" i="3"/>
  <c r="L71" i="3" s="1"/>
  <c r="L75" i="3" s="1"/>
  <c r="C64" i="3"/>
  <c r="C66" i="3"/>
  <c r="U104" i="3"/>
  <c r="V104" i="3"/>
  <c r="U103" i="3"/>
  <c r="F96" i="3"/>
  <c r="F39" i="2" s="1"/>
  <c r="F95" i="3"/>
  <c r="G96" i="3"/>
  <c r="G39" i="2" s="1"/>
  <c r="T67" i="3"/>
  <c r="W67" i="3"/>
  <c r="Z67" i="3"/>
  <c r="L67" i="3"/>
  <c r="M71" i="3"/>
  <c r="M75" i="3" s="1"/>
  <c r="P140" i="3"/>
  <c r="Z140" i="3"/>
  <c r="Z48" i="3"/>
  <c r="K96" i="3"/>
  <c r="K39" i="2" s="1"/>
  <c r="L96" i="3"/>
  <c r="L39" i="2" s="1"/>
  <c r="K95" i="3"/>
  <c r="P96" i="3"/>
  <c r="P39" i="2" s="1"/>
  <c r="U140" i="3"/>
  <c r="U48" i="3"/>
  <c r="F59" i="2"/>
  <c r="F139" i="3" s="1"/>
  <c r="F22" i="2"/>
  <c r="F19" i="2"/>
  <c r="F41" i="2"/>
  <c r="V86" i="2"/>
  <c r="V77" i="2"/>
  <c r="V87" i="2" s="1"/>
  <c r="V63" i="2"/>
  <c r="V133" i="3" s="1"/>
  <c r="AD78" i="2"/>
  <c r="AD35" i="2"/>
  <c r="AD37" i="2" s="1"/>
  <c r="Z22" i="2"/>
  <c r="Z59" i="2"/>
  <c r="Z139" i="3" s="1"/>
  <c r="Z19" i="2"/>
  <c r="Z41" i="2"/>
  <c r="O77" i="2"/>
  <c r="O87" i="2" s="1"/>
  <c r="O63" i="2"/>
  <c r="O133" i="3" s="1"/>
  <c r="O86" i="2"/>
  <c r="E78" i="2"/>
  <c r="E88" i="2" s="1"/>
  <c r="E35" i="2"/>
  <c r="E37" i="2" s="1"/>
  <c r="AE59" i="2"/>
  <c r="AE139" i="3" s="1"/>
  <c r="AE41" i="2"/>
  <c r="AE19" i="2"/>
  <c r="AE22" i="2"/>
  <c r="C85" i="2"/>
  <c r="C61" i="2"/>
  <c r="K19" i="2"/>
  <c r="K59" i="2"/>
  <c r="K139" i="3" s="1"/>
  <c r="K22" i="2"/>
  <c r="K41" i="2"/>
  <c r="Q42" i="2"/>
  <c r="Q70" i="2"/>
  <c r="Y78" i="2"/>
  <c r="Y35" i="2"/>
  <c r="Y37" i="2" s="1"/>
  <c r="Q65" i="2"/>
  <c r="Q68" i="3" s="1"/>
  <c r="Q82" i="2"/>
  <c r="E61" i="2"/>
  <c r="E85" i="2"/>
  <c r="AA78" i="2"/>
  <c r="AE16" i="2"/>
  <c r="AE78" i="2" s="1"/>
  <c r="AA35" i="2"/>
  <c r="D61" i="2"/>
  <c r="D85" i="2"/>
  <c r="Y85" i="2"/>
  <c r="Y61" i="2"/>
  <c r="G61" i="2"/>
  <c r="G85" i="2"/>
  <c r="W78" i="2"/>
  <c r="W35" i="2"/>
  <c r="Z16" i="2"/>
  <c r="Z78" i="2" s="1"/>
  <c r="AA61" i="2"/>
  <c r="AA85" i="2"/>
  <c r="H77" i="2"/>
  <c r="H87" i="2" s="1"/>
  <c r="H86" i="2"/>
  <c r="H63" i="2"/>
  <c r="H133" i="3" s="1"/>
  <c r="C35" i="2"/>
  <c r="C37" i="2" s="1"/>
  <c r="C78" i="2"/>
  <c r="C88" i="2" s="1"/>
  <c r="W85" i="2"/>
  <c r="W61" i="2"/>
  <c r="M77" i="2"/>
  <c r="M87" i="2" s="1"/>
  <c r="M63" i="2"/>
  <c r="M133" i="3" s="1"/>
  <c r="M86" i="2"/>
  <c r="D78" i="2"/>
  <c r="D88" i="2" s="1"/>
  <c r="D35" i="2"/>
  <c r="D37" i="2" s="1"/>
  <c r="L37" i="2"/>
  <c r="P35" i="2"/>
  <c r="R61" i="2"/>
  <c r="R85" i="2"/>
  <c r="AB42" i="2"/>
  <c r="AB70" i="2"/>
  <c r="X70" i="2"/>
  <c r="X42" i="2"/>
  <c r="B61" i="2"/>
  <c r="B85" i="2"/>
  <c r="R35" i="2"/>
  <c r="U16" i="2"/>
  <c r="U78" i="2" s="1"/>
  <c r="U88" i="2" s="1"/>
  <c r="R78" i="2"/>
  <c r="R88" i="2" s="1"/>
  <c r="T35" i="2"/>
  <c r="T37" i="2" s="1"/>
  <c r="T78" i="2"/>
  <c r="T88" i="2" s="1"/>
  <c r="U59" i="2"/>
  <c r="U139" i="3" s="1"/>
  <c r="U22" i="2"/>
  <c r="U41" i="2"/>
  <c r="U19" i="2"/>
  <c r="B78" i="2"/>
  <c r="B88" i="2" s="1"/>
  <c r="B35" i="2"/>
  <c r="F16" i="2"/>
  <c r="F78" i="2" s="1"/>
  <c r="F88" i="2" s="1"/>
  <c r="AB63" i="2"/>
  <c r="AB133" i="3" s="1"/>
  <c r="AB77" i="2"/>
  <c r="AB86" i="2"/>
  <c r="AC63" i="2"/>
  <c r="AC133" i="3" s="1"/>
  <c r="AC77" i="2"/>
  <c r="AC86" i="2"/>
  <c r="I86" i="2"/>
  <c r="I63" i="2"/>
  <c r="I133" i="3" s="1"/>
  <c r="I77" i="2"/>
  <c r="I87" i="2" s="1"/>
  <c r="J82" i="2"/>
  <c r="J65" i="2"/>
  <c r="J68" i="3" s="1"/>
  <c r="AC42" i="2"/>
  <c r="AC70" i="2"/>
  <c r="X63" i="2"/>
  <c r="X133" i="3" s="1"/>
  <c r="X86" i="2"/>
  <c r="X77" i="2"/>
  <c r="O70" i="2"/>
  <c r="O42" i="2"/>
  <c r="AC88" i="2"/>
  <c r="T61" i="2"/>
  <c r="T85" i="2"/>
  <c r="K16" i="2"/>
  <c r="K78" i="2" s="1"/>
  <c r="K88" i="2" s="1"/>
  <c r="G78" i="2"/>
  <c r="G88" i="2" s="1"/>
  <c r="G35" i="2"/>
  <c r="J44" i="2"/>
  <c r="J45" i="2"/>
  <c r="S61" i="2"/>
  <c r="S85" i="2"/>
  <c r="N42" i="2"/>
  <c r="N70" i="2"/>
  <c r="M42" i="2"/>
  <c r="M70" i="2"/>
  <c r="AD85" i="2"/>
  <c r="AD61" i="2"/>
  <c r="S35" i="2"/>
  <c r="S37" i="2" s="1"/>
  <c r="S78" i="2"/>
  <c r="S88" i="2" s="1"/>
  <c r="L86" i="2"/>
  <c r="L63" i="2"/>
  <c r="L133" i="3" s="1"/>
  <c r="L77" i="2"/>
  <c r="L87" i="2" s="1"/>
  <c r="BZ17" i="2"/>
  <c r="CN9" i="3"/>
  <c r="CO9" i="3" s="1"/>
  <c r="CP9" i="3" s="1"/>
  <c r="CQ9" i="3" s="1"/>
  <c r="CM9" i="3"/>
  <c r="BZ18" i="4"/>
  <c r="BZ21" i="4"/>
  <c r="BZ14" i="4"/>
  <c r="BZ33" i="4" s="1"/>
  <c r="BZ16" i="4"/>
  <c r="BN30" i="3"/>
  <c r="BY8" i="3"/>
  <c r="BW8" i="3"/>
  <c r="BV8" i="3"/>
  <c r="BU8" i="3"/>
  <c r="BT8" i="3"/>
  <c r="BR8" i="3"/>
  <c r="BQ8" i="3"/>
  <c r="BP8" i="3"/>
  <c r="BO8" i="3"/>
  <c r="BM8" i="3"/>
  <c r="BL8" i="3"/>
  <c r="BK8" i="3"/>
  <c r="BJ8" i="3"/>
  <c r="BH8" i="3"/>
  <c r="BG8" i="3"/>
  <c r="BF8" i="3"/>
  <c r="BE8" i="3"/>
  <c r="BC8" i="3"/>
  <c r="AW8" i="3"/>
  <c r="AV8" i="3"/>
  <c r="AU8" i="3"/>
  <c r="BX24" i="3"/>
  <c r="BS24" i="3"/>
  <c r="BN24" i="3"/>
  <c r="BI24" i="3"/>
  <c r="BD24" i="3"/>
  <c r="AY24" i="3"/>
  <c r="BX23" i="3"/>
  <c r="BS23" i="3"/>
  <c r="BN23" i="3"/>
  <c r="BI23" i="3"/>
  <c r="BD23" i="3"/>
  <c r="AY23" i="3"/>
  <c r="BX22" i="3"/>
  <c r="BS22" i="3"/>
  <c r="BN22" i="3"/>
  <c r="BI22" i="3"/>
  <c r="BD22" i="3"/>
  <c r="AY22" i="3"/>
  <c r="BY21" i="3"/>
  <c r="BX21" i="3"/>
  <c r="BT21" i="3"/>
  <c r="BS21" i="3"/>
  <c r="BN21" i="3"/>
  <c r="BI21" i="3"/>
  <c r="BD21" i="3"/>
  <c r="AY21" i="3"/>
  <c r="BY19" i="3"/>
  <c r="BW19" i="3"/>
  <c r="BX19" i="3" s="1"/>
  <c r="BV19" i="3"/>
  <c r="BU19" i="3"/>
  <c r="BT19" i="3"/>
  <c r="BR19" i="3"/>
  <c r="BS19" i="3" s="1"/>
  <c r="BQ19" i="3"/>
  <c r="BP19" i="3"/>
  <c r="BO19" i="3"/>
  <c r="BM19" i="3"/>
  <c r="BN19" i="3" s="1"/>
  <c r="BL19" i="3"/>
  <c r="BK19" i="3"/>
  <c r="BJ19" i="3"/>
  <c r="BH19" i="3"/>
  <c r="BI19" i="3" s="1"/>
  <c r="BG19" i="3"/>
  <c r="BF19" i="3"/>
  <c r="BE19" i="3"/>
  <c r="BC19" i="3"/>
  <c r="BD19" i="3" s="1"/>
  <c r="BB19" i="3"/>
  <c r="BA19" i="3"/>
  <c r="AZ19" i="3"/>
  <c r="AX19" i="3"/>
  <c r="AY19" i="3" s="1"/>
  <c r="BX18" i="3"/>
  <c r="BS18" i="3"/>
  <c r="BN18" i="3"/>
  <c r="BI18" i="3"/>
  <c r="BD18" i="3"/>
  <c r="AY18" i="3"/>
  <c r="BX17" i="3"/>
  <c r="BS17" i="3"/>
  <c r="BN17" i="3"/>
  <c r="BI17" i="3"/>
  <c r="BD17" i="3"/>
  <c r="AY17" i="3"/>
  <c r="BX16" i="3"/>
  <c r="BS16" i="3"/>
  <c r="BN16" i="3"/>
  <c r="BI16" i="3"/>
  <c r="BD16" i="3"/>
  <c r="AX16" i="3"/>
  <c r="AY16" i="3" s="1"/>
  <c r="BX15" i="3"/>
  <c r="BS15" i="3"/>
  <c r="BN15" i="3"/>
  <c r="BI15" i="3"/>
  <c r="BD15" i="3"/>
  <c r="AY15" i="3"/>
  <c r="BY13" i="3"/>
  <c r="BY14" i="3" s="1"/>
  <c r="BW13" i="3"/>
  <c r="BX13" i="3" s="1"/>
  <c r="BV13" i="3"/>
  <c r="BV14" i="3" s="1"/>
  <c r="BU13" i="3"/>
  <c r="BU14" i="3" s="1"/>
  <c r="BT13" i="3"/>
  <c r="BT14" i="3" s="1"/>
  <c r="BR13" i="3"/>
  <c r="BR14" i="3" s="1"/>
  <c r="BS14" i="3" s="1"/>
  <c r="BQ13" i="3"/>
  <c r="BQ14" i="3" s="1"/>
  <c r="BP13" i="3"/>
  <c r="BP14" i="3" s="1"/>
  <c r="BO13" i="3"/>
  <c r="BO14" i="3" s="1"/>
  <c r="BM13" i="3"/>
  <c r="BM14" i="3" s="1"/>
  <c r="BN14" i="3" s="1"/>
  <c r="BL13" i="3"/>
  <c r="BL14" i="3" s="1"/>
  <c r="BK13" i="3"/>
  <c r="BK14" i="3" s="1"/>
  <c r="BJ13" i="3"/>
  <c r="BJ14" i="3" s="1"/>
  <c r="BH13" i="3"/>
  <c r="BI13" i="3" s="1"/>
  <c r="BG13" i="3"/>
  <c r="BG14" i="3" s="1"/>
  <c r="BF13" i="3"/>
  <c r="BF14" i="3" s="1"/>
  <c r="BE13" i="3"/>
  <c r="BE14" i="3" s="1"/>
  <c r="BC13" i="3"/>
  <c r="BC14" i="3" s="1"/>
  <c r="BD14" i="3" s="1"/>
  <c r="BB13" i="3"/>
  <c r="BB14" i="3" s="1"/>
  <c r="BA13" i="3"/>
  <c r="BA14" i="3" s="1"/>
  <c r="AZ13" i="3"/>
  <c r="AZ14" i="3" s="1"/>
  <c r="AX13" i="3"/>
  <c r="AY13" i="3" s="1"/>
  <c r="BI9" i="3"/>
  <c r="BD9" i="3"/>
  <c r="AY9" i="3"/>
  <c r="BX11" i="3"/>
  <c r="BY29" i="2" s="1"/>
  <c r="BS11" i="3"/>
  <c r="BT29" i="2" s="1"/>
  <c r="BN11" i="3"/>
  <c r="BO29" i="2" s="1"/>
  <c r="BI11" i="3"/>
  <c r="BJ29" i="2" s="1"/>
  <c r="BD11" i="3"/>
  <c r="BE29" i="2" s="1"/>
  <c r="BB11" i="3"/>
  <c r="BA11" i="3"/>
  <c r="AZ11" i="3"/>
  <c r="AX11" i="3"/>
  <c r="BN9" i="3"/>
  <c r="BX7" i="3"/>
  <c r="BS7" i="3"/>
  <c r="BN7" i="3"/>
  <c r="BI7" i="3"/>
  <c r="BD7" i="3"/>
  <c r="BB7" i="3"/>
  <c r="AX7" i="3"/>
  <c r="AY7" i="3" s="1"/>
  <c r="BY6" i="3"/>
  <c r="M25" i="12" s="1"/>
  <c r="BW6" i="3"/>
  <c r="BX6" i="3" s="1"/>
  <c r="F25" i="12" s="1"/>
  <c r="BV6" i="3"/>
  <c r="BW87" i="3" s="1"/>
  <c r="BU6" i="3"/>
  <c r="BT6" i="3"/>
  <c r="BR6" i="3"/>
  <c r="BS6" i="3" s="1"/>
  <c r="E25" i="12" s="1"/>
  <c r="BQ6" i="3"/>
  <c r="BR87" i="3" s="1"/>
  <c r="BP6" i="3"/>
  <c r="BO6" i="3"/>
  <c r="BM6" i="3"/>
  <c r="BN6" i="3" s="1"/>
  <c r="D25" i="12" s="1"/>
  <c r="BL6" i="3"/>
  <c r="BM87" i="3" s="1"/>
  <c r="BK6" i="3"/>
  <c r="BJ6" i="3"/>
  <c r="BH6" i="3"/>
  <c r="BI6" i="3" s="1"/>
  <c r="C25" i="12" s="1"/>
  <c r="BG6" i="3"/>
  <c r="BH87" i="3" s="1"/>
  <c r="BF6" i="3"/>
  <c r="BE6" i="3"/>
  <c r="BC6" i="3"/>
  <c r="BD6" i="3" s="1"/>
  <c r="BB6" i="3"/>
  <c r="BC87" i="3" s="1"/>
  <c r="BA6" i="3"/>
  <c r="AZ6" i="3"/>
  <c r="AX6" i="3"/>
  <c r="AY6" i="3" s="1"/>
  <c r="BX108" i="2"/>
  <c r="BS108" i="2"/>
  <c r="BN108" i="2"/>
  <c r="BI108" i="2"/>
  <c r="BD108" i="2"/>
  <c r="AY108" i="2"/>
  <c r="BX107" i="2"/>
  <c r="BS107" i="2"/>
  <c r="BN107" i="2"/>
  <c r="BI107" i="2"/>
  <c r="BD107" i="2"/>
  <c r="AY107" i="2"/>
  <c r="BX94" i="2"/>
  <c r="BS94" i="2"/>
  <c r="BN94" i="2"/>
  <c r="BI94" i="2"/>
  <c r="BD94" i="2"/>
  <c r="BY64" i="2"/>
  <c r="BV64" i="2"/>
  <c r="BU64" i="2"/>
  <c r="BT64" i="2"/>
  <c r="BQ64" i="2"/>
  <c r="BP64" i="2"/>
  <c r="BO64" i="2"/>
  <c r="BL64" i="2"/>
  <c r="BK64" i="2"/>
  <c r="BJ64" i="2"/>
  <c r="BG64" i="2"/>
  <c r="BF64" i="2"/>
  <c r="BE64" i="2"/>
  <c r="BB64" i="2"/>
  <c r="BA64" i="2"/>
  <c r="AZ64" i="2"/>
  <c r="AW64" i="2"/>
  <c r="AV64" i="2"/>
  <c r="AU64" i="2"/>
  <c r="BY48" i="2"/>
  <c r="BZ53" i="2" s="1"/>
  <c r="BW48" i="2"/>
  <c r="BX48" i="2" s="1"/>
  <c r="BV48" i="2"/>
  <c r="BU48" i="2"/>
  <c r="BT48" i="2"/>
  <c r="BR48" i="2"/>
  <c r="BS48" i="2" s="1"/>
  <c r="BQ48" i="2"/>
  <c r="BP48" i="2"/>
  <c r="BO48" i="2"/>
  <c r="BM48" i="2"/>
  <c r="BN48" i="2" s="1"/>
  <c r="BL48" i="2"/>
  <c r="BK48" i="2"/>
  <c r="BH48" i="2"/>
  <c r="BI48" i="2" s="1"/>
  <c r="BD48" i="2"/>
  <c r="AY48" i="2"/>
  <c r="AV48" i="2"/>
  <c r="AW48" i="2" s="1"/>
  <c r="BX55" i="2"/>
  <c r="F14" i="12" s="1"/>
  <c r="BS55" i="2"/>
  <c r="E14" i="12" s="1"/>
  <c r="BN55" i="2"/>
  <c r="D14" i="12" s="1"/>
  <c r="BI55" i="2"/>
  <c r="C14" i="12" s="1"/>
  <c r="BD55" i="2"/>
  <c r="AY55" i="2"/>
  <c r="BW43" i="2"/>
  <c r="BR43" i="2"/>
  <c r="BS43" i="2" s="1"/>
  <c r="BM43" i="2"/>
  <c r="BN43" i="2" s="1"/>
  <c r="BH43" i="2"/>
  <c r="BI43" i="2" s="1"/>
  <c r="BC43" i="2"/>
  <c r="BD43" i="2" s="1"/>
  <c r="AX43" i="2"/>
  <c r="AY43" i="2" s="1"/>
  <c r="BW40" i="2"/>
  <c r="BX40" i="2" s="1"/>
  <c r="BR40" i="2"/>
  <c r="BS40" i="2" s="1"/>
  <c r="BM40" i="2"/>
  <c r="BN40" i="2" s="1"/>
  <c r="BH40" i="2"/>
  <c r="BI40" i="2" s="1"/>
  <c r="BC40" i="2"/>
  <c r="BD40" i="2" s="1"/>
  <c r="AX40" i="2"/>
  <c r="AY40" i="2" s="1"/>
  <c r="BW38" i="2"/>
  <c r="BR38" i="2"/>
  <c r="BM38" i="2"/>
  <c r="BH38" i="2"/>
  <c r="BC38" i="2"/>
  <c r="AX38" i="2"/>
  <c r="BX33" i="2"/>
  <c r="BS33" i="2"/>
  <c r="BN33" i="2"/>
  <c r="BI33" i="2"/>
  <c r="BD33" i="2"/>
  <c r="AY33" i="2"/>
  <c r="BW34" i="2"/>
  <c r="BR34" i="2"/>
  <c r="BS34" i="2" s="1"/>
  <c r="BM34" i="2"/>
  <c r="BN34" i="2" s="1"/>
  <c r="BH34" i="2"/>
  <c r="BI34" i="2" s="1"/>
  <c r="BC34" i="2"/>
  <c r="BD34" i="2" s="1"/>
  <c r="AX34" i="2"/>
  <c r="AY34" i="2" s="1"/>
  <c r="BU31" i="2"/>
  <c r="BP31" i="2"/>
  <c r="BO31" i="2"/>
  <c r="BK31" i="2"/>
  <c r="BJ31" i="2"/>
  <c r="BF31" i="2"/>
  <c r="BE31" i="2"/>
  <c r="BB31" i="2"/>
  <c r="BA31" i="2"/>
  <c r="AZ31" i="2"/>
  <c r="AW31" i="2"/>
  <c r="AV31" i="2"/>
  <c r="AU31" i="2"/>
  <c r="BW26" i="2"/>
  <c r="BR26" i="2"/>
  <c r="BM26" i="2"/>
  <c r="BN26" i="2" s="1"/>
  <c r="BH26" i="2"/>
  <c r="BC26" i="2"/>
  <c r="AX26" i="2"/>
  <c r="BW24" i="2"/>
  <c r="BR24" i="2"/>
  <c r="BM24" i="2"/>
  <c r="BH24" i="2"/>
  <c r="BC24" i="2"/>
  <c r="AX24" i="2"/>
  <c r="BY21" i="2"/>
  <c r="BV21" i="2"/>
  <c r="BU21" i="2"/>
  <c r="BT21" i="2"/>
  <c r="BQ21" i="2"/>
  <c r="BP21" i="2"/>
  <c r="BO21" i="2"/>
  <c r="BL21" i="2"/>
  <c r="BK21" i="2"/>
  <c r="BJ21" i="2"/>
  <c r="BG21" i="2"/>
  <c r="BF21" i="2"/>
  <c r="BE21" i="2"/>
  <c r="BB21" i="2"/>
  <c r="BA21" i="2"/>
  <c r="AZ21" i="2"/>
  <c r="AW21" i="2"/>
  <c r="AV21" i="2"/>
  <c r="AU21" i="2"/>
  <c r="BW32" i="2"/>
  <c r="BR32" i="2"/>
  <c r="BS32" i="2" s="1"/>
  <c r="BM32" i="2"/>
  <c r="BN32" i="2" s="1"/>
  <c r="BH32" i="2"/>
  <c r="BI32" i="2" s="1"/>
  <c r="BC32" i="2"/>
  <c r="BD32" i="2" s="1"/>
  <c r="AX32" i="2"/>
  <c r="AY32" i="2" s="1"/>
  <c r="BW18" i="2"/>
  <c r="BR18" i="2"/>
  <c r="BS18" i="2" s="1"/>
  <c r="BM18" i="2"/>
  <c r="BN18" i="2" s="1"/>
  <c r="BH18" i="2"/>
  <c r="BI18" i="2" s="1"/>
  <c r="BC18" i="2"/>
  <c r="BD18" i="2" s="1"/>
  <c r="AX18" i="2"/>
  <c r="AY18" i="2" s="1"/>
  <c r="BY11" i="2"/>
  <c r="CB11" i="2" s="1"/>
  <c r="BT11" i="2"/>
  <c r="BO11" i="2"/>
  <c r="BL11" i="2"/>
  <c r="BJ11" i="2"/>
  <c r="BG11" i="2"/>
  <c r="BE11" i="2"/>
  <c r="BB11" i="2"/>
  <c r="BA11" i="2"/>
  <c r="AZ11" i="2"/>
  <c r="AW11" i="2"/>
  <c r="AW10" i="2" s="1"/>
  <c r="AV11" i="2"/>
  <c r="AU11" i="2"/>
  <c r="BW14" i="2"/>
  <c r="BX14" i="2" s="1"/>
  <c r="BR14" i="2"/>
  <c r="BS14" i="2" s="1"/>
  <c r="BM14" i="2"/>
  <c r="BN14" i="2" s="1"/>
  <c r="BH14" i="2"/>
  <c r="BI14" i="2" s="1"/>
  <c r="BC14" i="2"/>
  <c r="BD14" i="2" s="1"/>
  <c r="AX14" i="2"/>
  <c r="AY14" i="2" s="1"/>
  <c r="BW13" i="2"/>
  <c r="BX13" i="2" s="1"/>
  <c r="BR13" i="2"/>
  <c r="BS13" i="2" s="1"/>
  <c r="BM13" i="2"/>
  <c r="BN13" i="2" s="1"/>
  <c r="BH13" i="2"/>
  <c r="BI13" i="2" s="1"/>
  <c r="BC13" i="2"/>
  <c r="BD13" i="2" s="1"/>
  <c r="AX13" i="2"/>
  <c r="AY13" i="2" s="1"/>
  <c r="BV11" i="2"/>
  <c r="BU11" i="2"/>
  <c r="BQ11" i="2"/>
  <c r="BP11" i="2"/>
  <c r="BK11" i="2"/>
  <c r="BF11" i="2"/>
  <c r="BW7" i="2"/>
  <c r="BX7" i="2" s="1"/>
  <c r="BR7" i="2"/>
  <c r="BS7" i="2" s="1"/>
  <c r="BL7" i="2"/>
  <c r="BG7" i="2"/>
  <c r="BB7" i="2"/>
  <c r="AX7" i="2"/>
  <c r="AY7" i="2" s="1"/>
  <c r="BW6" i="2"/>
  <c r="BX6" i="2" s="1"/>
  <c r="BR6" i="2"/>
  <c r="BS6" i="2" s="1"/>
  <c r="BL6" i="2"/>
  <c r="BG6" i="2"/>
  <c r="BB6" i="2"/>
  <c r="AX6" i="2"/>
  <c r="AY6" i="2" s="1"/>
  <c r="BY5" i="2"/>
  <c r="CB5" i="2" s="1"/>
  <c r="BV5" i="2"/>
  <c r="BU5" i="2"/>
  <c r="BT5" i="2"/>
  <c r="BQ5" i="2"/>
  <c r="BP5" i="2"/>
  <c r="BO5" i="2"/>
  <c r="BK5" i="2"/>
  <c r="BJ5" i="2"/>
  <c r="BF5" i="2"/>
  <c r="BE5" i="2"/>
  <c r="BA5" i="2"/>
  <c r="AZ5" i="2"/>
  <c r="AW5" i="2"/>
  <c r="AV5" i="2"/>
  <c r="AU5" i="2"/>
  <c r="M13" i="9" l="1"/>
  <c r="O13" i="9"/>
  <c r="CB21" i="2"/>
  <c r="CB60" i="2"/>
  <c r="CB12" i="2"/>
  <c r="CB113" i="2" s="1"/>
  <c r="CB10" i="2"/>
  <c r="AE64" i="3"/>
  <c r="AE67" i="3" s="1"/>
  <c r="P86" i="2"/>
  <c r="P63" i="2"/>
  <c r="P133" i="3" s="1"/>
  <c r="CB35" i="4"/>
  <c r="CB79" i="2"/>
  <c r="CB4" i="2"/>
  <c r="N63" i="2"/>
  <c r="N133" i="3" s="1"/>
  <c r="BX18" i="2"/>
  <c r="BX43" i="2"/>
  <c r="BZ4" i="3"/>
  <c r="N24" i="12"/>
  <c r="BX34" i="2"/>
  <c r="BX32" i="2"/>
  <c r="CA89" i="3"/>
  <c r="O18" i="12" s="1"/>
  <c r="CA88" i="3"/>
  <c r="CA90" i="3"/>
  <c r="O19" i="12" s="1"/>
  <c r="BZ57" i="3"/>
  <c r="CA27" i="2"/>
  <c r="AA88" i="2"/>
  <c r="CA137" i="3"/>
  <c r="W71" i="3"/>
  <c r="W75" i="3" s="1"/>
  <c r="BZ9" i="2"/>
  <c r="BZ41" i="2" s="1"/>
  <c r="CF41" i="2" s="1"/>
  <c r="CG41" i="2" s="1"/>
  <c r="CI41" i="2" s="1"/>
  <c r="CJ41" i="2" s="1"/>
  <c r="CK41" i="2" s="1"/>
  <c r="CL41" i="2" s="1"/>
  <c r="V42" i="2"/>
  <c r="N86" i="2"/>
  <c r="AE88" i="2"/>
  <c r="BG5" i="2"/>
  <c r="BR5" i="2"/>
  <c r="BS5" i="2" s="1"/>
  <c r="W88" i="2"/>
  <c r="BM11" i="2"/>
  <c r="BS8" i="3"/>
  <c r="Y88" i="2"/>
  <c r="AB88" i="2"/>
  <c r="BM25" i="2"/>
  <c r="BD8" i="3"/>
  <c r="AE20" i="4" s="1"/>
  <c r="BR21" i="2"/>
  <c r="BS21" i="2" s="1"/>
  <c r="BW64" i="2"/>
  <c r="BX64" i="2" s="1"/>
  <c r="C8" i="9" s="1"/>
  <c r="BN8" i="3"/>
  <c r="BI8" i="3"/>
  <c r="BH14" i="3"/>
  <c r="BI14" i="3" s="1"/>
  <c r="BX8" i="3"/>
  <c r="BH64" i="2"/>
  <c r="BI64" i="2" s="1"/>
  <c r="BZ50" i="2"/>
  <c r="BO87" i="3"/>
  <c r="BN88" i="3"/>
  <c r="BO25" i="2"/>
  <c r="BS87" i="3"/>
  <c r="BE87" i="3"/>
  <c r="BD88" i="3"/>
  <c r="BI87" i="3"/>
  <c r="BE25" i="2"/>
  <c r="V20" i="4"/>
  <c r="BF25" i="2"/>
  <c r="BF87" i="3"/>
  <c r="BT25" i="2"/>
  <c r="BX87" i="3"/>
  <c r="BS88" i="3"/>
  <c r="BT87" i="3"/>
  <c r="AD20" i="4"/>
  <c r="W20" i="4"/>
  <c r="I67" i="3"/>
  <c r="J71" i="3"/>
  <c r="J75" i="3" s="1"/>
  <c r="BS26" i="2"/>
  <c r="BD24" i="2"/>
  <c r="BD25" i="2" s="1"/>
  <c r="BC25" i="2"/>
  <c r="BX26" i="2"/>
  <c r="BR31" i="2"/>
  <c r="BS31" i="2" s="1"/>
  <c r="BG87" i="3"/>
  <c r="BG25" i="2"/>
  <c r="BU25" i="2"/>
  <c r="BU87" i="3"/>
  <c r="AX14" i="3"/>
  <c r="AY14" i="3" s="1"/>
  <c r="BJ25" i="2"/>
  <c r="BN87" i="3"/>
  <c r="BI88" i="3"/>
  <c r="BJ87" i="3"/>
  <c r="BA29" i="2"/>
  <c r="AZ10" i="3"/>
  <c r="AZ8" i="3" s="1"/>
  <c r="I70" i="2"/>
  <c r="I42" i="2"/>
  <c r="BW11" i="2"/>
  <c r="AX11" i="2"/>
  <c r="BN24" i="2"/>
  <c r="BN25" i="2" s="1"/>
  <c r="AY38" i="2"/>
  <c r="AX64" i="2"/>
  <c r="AY64" i="2" s="1"/>
  <c r="BM64" i="2"/>
  <c r="BN64" i="2" s="1"/>
  <c r="BK25" i="2"/>
  <c r="BK87" i="3"/>
  <c r="CC87" i="3"/>
  <c r="BY87" i="3"/>
  <c r="BY25" i="2"/>
  <c r="BX88" i="3"/>
  <c r="BB29" i="2"/>
  <c r="BA10" i="3"/>
  <c r="BA8" i="3" s="1"/>
  <c r="AC20" i="4"/>
  <c r="BV25" i="2"/>
  <c r="BV87" i="3"/>
  <c r="BD38" i="2"/>
  <c r="BL25" i="2"/>
  <c r="BL87" i="3"/>
  <c r="BZ87" i="3"/>
  <c r="BZ25" i="2"/>
  <c r="BC29" i="2"/>
  <c r="BB10" i="3"/>
  <c r="BB8" i="3" s="1"/>
  <c r="BR11" i="2"/>
  <c r="BX24" i="2"/>
  <c r="BX25" i="2" s="1"/>
  <c r="BW25" i="2"/>
  <c r="BI38" i="2"/>
  <c r="H70" i="2"/>
  <c r="H42" i="2"/>
  <c r="AY11" i="3"/>
  <c r="AZ29" i="2" s="1"/>
  <c r="AX29" i="2"/>
  <c r="AX10" i="3"/>
  <c r="BD87" i="3"/>
  <c r="AY88" i="3"/>
  <c r="AZ25" i="2"/>
  <c r="AZ87" i="3"/>
  <c r="BD26" i="2"/>
  <c r="BA87" i="3"/>
  <c r="BA25" i="2"/>
  <c r="AY24" i="2"/>
  <c r="AY25" i="2" s="1"/>
  <c r="AX25" i="2"/>
  <c r="BI24" i="2"/>
  <c r="BI25" i="2" s="1"/>
  <c r="BH25" i="2"/>
  <c r="BC11" i="2"/>
  <c r="AY26" i="2"/>
  <c r="BS38" i="2"/>
  <c r="BC64" i="2"/>
  <c r="BD64" i="2" s="1"/>
  <c r="J151" i="3"/>
  <c r="J77" i="3"/>
  <c r="I71" i="3"/>
  <c r="I75" i="3" s="1"/>
  <c r="BZ66" i="3"/>
  <c r="BZ64" i="3"/>
  <c r="BS24" i="2"/>
  <c r="BS25" i="2" s="1"/>
  <c r="BR25" i="2"/>
  <c r="BN38" i="2"/>
  <c r="BC21" i="2"/>
  <c r="BD21" i="2" s="1"/>
  <c r="BR64" i="2"/>
  <c r="BS64" i="2" s="1"/>
  <c r="BI26" i="2"/>
  <c r="BB87" i="3"/>
  <c r="BB25" i="2"/>
  <c r="BP87" i="3"/>
  <c r="BP25" i="2"/>
  <c r="BH11" i="2"/>
  <c r="BW21" i="2"/>
  <c r="BX38" i="2"/>
  <c r="BQ87" i="3"/>
  <c r="BQ25" i="2"/>
  <c r="BZ48" i="3"/>
  <c r="B71" i="3"/>
  <c r="B75" i="3" s="1"/>
  <c r="B67" i="3"/>
  <c r="F67" i="3"/>
  <c r="F71" i="3"/>
  <c r="F75" i="3" s="1"/>
  <c r="C71" i="3"/>
  <c r="C75" i="3" s="1"/>
  <c r="C67" i="3"/>
  <c r="K67" i="3"/>
  <c r="K71" i="3"/>
  <c r="K75" i="3" s="1"/>
  <c r="R67" i="3"/>
  <c r="R71" i="3"/>
  <c r="R75" i="3" s="1"/>
  <c r="AC71" i="3"/>
  <c r="AC75" i="3" s="1"/>
  <c r="AC67" i="3"/>
  <c r="G67" i="3"/>
  <c r="G71" i="3"/>
  <c r="G75" i="3" s="1"/>
  <c r="D67" i="3"/>
  <c r="D71" i="3"/>
  <c r="D75" i="3" s="1"/>
  <c r="U71" i="3"/>
  <c r="U75" i="3" s="1"/>
  <c r="U67" i="3"/>
  <c r="V71" i="3"/>
  <c r="V75" i="3" s="1"/>
  <c r="S71" i="3"/>
  <c r="S75" i="3" s="1"/>
  <c r="S67" i="3"/>
  <c r="H71" i="3"/>
  <c r="H75" i="3" s="1"/>
  <c r="AD67" i="3"/>
  <c r="AD71" i="3"/>
  <c r="AD75" i="3" s="1"/>
  <c r="AB71" i="3"/>
  <c r="AB75" i="3" s="1"/>
  <c r="AB67" i="3"/>
  <c r="AA67" i="3"/>
  <c r="AA71" i="3"/>
  <c r="AA75" i="3" s="1"/>
  <c r="N67" i="3"/>
  <c r="N71" i="3"/>
  <c r="N75" i="3" s="1"/>
  <c r="P71" i="3"/>
  <c r="P75" i="3" s="1"/>
  <c r="P67" i="3"/>
  <c r="Q71" i="3"/>
  <c r="Q75" i="3" s="1"/>
  <c r="J89" i="2"/>
  <c r="J81" i="2"/>
  <c r="AB82" i="2"/>
  <c r="AB65" i="2"/>
  <c r="AB68" i="3" s="1"/>
  <c r="R37" i="2"/>
  <c r="U35" i="2"/>
  <c r="R86" i="2"/>
  <c r="R77" i="2"/>
  <c r="R87" i="2" s="1"/>
  <c r="R63" i="2"/>
  <c r="R133" i="3" s="1"/>
  <c r="W37" i="2"/>
  <c r="Z35" i="2"/>
  <c r="E77" i="2"/>
  <c r="E87" i="2" s="1"/>
  <c r="E63" i="2"/>
  <c r="E133" i="3" s="1"/>
  <c r="E86" i="2"/>
  <c r="C63" i="2"/>
  <c r="C133" i="3" s="1"/>
  <c r="C86" i="2"/>
  <c r="C77" i="2"/>
  <c r="C87" i="2" s="1"/>
  <c r="AD77" i="2"/>
  <c r="AD63" i="2"/>
  <c r="AD133" i="3" s="1"/>
  <c r="AD86" i="2"/>
  <c r="Z85" i="2"/>
  <c r="Z61" i="2"/>
  <c r="F35" i="2"/>
  <c r="B37" i="2"/>
  <c r="L42" i="2"/>
  <c r="P37" i="2"/>
  <c r="P70" i="2" s="1"/>
  <c r="L70" i="2"/>
  <c r="C70" i="2"/>
  <c r="C42" i="2"/>
  <c r="Q89" i="2"/>
  <c r="Q81" i="2"/>
  <c r="T86" i="2"/>
  <c r="T77" i="2"/>
  <c r="T87" i="2" s="1"/>
  <c r="T63" i="2"/>
  <c r="T133" i="3" s="1"/>
  <c r="B77" i="2"/>
  <c r="B87" i="2" s="1"/>
  <c r="B63" i="2"/>
  <c r="B133" i="3" s="1"/>
  <c r="B86" i="2"/>
  <c r="D42" i="2"/>
  <c r="D70" i="2"/>
  <c r="H65" i="2"/>
  <c r="H68" i="3" s="1"/>
  <c r="H82" i="2"/>
  <c r="G86" i="2"/>
  <c r="G77" i="2"/>
  <c r="G87" i="2" s="1"/>
  <c r="G63" i="2"/>
  <c r="G133" i="3" s="1"/>
  <c r="Y70" i="2"/>
  <c r="Y42" i="2"/>
  <c r="AD42" i="2"/>
  <c r="AD70" i="2"/>
  <c r="M45" i="2"/>
  <c r="M44" i="2"/>
  <c r="X44" i="2"/>
  <c r="X45" i="2"/>
  <c r="Y86" i="2"/>
  <c r="Y77" i="2"/>
  <c r="Y63" i="2"/>
  <c r="Y133" i="3" s="1"/>
  <c r="AD88" i="2"/>
  <c r="O45" i="2"/>
  <c r="O44" i="2"/>
  <c r="I65" i="2"/>
  <c r="I68" i="3" s="1"/>
  <c r="I82" i="2"/>
  <c r="AE85" i="2"/>
  <c r="AE61" i="2"/>
  <c r="V65" i="2"/>
  <c r="V68" i="3" s="1"/>
  <c r="V82" i="2"/>
  <c r="L65" i="2"/>
  <c r="L68" i="3" s="1"/>
  <c r="L82" i="2"/>
  <c r="N45" i="2"/>
  <c r="N44" i="2"/>
  <c r="M82" i="2"/>
  <c r="M65" i="2"/>
  <c r="M68" i="3" s="1"/>
  <c r="E42" i="2"/>
  <c r="E70" i="2"/>
  <c r="U61" i="2"/>
  <c r="U85" i="2"/>
  <c r="AA63" i="2"/>
  <c r="AA133" i="3" s="1"/>
  <c r="AA77" i="2"/>
  <c r="AA87" i="2" s="1"/>
  <c r="AA86" i="2"/>
  <c r="D86" i="2"/>
  <c r="D77" i="2"/>
  <c r="D87" i="2" s="1"/>
  <c r="D63" i="2"/>
  <c r="D133" i="3" s="1"/>
  <c r="Q45" i="2"/>
  <c r="Q44" i="2"/>
  <c r="S86" i="2"/>
  <c r="S77" i="2"/>
  <c r="S87" i="2" s="1"/>
  <c r="S63" i="2"/>
  <c r="S133" i="3" s="1"/>
  <c r="AC87" i="2"/>
  <c r="W86" i="2"/>
  <c r="W77" i="2"/>
  <c r="W63" i="2"/>
  <c r="W133" i="3" s="1"/>
  <c r="AA37" i="2"/>
  <c r="AE35" i="2"/>
  <c r="S70" i="2"/>
  <c r="S42" i="2"/>
  <c r="J73" i="2"/>
  <c r="J56" i="2"/>
  <c r="X65" i="2"/>
  <c r="X68" i="3" s="1"/>
  <c r="X82" i="2"/>
  <c r="AC82" i="2"/>
  <c r="AC65" i="2"/>
  <c r="AC68" i="3" s="1"/>
  <c r="T70" i="2"/>
  <c r="T42" i="2"/>
  <c r="AB45" i="2"/>
  <c r="AB44" i="2"/>
  <c r="N82" i="2"/>
  <c r="N65" i="2"/>
  <c r="N68" i="3" s="1"/>
  <c r="O82" i="2"/>
  <c r="O65" i="2"/>
  <c r="O68" i="3" s="1"/>
  <c r="X88" i="2"/>
  <c r="V44" i="2"/>
  <c r="V45" i="2"/>
  <c r="K85" i="2"/>
  <c r="K61" i="2"/>
  <c r="P65" i="2"/>
  <c r="P68" i="3" s="1"/>
  <c r="P82" i="2"/>
  <c r="K35" i="2"/>
  <c r="G37" i="2"/>
  <c r="AC45" i="2"/>
  <c r="AC44" i="2"/>
  <c r="Z88" i="2"/>
  <c r="F61" i="2"/>
  <c r="F85" i="2"/>
  <c r="CS9" i="3"/>
  <c r="CT9" i="3" s="1"/>
  <c r="CU9" i="3" s="1"/>
  <c r="CV9" i="3" s="1"/>
  <c r="CR9" i="3"/>
  <c r="BN13" i="3"/>
  <c r="BW14" i="3"/>
  <c r="BX14" i="3" s="1"/>
  <c r="BD13" i="3"/>
  <c r="BS13" i="3"/>
  <c r="BC31" i="2"/>
  <c r="BD31" i="2" s="1"/>
  <c r="BW31" i="2"/>
  <c r="BX31" i="2" s="1"/>
  <c r="BH31" i="2"/>
  <c r="BI31" i="2" s="1"/>
  <c r="AX31" i="2"/>
  <c r="AY31" i="2" s="1"/>
  <c r="BM31" i="2"/>
  <c r="BN31" i="2" s="1"/>
  <c r="BH21" i="2"/>
  <c r="BI21" i="2" s="1"/>
  <c r="AX21" i="2"/>
  <c r="AY21" i="2" s="1"/>
  <c r="BM21" i="2"/>
  <c r="BN21" i="2" s="1"/>
  <c r="BH5" i="2"/>
  <c r="BI5" i="2" s="1"/>
  <c r="BH6" i="2"/>
  <c r="BI6" i="2" s="1"/>
  <c r="BC7" i="2"/>
  <c r="BD7" i="2" s="1"/>
  <c r="AX5" i="2"/>
  <c r="AY5" i="2" s="1"/>
  <c r="BW5" i="2"/>
  <c r="BX5" i="2" s="1"/>
  <c r="BM6" i="2"/>
  <c r="BN6" i="2" s="1"/>
  <c r="BH7" i="2"/>
  <c r="BI7" i="2" s="1"/>
  <c r="BL5" i="2"/>
  <c r="BM5" i="2" s="1"/>
  <c r="BB5" i="2"/>
  <c r="BC5" i="2" s="1"/>
  <c r="BD5" i="2" s="1"/>
  <c r="BM7" i="2"/>
  <c r="BN7" i="2" s="1"/>
  <c r="BC6" i="2"/>
  <c r="BD6" i="2" s="1"/>
  <c r="CB42" i="4" l="1"/>
  <c r="CB37" i="4"/>
  <c r="CB38" i="4" s="1"/>
  <c r="CB36" i="4"/>
  <c r="CB9" i="2"/>
  <c r="CB8" i="2"/>
  <c r="CB114" i="2"/>
  <c r="CB116" i="2" s="1"/>
  <c r="CB118" i="2" s="1"/>
  <c r="CB115" i="2"/>
  <c r="CB117" i="2" s="1"/>
  <c r="AE71" i="3"/>
  <c r="AE75" i="3" s="1"/>
  <c r="CL21" i="2"/>
  <c r="CB62" i="2"/>
  <c r="CB17" i="2"/>
  <c r="CI21" i="2"/>
  <c r="CA71" i="3"/>
  <c r="CA75" i="3" s="1"/>
  <c r="N15" i="12"/>
  <c r="BZ140" i="3"/>
  <c r="N21" i="12"/>
  <c r="BX21" i="2"/>
  <c r="W87" i="2"/>
  <c r="BZ67" i="3"/>
  <c r="BZ22" i="2"/>
  <c r="BZ19" i="2"/>
  <c r="BZ16" i="2"/>
  <c r="V77" i="3"/>
  <c r="V151" i="3"/>
  <c r="X77" i="3"/>
  <c r="X151" i="3"/>
  <c r="AY10" i="3"/>
  <c r="AY8" i="3" s="1"/>
  <c r="AX8" i="3"/>
  <c r="I44" i="2"/>
  <c r="I45" i="2"/>
  <c r="M77" i="3"/>
  <c r="M151" i="3"/>
  <c r="AB20" i="4"/>
  <c r="H44" i="2"/>
  <c r="H45" i="2"/>
  <c r="Q77" i="3"/>
  <c r="Q151" i="3"/>
  <c r="O77" i="3"/>
  <c r="O151" i="3"/>
  <c r="BN5" i="2"/>
  <c r="AB77" i="3"/>
  <c r="AB151" i="3"/>
  <c r="N77" i="3"/>
  <c r="N151" i="3"/>
  <c r="J80" i="3"/>
  <c r="J84" i="3"/>
  <c r="J85" i="3" s="1"/>
  <c r="AC77" i="3"/>
  <c r="AC151" i="3"/>
  <c r="AA20" i="4"/>
  <c r="P81" i="2"/>
  <c r="P89" i="2"/>
  <c r="AB56" i="2"/>
  <c r="AB73" i="2"/>
  <c r="AA70" i="2"/>
  <c r="AE37" i="2"/>
  <c r="AE70" i="2" s="1"/>
  <c r="AA42" i="2"/>
  <c r="Y44" i="2"/>
  <c r="Y45" i="2"/>
  <c r="T65" i="2"/>
  <c r="T68" i="3" s="1"/>
  <c r="T82" i="2"/>
  <c r="K77" i="2"/>
  <c r="K87" i="2" s="1"/>
  <c r="K63" i="2"/>
  <c r="K133" i="3" s="1"/>
  <c r="K86" i="2"/>
  <c r="T44" i="2"/>
  <c r="T45" i="2"/>
  <c r="W82" i="2"/>
  <c r="W65" i="2"/>
  <c r="W68" i="3" s="1"/>
  <c r="O73" i="2"/>
  <c r="O56" i="2"/>
  <c r="G65" i="2"/>
  <c r="G68" i="3" s="1"/>
  <c r="G82" i="2"/>
  <c r="Z86" i="2"/>
  <c r="Z63" i="2"/>
  <c r="Z133" i="3" s="1"/>
  <c r="Z77" i="2"/>
  <c r="W70" i="2"/>
  <c r="W42" i="2"/>
  <c r="Z37" i="2"/>
  <c r="Z70" i="2" s="1"/>
  <c r="V56" i="2"/>
  <c r="V73" i="2"/>
  <c r="AC81" i="2"/>
  <c r="AC89" i="2"/>
  <c r="N73" i="2"/>
  <c r="N56" i="2"/>
  <c r="Y82" i="2"/>
  <c r="Y65" i="2"/>
  <c r="Y68" i="3" s="1"/>
  <c r="R65" i="2"/>
  <c r="R68" i="3" s="1"/>
  <c r="R82" i="2"/>
  <c r="F77" i="2"/>
  <c r="F87" i="2" s="1"/>
  <c r="F63" i="2"/>
  <c r="F133" i="3" s="1"/>
  <c r="F86" i="2"/>
  <c r="AA82" i="2"/>
  <c r="AA65" i="2"/>
  <c r="AA68" i="3" s="1"/>
  <c r="Y87" i="2"/>
  <c r="S82" i="2"/>
  <c r="S65" i="2"/>
  <c r="S68" i="3" s="1"/>
  <c r="L81" i="2"/>
  <c r="L89" i="2"/>
  <c r="C45" i="2"/>
  <c r="C44" i="2"/>
  <c r="AD65" i="2"/>
  <c r="AD68" i="3" s="1"/>
  <c r="AD82" i="2"/>
  <c r="AB87" i="2"/>
  <c r="X89" i="2"/>
  <c r="X81" i="2"/>
  <c r="U77" i="2"/>
  <c r="U87" i="2" s="1"/>
  <c r="U86" i="2"/>
  <c r="U63" i="2"/>
  <c r="U133" i="3" s="1"/>
  <c r="X56" i="2"/>
  <c r="X73" i="2"/>
  <c r="H89" i="2"/>
  <c r="H81" i="2"/>
  <c r="AD87" i="2"/>
  <c r="O81" i="2"/>
  <c r="O89" i="2"/>
  <c r="X87" i="2"/>
  <c r="V89" i="2"/>
  <c r="V81" i="2"/>
  <c r="R42" i="2"/>
  <c r="R70" i="2"/>
  <c r="U37" i="2"/>
  <c r="U70" i="2" s="1"/>
  <c r="AC56" i="2"/>
  <c r="AC73" i="2"/>
  <c r="J90" i="2"/>
  <c r="J74" i="2"/>
  <c r="J51" i="2"/>
  <c r="AE86" i="2"/>
  <c r="AE77" i="2"/>
  <c r="AE63" i="2"/>
  <c r="AE133" i="3" s="1"/>
  <c r="D45" i="2"/>
  <c r="D44" i="2"/>
  <c r="AB81" i="2"/>
  <c r="AB89" i="2"/>
  <c r="G70" i="2"/>
  <c r="K37" i="2"/>
  <c r="K70" i="2" s="1"/>
  <c r="G42" i="2"/>
  <c r="N89" i="2"/>
  <c r="N81" i="2"/>
  <c r="S44" i="2"/>
  <c r="S45" i="2"/>
  <c r="E44" i="2"/>
  <c r="E45" i="2"/>
  <c r="M73" i="2"/>
  <c r="M56" i="2"/>
  <c r="L44" i="2"/>
  <c r="L45" i="2"/>
  <c r="P42" i="2"/>
  <c r="P44" i="2" s="1"/>
  <c r="C65" i="2"/>
  <c r="C68" i="3" s="1"/>
  <c r="C82" i="2"/>
  <c r="Q73" i="2"/>
  <c r="Q56" i="2"/>
  <c r="M89" i="2"/>
  <c r="M81" i="2"/>
  <c r="B82" i="2"/>
  <c r="B65" i="2"/>
  <c r="B68" i="3" s="1"/>
  <c r="F37" i="2"/>
  <c r="F70" i="2" s="1"/>
  <c r="B70" i="2"/>
  <c r="B42" i="2"/>
  <c r="D65" i="2"/>
  <c r="D68" i="3" s="1"/>
  <c r="D82" i="2"/>
  <c r="I89" i="2"/>
  <c r="I81" i="2"/>
  <c r="AD45" i="2"/>
  <c r="AD44" i="2"/>
  <c r="E65" i="2"/>
  <c r="E68" i="3" s="1"/>
  <c r="E82" i="2"/>
  <c r="CX9" i="3"/>
  <c r="CY9" i="3" s="1"/>
  <c r="CZ9" i="3" s="1"/>
  <c r="DA9" i="3" s="1"/>
  <c r="DB9" i="3" s="1"/>
  <c r="CW9" i="3"/>
  <c r="CB59" i="2" l="1"/>
  <c r="CB41" i="2"/>
  <c r="CB19" i="2"/>
  <c r="CB16" i="2"/>
  <c r="CH21" i="2"/>
  <c r="L41" i="9" s="1"/>
  <c r="N41" i="9" s="1"/>
  <c r="CB22" i="2"/>
  <c r="BZ35" i="2"/>
  <c r="BZ37" i="2" s="1"/>
  <c r="BZ42" i="2" s="1"/>
  <c r="N22" i="12"/>
  <c r="Z87" i="2"/>
  <c r="Q84" i="3"/>
  <c r="Q85" i="3" s="1"/>
  <c r="Q80" i="3"/>
  <c r="I77" i="3"/>
  <c r="I151" i="3"/>
  <c r="I73" i="2"/>
  <c r="I56" i="2"/>
  <c r="N84" i="3"/>
  <c r="N85" i="3" s="1"/>
  <c r="N80" i="3"/>
  <c r="Y77" i="3"/>
  <c r="Y151" i="3"/>
  <c r="X20" i="4"/>
  <c r="AC80" i="3"/>
  <c r="AC84" i="3"/>
  <c r="AC85" i="3" s="1"/>
  <c r="AB80" i="3"/>
  <c r="AB84" i="3"/>
  <c r="AB85" i="3" s="1"/>
  <c r="H77" i="3"/>
  <c r="H151" i="3"/>
  <c r="H73" i="2"/>
  <c r="H56" i="2"/>
  <c r="Z20" i="4"/>
  <c r="Y20" i="4"/>
  <c r="T77" i="3"/>
  <c r="T151" i="3"/>
  <c r="X80" i="3"/>
  <c r="X84" i="3"/>
  <c r="X85" i="3" s="1"/>
  <c r="S77" i="3"/>
  <c r="S151" i="3"/>
  <c r="AD77" i="3"/>
  <c r="AD151" i="3"/>
  <c r="C77" i="3"/>
  <c r="C151" i="3"/>
  <c r="O84" i="3"/>
  <c r="O85" i="3" s="1"/>
  <c r="O80" i="3"/>
  <c r="L77" i="3"/>
  <c r="L151" i="3"/>
  <c r="P151" i="3" s="1"/>
  <c r="P152" i="3" s="1"/>
  <c r="E77" i="3"/>
  <c r="E151" i="3"/>
  <c r="D77" i="3"/>
  <c r="D151" i="3"/>
  <c r="J86" i="3"/>
  <c r="M84" i="3"/>
  <c r="M85" i="3" s="1"/>
  <c r="M80" i="3"/>
  <c r="V84" i="3"/>
  <c r="V85" i="3" s="1"/>
  <c r="V80" i="3"/>
  <c r="Q74" i="2"/>
  <c r="Q90" i="2"/>
  <c r="Q51" i="2"/>
  <c r="F65" i="2"/>
  <c r="F68" i="3" s="1"/>
  <c r="F82" i="2"/>
  <c r="J52" i="2"/>
  <c r="J136" i="3" s="1"/>
  <c r="J137" i="3" s="1"/>
  <c r="J83" i="2"/>
  <c r="AD81" i="2"/>
  <c r="AD89" i="2"/>
  <c r="O51" i="2"/>
  <c r="O90" i="2"/>
  <c r="O74" i="2"/>
  <c r="T89" i="2"/>
  <c r="T81" i="2"/>
  <c r="D89" i="2"/>
  <c r="D81" i="2"/>
  <c r="C89" i="2"/>
  <c r="C81" i="2"/>
  <c r="G44" i="2"/>
  <c r="K42" i="2"/>
  <c r="K44" i="2" s="1"/>
  <c r="G45" i="2"/>
  <c r="W44" i="2"/>
  <c r="W45" i="2"/>
  <c r="Z42" i="2"/>
  <c r="Z44" i="2" s="1"/>
  <c r="Y73" i="2"/>
  <c r="Y56" i="2"/>
  <c r="F42" i="2"/>
  <c r="F44" i="2" s="1"/>
  <c r="B45" i="2"/>
  <c r="B44" i="2"/>
  <c r="AC90" i="2"/>
  <c r="AC74" i="2"/>
  <c r="AC51" i="2"/>
  <c r="C73" i="2"/>
  <c r="C56" i="2"/>
  <c r="R89" i="2"/>
  <c r="R81" i="2"/>
  <c r="L56" i="2"/>
  <c r="P45" i="2"/>
  <c r="P77" i="3" s="1"/>
  <c r="L73" i="2"/>
  <c r="X51" i="2"/>
  <c r="X74" i="2"/>
  <c r="X90" i="2"/>
  <c r="Y89" i="2"/>
  <c r="Y81" i="2"/>
  <c r="AE42" i="2"/>
  <c r="AE44" i="2" s="1"/>
  <c r="AA44" i="2"/>
  <c r="AA45" i="2"/>
  <c r="Z65" i="2"/>
  <c r="Z68" i="3" s="1"/>
  <c r="Z82" i="2"/>
  <c r="W89" i="2"/>
  <c r="W81" i="2"/>
  <c r="B81" i="2"/>
  <c r="B89" i="2"/>
  <c r="U65" i="2"/>
  <c r="U68" i="3" s="1"/>
  <c r="U82" i="2"/>
  <c r="S81" i="2"/>
  <c r="S89" i="2"/>
  <c r="M51" i="2"/>
  <c r="M90" i="2"/>
  <c r="M74" i="2"/>
  <c r="R45" i="2"/>
  <c r="R44" i="2"/>
  <c r="U42" i="2"/>
  <c r="U44" i="2" s="1"/>
  <c r="N51" i="2"/>
  <c r="N90" i="2"/>
  <c r="N74" i="2"/>
  <c r="T56" i="2"/>
  <c r="T73" i="2"/>
  <c r="AB51" i="2"/>
  <c r="AB90" i="2"/>
  <c r="AB74" i="2"/>
  <c r="E89" i="2"/>
  <c r="E81" i="2"/>
  <c r="E56" i="2"/>
  <c r="E73" i="2"/>
  <c r="D73" i="2"/>
  <c r="D56" i="2"/>
  <c r="G81" i="2"/>
  <c r="G89" i="2"/>
  <c r="AE65" i="2"/>
  <c r="AE68" i="3" s="1"/>
  <c r="AE82" i="2"/>
  <c r="AA89" i="2"/>
  <c r="AA81" i="2"/>
  <c r="AD56" i="2"/>
  <c r="AD73" i="2"/>
  <c r="S56" i="2"/>
  <c r="S73" i="2"/>
  <c r="AE87" i="2"/>
  <c r="V74" i="2"/>
  <c r="V51" i="2"/>
  <c r="V90" i="2"/>
  <c r="K82" i="2"/>
  <c r="K65" i="2"/>
  <c r="K68" i="3" s="1"/>
  <c r="CB35" i="2" l="1"/>
  <c r="CB78" i="2"/>
  <c r="CB61" i="2"/>
  <c r="BZ44" i="2"/>
  <c r="BZ45" i="2"/>
  <c r="BZ56" i="2" s="1"/>
  <c r="X86" i="3"/>
  <c r="X90" i="3" s="1"/>
  <c r="N86" i="3"/>
  <c r="N89" i="3" s="1"/>
  <c r="M86" i="3"/>
  <c r="M88" i="3" s="1"/>
  <c r="O86" i="3"/>
  <c r="O90" i="3" s="1"/>
  <c r="J88" i="3"/>
  <c r="J89" i="3"/>
  <c r="J90" i="3"/>
  <c r="Y80" i="3"/>
  <c r="Y84" i="3"/>
  <c r="Y85" i="3" s="1"/>
  <c r="S80" i="3"/>
  <c r="S84" i="3"/>
  <c r="S85" i="3" s="1"/>
  <c r="H74" i="2"/>
  <c r="H90" i="2"/>
  <c r="H51" i="2"/>
  <c r="E84" i="3"/>
  <c r="E85" i="3" s="1"/>
  <c r="E80" i="3"/>
  <c r="H80" i="3"/>
  <c r="H84" i="3"/>
  <c r="H85" i="3" s="1"/>
  <c r="I51" i="2"/>
  <c r="I74" i="2"/>
  <c r="I90" i="2"/>
  <c r="AD84" i="3"/>
  <c r="AD85" i="3" s="1"/>
  <c r="AD80" i="3"/>
  <c r="W77" i="3"/>
  <c r="W151" i="3"/>
  <c r="Z151" i="3" s="1"/>
  <c r="Z152" i="3" s="1"/>
  <c r="L84" i="3"/>
  <c r="L85" i="3" s="1"/>
  <c r="L80" i="3"/>
  <c r="AB86" i="3"/>
  <c r="I80" i="3"/>
  <c r="I84" i="3"/>
  <c r="I85" i="3" s="1"/>
  <c r="V86" i="3"/>
  <c r="T80" i="3"/>
  <c r="T84" i="3"/>
  <c r="T85" i="3" s="1"/>
  <c r="AA77" i="3"/>
  <c r="AA151" i="3"/>
  <c r="AE151" i="3" s="1"/>
  <c r="AE152" i="3" s="1"/>
  <c r="G151" i="3"/>
  <c r="K151" i="3" s="1"/>
  <c r="K152" i="3" s="1"/>
  <c r="G77" i="3"/>
  <c r="AC86" i="3"/>
  <c r="R77" i="3"/>
  <c r="R151" i="3"/>
  <c r="U151" i="3" s="1"/>
  <c r="U152" i="3" s="1"/>
  <c r="P80" i="3"/>
  <c r="P84" i="3"/>
  <c r="P85" i="3" s="1"/>
  <c r="CF8" i="4"/>
  <c r="B77" i="3"/>
  <c r="B151" i="3"/>
  <c r="F151" i="3" s="1"/>
  <c r="F152" i="3" s="1"/>
  <c r="J91" i="2"/>
  <c r="J138" i="3"/>
  <c r="J141" i="3" s="1"/>
  <c r="Q86" i="3"/>
  <c r="D80" i="3"/>
  <c r="D84" i="3"/>
  <c r="D85" i="3" s="1"/>
  <c r="C80" i="3"/>
  <c r="C84" i="3"/>
  <c r="C85" i="3" s="1"/>
  <c r="AE81" i="2"/>
  <c r="AE89" i="2"/>
  <c r="T90" i="2"/>
  <c r="T51" i="2"/>
  <c r="T74" i="2"/>
  <c r="C90" i="2"/>
  <c r="C74" i="2"/>
  <c r="C51" i="2"/>
  <c r="G56" i="2"/>
  <c r="K45" i="2"/>
  <c r="K77" i="3" s="1"/>
  <c r="G73" i="2"/>
  <c r="N52" i="2"/>
  <c r="N136" i="3" s="1"/>
  <c r="N137" i="3" s="1"/>
  <c r="N83" i="2"/>
  <c r="U89" i="2"/>
  <c r="U81" i="2"/>
  <c r="V52" i="2"/>
  <c r="V136" i="3" s="1"/>
  <c r="V137" i="3" s="1"/>
  <c r="V83" i="2"/>
  <c r="AC52" i="2"/>
  <c r="AC136" i="3" s="1"/>
  <c r="AC137" i="3" s="1"/>
  <c r="AC83" i="2"/>
  <c r="D74" i="2"/>
  <c r="D90" i="2"/>
  <c r="D51" i="2"/>
  <c r="S90" i="2"/>
  <c r="S74" i="2"/>
  <c r="S51" i="2"/>
  <c r="E74" i="2"/>
  <c r="E51" i="2"/>
  <c r="E90" i="2"/>
  <c r="X52" i="2"/>
  <c r="X136" i="3" s="1"/>
  <c r="X137" i="3" s="1"/>
  <c r="X83" i="2"/>
  <c r="F45" i="2"/>
  <c r="F77" i="3" s="1"/>
  <c r="B56" i="2"/>
  <c r="B73" i="2"/>
  <c r="F89" i="2"/>
  <c r="F81" i="2"/>
  <c r="AD74" i="2"/>
  <c r="AD90" i="2"/>
  <c r="AD51" i="2"/>
  <c r="R56" i="2"/>
  <c r="R73" i="2"/>
  <c r="U45" i="2"/>
  <c r="U77" i="3" s="1"/>
  <c r="L51" i="2"/>
  <c r="L90" i="2"/>
  <c r="L74" i="2"/>
  <c r="M83" i="2"/>
  <c r="M52" i="2"/>
  <c r="M136" i="3" s="1"/>
  <c r="M137" i="3" s="1"/>
  <c r="Z81" i="2"/>
  <c r="Z89" i="2"/>
  <c r="P73" i="2"/>
  <c r="P56" i="2"/>
  <c r="AB83" i="2"/>
  <c r="AB52" i="2"/>
  <c r="AB136" i="3" s="1"/>
  <c r="AB137" i="3" s="1"/>
  <c r="AE45" i="2"/>
  <c r="AE77" i="3" s="1"/>
  <c r="AA56" i="2"/>
  <c r="AA73" i="2"/>
  <c r="Y74" i="2"/>
  <c r="Y90" i="2"/>
  <c r="Y51" i="2"/>
  <c r="Q83" i="2"/>
  <c r="Q52" i="2"/>
  <c r="Q136" i="3" s="1"/>
  <c r="Q137" i="3" s="1"/>
  <c r="O52" i="2"/>
  <c r="O136" i="3" s="1"/>
  <c r="O137" i="3" s="1"/>
  <c r="O83" i="2"/>
  <c r="K81" i="2"/>
  <c r="K89" i="2"/>
  <c r="W73" i="2"/>
  <c r="W56" i="2"/>
  <c r="Z45" i="2"/>
  <c r="Z77" i="3" s="1"/>
  <c r="M90" i="3" l="1"/>
  <c r="M89" i="3"/>
  <c r="N88" i="3"/>
  <c r="CB63" i="2"/>
  <c r="CB77" i="2"/>
  <c r="O88" i="3"/>
  <c r="X89" i="3"/>
  <c r="O89" i="3"/>
  <c r="X88" i="3"/>
  <c r="CB37" i="2"/>
  <c r="N90" i="3"/>
  <c r="E86" i="3"/>
  <c r="D86" i="3"/>
  <c r="D88" i="3" s="1"/>
  <c r="S86" i="3"/>
  <c r="I86" i="3"/>
  <c r="I90" i="3" s="1"/>
  <c r="L86" i="3"/>
  <c r="L90" i="3" s="1"/>
  <c r="C86" i="3"/>
  <c r="C88" i="3" s="1"/>
  <c r="H83" i="2"/>
  <c r="H52" i="2"/>
  <c r="H136" i="3" s="1"/>
  <c r="H137" i="3" s="1"/>
  <c r="S89" i="3"/>
  <c r="S90" i="3"/>
  <c r="S88" i="3"/>
  <c r="I83" i="2"/>
  <c r="I52" i="2"/>
  <c r="I136" i="3" s="1"/>
  <c r="I137" i="3" s="1"/>
  <c r="M91" i="2"/>
  <c r="M138" i="3"/>
  <c r="M141" i="3" s="1"/>
  <c r="R84" i="3"/>
  <c r="R85" i="3" s="1"/>
  <c r="R80" i="3"/>
  <c r="V91" i="2"/>
  <c r="V138" i="3"/>
  <c r="V141" i="3" s="1"/>
  <c r="B84" i="3"/>
  <c r="B80" i="3"/>
  <c r="B86" i="3" s="1"/>
  <c r="AB89" i="3"/>
  <c r="AB88" i="3"/>
  <c r="AB90" i="3"/>
  <c r="T86" i="3"/>
  <c r="U84" i="3"/>
  <c r="U85" i="3" s="1"/>
  <c r="U80" i="3"/>
  <c r="H86" i="3"/>
  <c r="L88" i="3"/>
  <c r="L89" i="3"/>
  <c r="K80" i="3"/>
  <c r="K84" i="3"/>
  <c r="K85" i="3" s="1"/>
  <c r="V89" i="3"/>
  <c r="V88" i="3"/>
  <c r="V90" i="3"/>
  <c r="O91" i="2"/>
  <c r="O138" i="3"/>
  <c r="O141" i="3" s="1"/>
  <c r="Y86" i="3"/>
  <c r="N91" i="2"/>
  <c r="N138" i="3"/>
  <c r="N141" i="3" s="1"/>
  <c r="CG8" i="4"/>
  <c r="CG13" i="4" s="1"/>
  <c r="CF13" i="4"/>
  <c r="G84" i="3"/>
  <c r="G85" i="3" s="1"/>
  <c r="G80" i="3"/>
  <c r="E88" i="3"/>
  <c r="E90" i="3"/>
  <c r="E89" i="3"/>
  <c r="Q88" i="3"/>
  <c r="Q89" i="3"/>
  <c r="Q90" i="3"/>
  <c r="Z84" i="3"/>
  <c r="Z85" i="3" s="1"/>
  <c r="Z80" i="3"/>
  <c r="AC91" i="2"/>
  <c r="AC138" i="3"/>
  <c r="AC141" i="3" s="1"/>
  <c r="I89" i="3"/>
  <c r="I88" i="3"/>
  <c r="W80" i="3"/>
  <c r="W84" i="3"/>
  <c r="W85" i="3" s="1"/>
  <c r="AA84" i="3"/>
  <c r="AA85" i="3" s="1"/>
  <c r="AA80" i="3"/>
  <c r="P86" i="3"/>
  <c r="F84" i="3"/>
  <c r="F80" i="3"/>
  <c r="F86" i="3" s="1"/>
  <c r="X91" i="2"/>
  <c r="X138" i="3"/>
  <c r="X141" i="3" s="1"/>
  <c r="AE80" i="3"/>
  <c r="AE84" i="3"/>
  <c r="AE85" i="3" s="1"/>
  <c r="AC90" i="3"/>
  <c r="AC89" i="3"/>
  <c r="AC88" i="3"/>
  <c r="AB91" i="2"/>
  <c r="AB138" i="3"/>
  <c r="AB141" i="3" s="1"/>
  <c r="Q91" i="2"/>
  <c r="Q138" i="3"/>
  <c r="Q141" i="3" s="1"/>
  <c r="AD86" i="3"/>
  <c r="AD52" i="2"/>
  <c r="AD136" i="3" s="1"/>
  <c r="AD137" i="3" s="1"/>
  <c r="AD83" i="2"/>
  <c r="S83" i="2"/>
  <c r="S52" i="2"/>
  <c r="S136" i="3" s="1"/>
  <c r="S137" i="3" s="1"/>
  <c r="G90" i="2"/>
  <c r="G74" i="2"/>
  <c r="G51" i="2"/>
  <c r="K73" i="2"/>
  <c r="K56" i="2"/>
  <c r="B51" i="2"/>
  <c r="B90" i="2"/>
  <c r="B74" i="2"/>
  <c r="Y83" i="2"/>
  <c r="Y52" i="2"/>
  <c r="Y136" i="3" s="1"/>
  <c r="Y137" i="3" s="1"/>
  <c r="L83" i="2"/>
  <c r="L52" i="2"/>
  <c r="L136" i="3" s="1"/>
  <c r="L137" i="3" s="1"/>
  <c r="D83" i="2"/>
  <c r="D52" i="2"/>
  <c r="D136" i="3" s="1"/>
  <c r="D137" i="3" s="1"/>
  <c r="Z73" i="2"/>
  <c r="Z56" i="2"/>
  <c r="AA51" i="2"/>
  <c r="AA74" i="2"/>
  <c r="AA90" i="2"/>
  <c r="F73" i="2"/>
  <c r="F56" i="2"/>
  <c r="C83" i="2"/>
  <c r="C52" i="2"/>
  <c r="C136" i="3" s="1"/>
  <c r="C137" i="3" s="1"/>
  <c r="W90" i="2"/>
  <c r="W74" i="2"/>
  <c r="W51" i="2"/>
  <c r="AE73" i="2"/>
  <c r="AE56" i="2"/>
  <c r="U73" i="2"/>
  <c r="U56" i="2"/>
  <c r="T83" i="2"/>
  <c r="T52" i="2"/>
  <c r="T136" i="3" s="1"/>
  <c r="T137" i="3" s="1"/>
  <c r="R90" i="2"/>
  <c r="R74" i="2"/>
  <c r="R51" i="2"/>
  <c r="E83" i="2"/>
  <c r="E52" i="2"/>
  <c r="E136" i="3" s="1"/>
  <c r="E137" i="3" s="1"/>
  <c r="P90" i="2"/>
  <c r="P74" i="2"/>
  <c r="P51" i="2"/>
  <c r="CB42" i="2" l="1"/>
  <c r="CB70" i="2"/>
  <c r="CB65" i="2"/>
  <c r="CB82" i="2"/>
  <c r="D89" i="3"/>
  <c r="D90" i="3"/>
  <c r="C90" i="3"/>
  <c r="C89" i="3"/>
  <c r="G86" i="3"/>
  <c r="G88" i="3" s="1"/>
  <c r="AE86" i="3"/>
  <c r="AE90" i="3" s="1"/>
  <c r="Z86" i="3"/>
  <c r="Z90" i="3" s="1"/>
  <c r="Y88" i="3"/>
  <c r="Y90" i="3"/>
  <c r="Y89" i="3"/>
  <c r="U86" i="3"/>
  <c r="R86" i="3"/>
  <c r="S91" i="2"/>
  <c r="S138" i="3"/>
  <c r="S141" i="3" s="1"/>
  <c r="C91" i="2"/>
  <c r="C138" i="3"/>
  <c r="C141" i="3" s="1"/>
  <c r="F89" i="3"/>
  <c r="F90" i="3"/>
  <c r="I91" i="2"/>
  <c r="I138" i="3"/>
  <c r="I141" i="3" s="1"/>
  <c r="E91" i="2"/>
  <c r="E138" i="3"/>
  <c r="E141" i="3" s="1"/>
  <c r="AA86" i="3"/>
  <c r="K86" i="3"/>
  <c r="AD91" i="2"/>
  <c r="AD138" i="3"/>
  <c r="AD141" i="3" s="1"/>
  <c r="T90" i="3"/>
  <c r="T88" i="3"/>
  <c r="T89" i="3"/>
  <c r="L91" i="2"/>
  <c r="L138" i="3"/>
  <c r="L141" i="3" s="1"/>
  <c r="W86" i="3"/>
  <c r="CI8" i="4"/>
  <c r="CI13" i="4" s="1"/>
  <c r="B90" i="3"/>
  <c r="B88" i="3"/>
  <c r="B89" i="3"/>
  <c r="Y91" i="2"/>
  <c r="Y138" i="3"/>
  <c r="Y141" i="3" s="1"/>
  <c r="T91" i="2"/>
  <c r="T138" i="3"/>
  <c r="T141" i="3" s="1"/>
  <c r="P89" i="3"/>
  <c r="P90" i="3"/>
  <c r="AD89" i="3"/>
  <c r="AD88" i="3"/>
  <c r="AD90" i="3"/>
  <c r="D91" i="2"/>
  <c r="D138" i="3"/>
  <c r="D141" i="3" s="1"/>
  <c r="H88" i="3"/>
  <c r="H89" i="3"/>
  <c r="H90" i="3"/>
  <c r="H91" i="2"/>
  <c r="H138" i="3"/>
  <c r="H141" i="3" s="1"/>
  <c r="B83" i="2"/>
  <c r="B52" i="2"/>
  <c r="B136" i="3" s="1"/>
  <c r="B137" i="3" s="1"/>
  <c r="AA83" i="2"/>
  <c r="AA52" i="2"/>
  <c r="AA136" i="3" s="1"/>
  <c r="AA137" i="3" s="1"/>
  <c r="K90" i="2"/>
  <c r="K51" i="2"/>
  <c r="K74" i="2"/>
  <c r="P83" i="2"/>
  <c r="P52" i="2"/>
  <c r="P136" i="3" s="1"/>
  <c r="P137" i="3" s="1"/>
  <c r="AE90" i="2"/>
  <c r="AE74" i="2"/>
  <c r="AE51" i="2"/>
  <c r="G83" i="2"/>
  <c r="G52" i="2"/>
  <c r="G136" i="3" s="1"/>
  <c r="G137" i="3" s="1"/>
  <c r="W52" i="2"/>
  <c r="W136" i="3" s="1"/>
  <c r="W137" i="3" s="1"/>
  <c r="W83" i="2"/>
  <c r="R52" i="2"/>
  <c r="R136" i="3" s="1"/>
  <c r="R137" i="3" s="1"/>
  <c r="R83" i="2"/>
  <c r="F74" i="2"/>
  <c r="F51" i="2"/>
  <c r="F90" i="2"/>
  <c r="U51" i="2"/>
  <c r="U74" i="2"/>
  <c r="U90" i="2"/>
  <c r="Z51" i="2"/>
  <c r="Z74" i="2"/>
  <c r="Z90" i="2"/>
  <c r="CB81" i="2" l="1"/>
  <c r="CB44" i="2"/>
  <c r="CB45" i="2"/>
  <c r="G90" i="3"/>
  <c r="AE89" i="3"/>
  <c r="G89" i="3"/>
  <c r="Z89" i="3"/>
  <c r="W91" i="2"/>
  <c r="W138" i="3"/>
  <c r="W141" i="3" s="1"/>
  <c r="AA91" i="2"/>
  <c r="AA138" i="3"/>
  <c r="AA141" i="3" s="1"/>
  <c r="CJ8" i="4"/>
  <c r="CJ13" i="4" s="1"/>
  <c r="G91" i="2"/>
  <c r="G138" i="3"/>
  <c r="G141" i="3" s="1"/>
  <c r="R89" i="3"/>
  <c r="R88" i="3"/>
  <c r="R90" i="3"/>
  <c r="U89" i="3"/>
  <c r="U90" i="3"/>
  <c r="W90" i="3"/>
  <c r="W88" i="3"/>
  <c r="W89" i="3"/>
  <c r="P91" i="2"/>
  <c r="P138" i="3"/>
  <c r="P141" i="3" s="1"/>
  <c r="K90" i="3"/>
  <c r="K89" i="3"/>
  <c r="B91" i="2"/>
  <c r="B138" i="3"/>
  <c r="B141" i="3" s="1"/>
  <c r="AA88" i="3"/>
  <c r="AA90" i="3"/>
  <c r="AA89" i="3"/>
  <c r="R91" i="2"/>
  <c r="R138" i="3"/>
  <c r="R141" i="3" s="1"/>
  <c r="Z83" i="2"/>
  <c r="Z52" i="2"/>
  <c r="Z136" i="3" s="1"/>
  <c r="Z137" i="3" s="1"/>
  <c r="U83" i="2"/>
  <c r="U52" i="2"/>
  <c r="U136" i="3" s="1"/>
  <c r="U137" i="3" s="1"/>
  <c r="AE83" i="2"/>
  <c r="AE52" i="2"/>
  <c r="AE136" i="3" s="1"/>
  <c r="AE137" i="3" s="1"/>
  <c r="F83" i="2"/>
  <c r="F52" i="2"/>
  <c r="F136" i="3" s="1"/>
  <c r="F137" i="3" s="1"/>
  <c r="K52" i="2"/>
  <c r="K136" i="3" s="1"/>
  <c r="K137" i="3" s="1"/>
  <c r="K83" i="2"/>
  <c r="CB73" i="2" l="1"/>
  <c r="CB151" i="3"/>
  <c r="F91" i="2"/>
  <c r="F138" i="3"/>
  <c r="F141" i="3" s="1"/>
  <c r="U91" i="2"/>
  <c r="U138" i="3"/>
  <c r="U141" i="3" s="1"/>
  <c r="AE91" i="2"/>
  <c r="AE138" i="3"/>
  <c r="AE141" i="3" s="1"/>
  <c r="K91" i="2"/>
  <c r="K138" i="3"/>
  <c r="K141" i="3" s="1"/>
  <c r="Z91" i="2"/>
  <c r="Z138" i="3"/>
  <c r="Z141" i="3" s="1"/>
  <c r="CK8" i="4"/>
  <c r="CI50" i="4"/>
  <c r="CG50" i="4"/>
  <c r="CF50" i="4"/>
  <c r="CG49" i="4"/>
  <c r="CF49" i="4"/>
  <c r="CB74" i="2" l="1"/>
  <c r="CB51" i="2"/>
  <c r="CH50" i="4"/>
  <c r="CH49" i="4"/>
  <c r="CL8" i="4"/>
  <c r="CL13" i="4" s="1"/>
  <c r="CK13" i="4"/>
  <c r="E20" i="6"/>
  <c r="D20" i="6"/>
  <c r="C20" i="6"/>
  <c r="DA73" i="3"/>
  <c r="CZ73" i="3"/>
  <c r="CY73" i="3"/>
  <c r="CX73" i="3"/>
  <c r="CV73" i="3"/>
  <c r="CU73" i="3"/>
  <c r="CT73" i="3"/>
  <c r="CS73" i="3"/>
  <c r="CQ73" i="3"/>
  <c r="CP73" i="3"/>
  <c r="CO73" i="3"/>
  <c r="CN73" i="3"/>
  <c r="CL73" i="3"/>
  <c r="CK73" i="3"/>
  <c r="CJ73" i="3"/>
  <c r="CI73" i="3"/>
  <c r="CG73" i="3"/>
  <c r="CF73" i="3"/>
  <c r="CB83" i="2" l="1"/>
  <c r="CB52" i="2"/>
  <c r="CN8" i="4"/>
  <c r="CW73" i="3"/>
  <c r="CR73" i="3"/>
  <c r="CM73" i="3"/>
  <c r="DB73" i="3"/>
  <c r="CO8" i="4" l="1"/>
  <c r="CO13" i="4" s="1"/>
  <c r="CN13" i="4"/>
  <c r="G76" i="6"/>
  <c r="F76" i="6"/>
  <c r="E76" i="6"/>
  <c r="D76" i="6"/>
  <c r="C76" i="6"/>
  <c r="B14" i="6"/>
  <c r="BX50" i="4"/>
  <c r="BS50" i="4"/>
  <c r="BN50" i="4"/>
  <c r="BI50" i="4"/>
  <c r="BD50" i="4"/>
  <c r="AY50" i="4"/>
  <c r="AT50" i="4"/>
  <c r="AO50" i="4"/>
  <c r="AJ50" i="4"/>
  <c r="AJ49" i="4"/>
  <c r="BT46" i="4"/>
  <c r="BR46" i="4"/>
  <c r="BQ46" i="4"/>
  <c r="BP46" i="4"/>
  <c r="BO46" i="4"/>
  <c r="BM46" i="4"/>
  <c r="BL46" i="4"/>
  <c r="BK46" i="4"/>
  <c r="BJ46" i="4"/>
  <c r="BH46" i="4"/>
  <c r="BG46" i="4"/>
  <c r="BF46" i="4"/>
  <c r="BE46" i="4"/>
  <c r="BC46" i="4"/>
  <c r="BB46" i="4"/>
  <c r="BA46" i="4"/>
  <c r="AZ46" i="4"/>
  <c r="AX46" i="4"/>
  <c r="AW46" i="4"/>
  <c r="AV46" i="4"/>
  <c r="AU46" i="4"/>
  <c r="AS46" i="4"/>
  <c r="AR46" i="4"/>
  <c r="AQ46" i="4"/>
  <c r="AP46" i="4"/>
  <c r="AN46" i="4"/>
  <c r="AM46" i="4"/>
  <c r="AL46" i="4"/>
  <c r="AK46" i="4"/>
  <c r="AI46" i="4"/>
  <c r="AH46" i="4"/>
  <c r="AG46" i="4"/>
  <c r="AF46" i="4"/>
  <c r="BX45" i="4"/>
  <c r="BS45" i="4"/>
  <c r="BN45" i="4"/>
  <c r="BI45" i="4"/>
  <c r="BD45" i="4"/>
  <c r="AY45" i="4"/>
  <c r="AT45" i="4"/>
  <c r="AO45" i="4"/>
  <c r="AJ45" i="4"/>
  <c r="BY41" i="4"/>
  <c r="BT41" i="4"/>
  <c r="BO41" i="4"/>
  <c r="BL41" i="4"/>
  <c r="BK41" i="4"/>
  <c r="BJ41" i="4"/>
  <c r="BG41" i="4"/>
  <c r="BF41" i="4"/>
  <c r="BE41" i="4"/>
  <c r="BB41" i="4"/>
  <c r="BA41" i="4"/>
  <c r="AZ41" i="4"/>
  <c r="AW41" i="4"/>
  <c r="AV41" i="4"/>
  <c r="AU41" i="4"/>
  <c r="AR41" i="4"/>
  <c r="AQ41" i="4"/>
  <c r="AP41" i="4"/>
  <c r="AM41" i="4"/>
  <c r="AL41" i="4"/>
  <c r="AK41" i="4"/>
  <c r="AH41" i="4"/>
  <c r="AG41" i="4"/>
  <c r="AF41" i="4"/>
  <c r="CG40" i="4"/>
  <c r="CJ40" i="4" s="1"/>
  <c r="CK40" i="4" s="1"/>
  <c r="CL40" i="4" s="1"/>
  <c r="AI34" i="4"/>
  <c r="AH34" i="4"/>
  <c r="AG34" i="4"/>
  <c r="BY32" i="4"/>
  <c r="CA34" i="4" s="1"/>
  <c r="CA36" i="4" s="1"/>
  <c r="BW32" i="4"/>
  <c r="BY34" i="4" s="1"/>
  <c r="BV32" i="4"/>
  <c r="BW39" i="4" s="1"/>
  <c r="BW111" i="2" s="1"/>
  <c r="BU32" i="4"/>
  <c r="BT32" i="4"/>
  <c r="BR32" i="4"/>
  <c r="BT34" i="4" s="1"/>
  <c r="BQ32" i="4"/>
  <c r="BR39" i="4" s="1"/>
  <c r="BR111" i="2" s="1"/>
  <c r="BS111" i="2" s="1"/>
  <c r="BP32" i="4"/>
  <c r="BO32" i="4"/>
  <c r="BM32" i="4"/>
  <c r="BO34" i="4" s="1"/>
  <c r="BL32" i="4"/>
  <c r="BM39" i="4" s="1"/>
  <c r="BM111" i="2" s="1"/>
  <c r="BM112" i="2" s="1"/>
  <c r="BK32" i="4"/>
  <c r="BJ32" i="4"/>
  <c r="BH32" i="4"/>
  <c r="BJ34" i="4" s="1"/>
  <c r="BG32" i="4"/>
  <c r="BH39" i="4" s="1"/>
  <c r="BH111" i="2" s="1"/>
  <c r="BF32" i="4"/>
  <c r="BE32" i="4"/>
  <c r="BC32" i="4"/>
  <c r="BE34" i="4" s="1"/>
  <c r="BB32" i="4"/>
  <c r="BC39" i="4" s="1"/>
  <c r="BA32" i="4"/>
  <c r="AZ32" i="4"/>
  <c r="AX32" i="4"/>
  <c r="AZ34" i="4" s="1"/>
  <c r="AW32" i="4"/>
  <c r="AX39" i="4" s="1"/>
  <c r="AX111" i="2" s="1"/>
  <c r="AV32" i="4"/>
  <c r="AU32" i="4"/>
  <c r="AS32" i="4"/>
  <c r="AU34" i="4" s="1"/>
  <c r="AR32" i="4"/>
  <c r="AS39" i="4" s="1"/>
  <c r="AS111" i="2" s="1"/>
  <c r="AT111" i="2" s="1"/>
  <c r="AQ32" i="4"/>
  <c r="AP32" i="4"/>
  <c r="AN32" i="4"/>
  <c r="AP34" i="4" s="1"/>
  <c r="AM32" i="4"/>
  <c r="AL32" i="4"/>
  <c r="AK32" i="4"/>
  <c r="AI32" i="4"/>
  <c r="AK34" i="4" s="1"/>
  <c r="AH32" i="4"/>
  <c r="AI39" i="4" s="1"/>
  <c r="AI111" i="2" s="1"/>
  <c r="AG32" i="4"/>
  <c r="AH39" i="4" s="1"/>
  <c r="AH111" i="2" s="1"/>
  <c r="AH112" i="2" s="1"/>
  <c r="AF32" i="4"/>
  <c r="AG39" i="4" s="1"/>
  <c r="AG111" i="2" s="1"/>
  <c r="AG112" i="2" s="1"/>
  <c r="BW28" i="4"/>
  <c r="BW29" i="4" s="1"/>
  <c r="BV28" i="4"/>
  <c r="BV29" i="4" s="1"/>
  <c r="BU28" i="4"/>
  <c r="BU29" i="4" s="1"/>
  <c r="BR28" i="4"/>
  <c r="BR29" i="4" s="1"/>
  <c r="BQ28" i="4"/>
  <c r="BQ29" i="4" s="1"/>
  <c r="BP28" i="4"/>
  <c r="BP29" i="4" s="1"/>
  <c r="BM28" i="4"/>
  <c r="BM29" i="4" s="1"/>
  <c r="BL28" i="4"/>
  <c r="BL29" i="4" s="1"/>
  <c r="BK28" i="4"/>
  <c r="BK29" i="4" s="1"/>
  <c r="BH28" i="4"/>
  <c r="BH29" i="4" s="1"/>
  <c r="BG28" i="4"/>
  <c r="BG29" i="4" s="1"/>
  <c r="BF28" i="4"/>
  <c r="BF29" i="4" s="1"/>
  <c r="BC28" i="4"/>
  <c r="BC29" i="4" s="1"/>
  <c r="BB28" i="4"/>
  <c r="BB29" i="4" s="1"/>
  <c r="BA28" i="4"/>
  <c r="BA29" i="4" s="1"/>
  <c r="AX28" i="4"/>
  <c r="AX29" i="4" s="1"/>
  <c r="AW28" i="4"/>
  <c r="AW29" i="4" s="1"/>
  <c r="AV28" i="4"/>
  <c r="AV29" i="4" s="1"/>
  <c r="AS28" i="4"/>
  <c r="AS29" i="4" s="1"/>
  <c r="AR28" i="4"/>
  <c r="AR29" i="4" s="1"/>
  <c r="AQ28" i="4"/>
  <c r="AQ29" i="4" s="1"/>
  <c r="AN28" i="4"/>
  <c r="AN29" i="4" s="1"/>
  <c r="AM28" i="4"/>
  <c r="AM29" i="4" s="1"/>
  <c r="AL29" i="4"/>
  <c r="AJ28" i="4"/>
  <c r="AI28" i="4"/>
  <c r="AI29" i="4" s="1"/>
  <c r="AH28" i="4"/>
  <c r="AH29" i="4" s="1"/>
  <c r="AG28" i="4"/>
  <c r="AG29" i="4" s="1"/>
  <c r="AF28" i="4"/>
  <c r="AF29" i="4" s="1"/>
  <c r="BX27" i="4"/>
  <c r="BS27" i="4"/>
  <c r="BN27" i="4"/>
  <c r="BI27" i="4"/>
  <c r="BD27" i="4"/>
  <c r="AY27" i="4"/>
  <c r="AT27" i="4"/>
  <c r="AO27" i="4"/>
  <c r="AJ27" i="4"/>
  <c r="BA26" i="4"/>
  <c r="AZ26" i="4"/>
  <c r="AN26" i="4"/>
  <c r="AO26" i="4" s="1"/>
  <c r="BW26" i="4"/>
  <c r="BX26" i="4" s="1"/>
  <c r="BV26" i="4"/>
  <c r="BU26" i="4"/>
  <c r="BT26" i="4"/>
  <c r="BQ26" i="4"/>
  <c r="BP26" i="4"/>
  <c r="BO26" i="4"/>
  <c r="BL26" i="4"/>
  <c r="BK26" i="4"/>
  <c r="BJ26" i="4"/>
  <c r="BH26" i="4"/>
  <c r="BI26" i="4" s="1"/>
  <c r="BG26" i="4"/>
  <c r="BF26" i="4"/>
  <c r="BE26" i="4"/>
  <c r="BB26" i="4"/>
  <c r="AX26" i="4"/>
  <c r="AY26" i="4" s="1"/>
  <c r="AW26" i="4"/>
  <c r="AV26" i="4"/>
  <c r="AU26" i="4"/>
  <c r="AS26" i="4"/>
  <c r="AT26" i="4" s="1"/>
  <c r="AR26" i="4"/>
  <c r="AQ26" i="4"/>
  <c r="AP26" i="4"/>
  <c r="AO25" i="4"/>
  <c r="AM26" i="4"/>
  <c r="AL26" i="4"/>
  <c r="AK26" i="4"/>
  <c r="AJ25" i="4"/>
  <c r="AH26" i="4"/>
  <c r="AG26" i="4"/>
  <c r="AF26" i="4"/>
  <c r="BX24" i="4"/>
  <c r="BS24" i="4"/>
  <c r="BX28" i="4" s="1"/>
  <c r="BN24" i="4"/>
  <c r="BO28" i="4" s="1"/>
  <c r="BO29" i="4" s="1"/>
  <c r="BI24" i="4"/>
  <c r="BD24" i="4"/>
  <c r="BI28" i="4" s="1"/>
  <c r="AY24" i="4"/>
  <c r="AZ28" i="4" s="1"/>
  <c r="AZ29" i="4" s="1"/>
  <c r="AT24" i="4"/>
  <c r="AY28" i="4" s="1"/>
  <c r="AO24" i="4"/>
  <c r="AP28" i="4" s="1"/>
  <c r="AP29" i="4" s="1"/>
  <c r="AJ24" i="4"/>
  <c r="AH22" i="4"/>
  <c r="BX19" i="4"/>
  <c r="BS19" i="4"/>
  <c r="BN19" i="4"/>
  <c r="BI19" i="4"/>
  <c r="BD19" i="4"/>
  <c r="AY19" i="4"/>
  <c r="AT19" i="4"/>
  <c r="AO19" i="4"/>
  <c r="AJ19" i="4"/>
  <c r="CT18" i="4"/>
  <c r="CY18" i="4" s="1"/>
  <c r="CS18" i="4"/>
  <c r="CX18" i="4" s="1"/>
  <c r="CV18" i="4"/>
  <c r="DA18" i="4" s="1"/>
  <c r="CU18" i="4"/>
  <c r="CZ18" i="4" s="1"/>
  <c r="BY17" i="4"/>
  <c r="BY20" i="4" s="1"/>
  <c r="BW17" i="4"/>
  <c r="BV17" i="4"/>
  <c r="BV20" i="2" s="1"/>
  <c r="BU17" i="4"/>
  <c r="BU20" i="2" s="1"/>
  <c r="BT17" i="4"/>
  <c r="BT14" i="4" s="1"/>
  <c r="BR17" i="4"/>
  <c r="BQ17" i="4"/>
  <c r="BP17" i="4"/>
  <c r="BO17" i="4"/>
  <c r="BM17" i="4"/>
  <c r="BM20" i="4" s="1"/>
  <c r="BL17" i="4"/>
  <c r="BL20" i="4" s="1"/>
  <c r="BK17" i="4"/>
  <c r="BK20" i="4" s="1"/>
  <c r="BJ17" i="4"/>
  <c r="BH17" i="4"/>
  <c r="BG17" i="4"/>
  <c r="BF17" i="4"/>
  <c r="BE17" i="4"/>
  <c r="BC17" i="4"/>
  <c r="BC14" i="4" s="1"/>
  <c r="BC33" i="4" s="1"/>
  <c r="BB17" i="4"/>
  <c r="BB14" i="4" s="1"/>
  <c r="BB33" i="4" s="1"/>
  <c r="BA17" i="4"/>
  <c r="BA20" i="4" s="1"/>
  <c r="AZ17" i="4"/>
  <c r="AZ14" i="4" s="1"/>
  <c r="AX17" i="4"/>
  <c r="AX14" i="4" s="1"/>
  <c r="AX33" i="4" s="1"/>
  <c r="AW17" i="4"/>
  <c r="AW14" i="4" s="1"/>
  <c r="AW33" i="4" s="1"/>
  <c r="AV17" i="4"/>
  <c r="AV14" i="4" s="1"/>
  <c r="AV33" i="4" s="1"/>
  <c r="AU17" i="4"/>
  <c r="AU20" i="2" s="1"/>
  <c r="AS17" i="4"/>
  <c r="AR17" i="4"/>
  <c r="AR20" i="2" s="1"/>
  <c r="AQ17" i="4"/>
  <c r="AQ20" i="2" s="1"/>
  <c r="AP17" i="4"/>
  <c r="AN17" i="4"/>
  <c r="AM17" i="4"/>
  <c r="AM18" i="4" s="1"/>
  <c r="AL17" i="4"/>
  <c r="AL14" i="4" s="1"/>
  <c r="AL33" i="4" s="1"/>
  <c r="AK17" i="4"/>
  <c r="AK14" i="4" s="1"/>
  <c r="AI17" i="4"/>
  <c r="AI14" i="4" s="1"/>
  <c r="AI33" i="4" s="1"/>
  <c r="AH17" i="4"/>
  <c r="AH18" i="4" s="1"/>
  <c r="AG17" i="4"/>
  <c r="AG21" i="4" s="1"/>
  <c r="AF17" i="4"/>
  <c r="AF20" i="2" s="1"/>
  <c r="BW16" i="4"/>
  <c r="BV16" i="4"/>
  <c r="BU16" i="4"/>
  <c r="BT16" i="4"/>
  <c r="BR16" i="4"/>
  <c r="BQ16" i="4"/>
  <c r="BP16" i="4"/>
  <c r="BO16" i="4"/>
  <c r="BM16" i="4"/>
  <c r="BL16" i="4"/>
  <c r="BK16" i="4"/>
  <c r="BJ16" i="4"/>
  <c r="BH16" i="4"/>
  <c r="BG16" i="4"/>
  <c r="BF16" i="4"/>
  <c r="BE16" i="4"/>
  <c r="BC16" i="4"/>
  <c r="BB16" i="4"/>
  <c r="BA16" i="4"/>
  <c r="AZ16" i="4"/>
  <c r="AX16" i="4"/>
  <c r="AW16" i="4"/>
  <c r="AV16" i="4"/>
  <c r="AU16" i="4"/>
  <c r="AS16" i="4"/>
  <c r="AR16" i="4"/>
  <c r="AQ16" i="4"/>
  <c r="AP16" i="4"/>
  <c r="AN16" i="4"/>
  <c r="AM16" i="4"/>
  <c r="AL16" i="4"/>
  <c r="AK16" i="4"/>
  <c r="AI16" i="4"/>
  <c r="AH16" i="4"/>
  <c r="AG16" i="4"/>
  <c r="AF16" i="4"/>
  <c r="BX15" i="4"/>
  <c r="BS15" i="4"/>
  <c r="BN15" i="4"/>
  <c r="BI15" i="4"/>
  <c r="BD15" i="4"/>
  <c r="AY15" i="4"/>
  <c r="AT15" i="4"/>
  <c r="AO15" i="4"/>
  <c r="AJ15" i="4"/>
  <c r="BY13" i="4"/>
  <c r="BW13" i="4"/>
  <c r="BV13" i="4"/>
  <c r="BU13" i="4"/>
  <c r="BT13" i="4"/>
  <c r="BR13" i="4"/>
  <c r="BQ13" i="4"/>
  <c r="BP13" i="4"/>
  <c r="BO13" i="4"/>
  <c r="BM13" i="4"/>
  <c r="BL13" i="4"/>
  <c r="BK13" i="4"/>
  <c r="BJ13" i="4"/>
  <c r="BH13" i="4"/>
  <c r="BG13" i="4"/>
  <c r="BF13" i="4"/>
  <c r="BE13" i="4"/>
  <c r="BC13" i="4"/>
  <c r="BB13" i="4"/>
  <c r="BA13" i="4"/>
  <c r="AZ13" i="4"/>
  <c r="AX13" i="4"/>
  <c r="AX49" i="4" s="1"/>
  <c r="AW13" i="4"/>
  <c r="AW49" i="4" s="1"/>
  <c r="AV13" i="4"/>
  <c r="AV49" i="4" s="1"/>
  <c r="AU13" i="4"/>
  <c r="AU49" i="4" s="1"/>
  <c r="AS13" i="4"/>
  <c r="AS49" i="4" s="1"/>
  <c r="AR13" i="4"/>
  <c r="AR49" i="4" s="1"/>
  <c r="AQ13" i="4"/>
  <c r="AQ49" i="4" s="1"/>
  <c r="AP13" i="4"/>
  <c r="AP49" i="4" s="1"/>
  <c r="AN13" i="4"/>
  <c r="AN49" i="4" s="1"/>
  <c r="AM13" i="4"/>
  <c r="AM49" i="4" s="1"/>
  <c r="AL13" i="4"/>
  <c r="AL49" i="4" s="1"/>
  <c r="AK13" i="4"/>
  <c r="AK49" i="4" s="1"/>
  <c r="AI13" i="4"/>
  <c r="AH13" i="4"/>
  <c r="AG13" i="4"/>
  <c r="AF13" i="4"/>
  <c r="BX12" i="4"/>
  <c r="BS12" i="4"/>
  <c r="BN12" i="4"/>
  <c r="BI12" i="4"/>
  <c r="BD12" i="4"/>
  <c r="AY12" i="4"/>
  <c r="AT12" i="4"/>
  <c r="AO12" i="4"/>
  <c r="AJ12" i="4"/>
  <c r="BY11" i="4"/>
  <c r="BW11" i="4"/>
  <c r="BV11" i="4"/>
  <c r="BU11" i="4"/>
  <c r="BT11" i="4"/>
  <c r="BR11" i="4"/>
  <c r="BQ11" i="4"/>
  <c r="BP11" i="4"/>
  <c r="BO11" i="4"/>
  <c r="BM11" i="4"/>
  <c r="BL11" i="4"/>
  <c r="BK11" i="4"/>
  <c r="BJ11" i="4"/>
  <c r="BH11" i="4"/>
  <c r="BG11" i="4"/>
  <c r="BF11" i="4"/>
  <c r="BE11" i="4"/>
  <c r="BC11" i="4"/>
  <c r="BB11" i="4"/>
  <c r="BA11" i="4"/>
  <c r="AZ11" i="4"/>
  <c r="AX11" i="4"/>
  <c r="AW11" i="4"/>
  <c r="AV11" i="4"/>
  <c r="AU11" i="4"/>
  <c r="AS11" i="4"/>
  <c r="AR11" i="4"/>
  <c r="AQ11" i="4"/>
  <c r="AP11" i="4"/>
  <c r="AN11" i="4"/>
  <c r="AM11" i="4"/>
  <c r="AL11" i="4"/>
  <c r="AK11" i="4"/>
  <c r="AI11" i="4"/>
  <c r="AH11" i="4"/>
  <c r="AG11" i="4"/>
  <c r="AF11" i="4"/>
  <c r="BX10" i="4"/>
  <c r="BS10" i="4"/>
  <c r="BN10" i="4"/>
  <c r="BI10" i="4"/>
  <c r="BD10" i="4"/>
  <c r="AY10" i="4"/>
  <c r="AT10" i="4"/>
  <c r="AO10" i="4"/>
  <c r="AJ10" i="4"/>
  <c r="BX9" i="4"/>
  <c r="BS9" i="4"/>
  <c r="BN9" i="4"/>
  <c r="BI9" i="4"/>
  <c r="BD9" i="4"/>
  <c r="AY9" i="4"/>
  <c r="AT9" i="4"/>
  <c r="AO9" i="4"/>
  <c r="AJ9" i="4"/>
  <c r="BW8" i="4"/>
  <c r="BV8" i="4"/>
  <c r="BU8" i="4"/>
  <c r="BT8" i="4"/>
  <c r="BR8" i="4"/>
  <c r="BQ8" i="4"/>
  <c r="BP8" i="4"/>
  <c r="BO8" i="4"/>
  <c r="BM8" i="4"/>
  <c r="BL8" i="4"/>
  <c r="BK8" i="4"/>
  <c r="BJ8" i="4"/>
  <c r="BH8" i="4"/>
  <c r="BG8" i="4"/>
  <c r="BF8" i="4"/>
  <c r="BE8" i="4"/>
  <c r="BC8" i="4"/>
  <c r="BB8" i="4"/>
  <c r="BA8" i="4"/>
  <c r="AZ8" i="4"/>
  <c r="AX8" i="4"/>
  <c r="AW8" i="4"/>
  <c r="AV8" i="4"/>
  <c r="AU8" i="4"/>
  <c r="AS8" i="4"/>
  <c r="AR8" i="4"/>
  <c r="AQ8" i="4"/>
  <c r="AP8" i="4"/>
  <c r="AN8" i="4"/>
  <c r="AM8" i="4"/>
  <c r="AL8" i="4"/>
  <c r="AK8" i="4"/>
  <c r="AI8" i="4"/>
  <c r="AH8" i="4"/>
  <c r="AG8" i="4"/>
  <c r="AF8" i="4"/>
  <c r="BX7" i="4"/>
  <c r="BS7" i="4"/>
  <c r="BN7" i="4"/>
  <c r="CC50" i="4" s="1"/>
  <c r="BI7" i="4"/>
  <c r="BD7" i="4"/>
  <c r="AY7" i="4"/>
  <c r="AT7" i="4"/>
  <c r="AO7" i="4"/>
  <c r="AJ7" i="4"/>
  <c r="BW6" i="4"/>
  <c r="BV6" i="4"/>
  <c r="BU6" i="4"/>
  <c r="BT6" i="4"/>
  <c r="BR6" i="4"/>
  <c r="BQ6" i="4"/>
  <c r="BP6" i="4"/>
  <c r="BO6" i="4"/>
  <c r="BM6" i="4"/>
  <c r="BL6" i="4"/>
  <c r="BK6" i="4"/>
  <c r="BJ6" i="4"/>
  <c r="BH6" i="4"/>
  <c r="BG6" i="4"/>
  <c r="BF6" i="4"/>
  <c r="BE6" i="4"/>
  <c r="BC6" i="4"/>
  <c r="BB6" i="4"/>
  <c r="BA6" i="4"/>
  <c r="AZ6" i="4"/>
  <c r="AX6" i="4"/>
  <c r="AW6" i="4"/>
  <c r="AV6" i="4"/>
  <c r="AU6" i="4"/>
  <c r="AS6" i="4"/>
  <c r="AR6" i="4"/>
  <c r="AQ6" i="4"/>
  <c r="AP6" i="4"/>
  <c r="AN6" i="4"/>
  <c r="AM6" i="4"/>
  <c r="AL6" i="4"/>
  <c r="AK6" i="4"/>
  <c r="AI6" i="4"/>
  <c r="AH6" i="4"/>
  <c r="AG6" i="4"/>
  <c r="AF6" i="4"/>
  <c r="BX5" i="4"/>
  <c r="BS5" i="4"/>
  <c r="BN5" i="4"/>
  <c r="BI5" i="4"/>
  <c r="BD5" i="4"/>
  <c r="AY5" i="4"/>
  <c r="AT5" i="4"/>
  <c r="AO5" i="4"/>
  <c r="AJ5" i="4"/>
  <c r="BX4" i="4"/>
  <c r="BS4" i="4"/>
  <c r="BN4" i="4"/>
  <c r="BI4" i="4"/>
  <c r="BD4" i="4"/>
  <c r="AY4" i="4"/>
  <c r="AT4" i="4"/>
  <c r="AO4" i="4"/>
  <c r="AJ4" i="4"/>
  <c r="AE46" i="4" s="1"/>
  <c r="DA150" i="3"/>
  <c r="CZ150" i="3"/>
  <c r="CY150" i="3"/>
  <c r="CX150" i="3"/>
  <c r="CV150" i="3"/>
  <c r="CU150" i="3"/>
  <c r="CT150" i="3"/>
  <c r="CS150" i="3"/>
  <c r="CQ150" i="3"/>
  <c r="CP150" i="3"/>
  <c r="CO150" i="3"/>
  <c r="CN150" i="3"/>
  <c r="CL150" i="3"/>
  <c r="CK150" i="3"/>
  <c r="CJ150" i="3"/>
  <c r="CI150" i="3"/>
  <c r="CG150" i="3"/>
  <c r="CF150" i="3"/>
  <c r="BZ150" i="3"/>
  <c r="BY150" i="3"/>
  <c r="BW150" i="3"/>
  <c r="BV150" i="3"/>
  <c r="BU150" i="3"/>
  <c r="BT150" i="3"/>
  <c r="BR150" i="3"/>
  <c r="BQ150" i="3"/>
  <c r="BP150" i="3"/>
  <c r="BO150" i="3"/>
  <c r="BM150" i="3"/>
  <c r="BL150" i="3"/>
  <c r="BK150" i="3"/>
  <c r="BJ150" i="3"/>
  <c r="BH150" i="3"/>
  <c r="BG150" i="3"/>
  <c r="BF150" i="3"/>
  <c r="BE150" i="3"/>
  <c r="BC150" i="3"/>
  <c r="BA150" i="3"/>
  <c r="AZ150" i="3"/>
  <c r="AX150" i="3"/>
  <c r="AW150" i="3"/>
  <c r="AV150" i="3"/>
  <c r="AU150" i="3"/>
  <c r="AR150" i="3"/>
  <c r="AQ150" i="3"/>
  <c r="AP150" i="3"/>
  <c r="AN150" i="3"/>
  <c r="AM150" i="3"/>
  <c r="AL150" i="3"/>
  <c r="AK150" i="3"/>
  <c r="AI150" i="3"/>
  <c r="AH150" i="3"/>
  <c r="AG150" i="3"/>
  <c r="AF150" i="3"/>
  <c r="BW149" i="3"/>
  <c r="BV149" i="3"/>
  <c r="BU149" i="3"/>
  <c r="BT149" i="3"/>
  <c r="BR149" i="3"/>
  <c r="BQ149" i="3"/>
  <c r="BP149" i="3"/>
  <c r="BM149" i="3"/>
  <c r="BL149" i="3"/>
  <c r="BK149" i="3"/>
  <c r="BH149" i="3"/>
  <c r="BG149" i="3"/>
  <c r="BF149" i="3"/>
  <c r="BE149" i="3"/>
  <c r="BC149" i="3"/>
  <c r="BB149" i="3"/>
  <c r="BA149" i="3"/>
  <c r="AX149" i="3"/>
  <c r="AW149" i="3"/>
  <c r="AV149" i="3"/>
  <c r="AS149" i="3"/>
  <c r="AR149" i="3"/>
  <c r="AQ149" i="3"/>
  <c r="AN149" i="3"/>
  <c r="AM149" i="3"/>
  <c r="AL149" i="3"/>
  <c r="AI149" i="3"/>
  <c r="AH149" i="3"/>
  <c r="AG149" i="3"/>
  <c r="CC145" i="3"/>
  <c r="CF145" i="3" s="1"/>
  <c r="CG145" i="3" s="1"/>
  <c r="CH145" i="3" s="1"/>
  <c r="CI145" i="3" s="1"/>
  <c r="CJ145" i="3" s="1"/>
  <c r="CK145" i="3" s="1"/>
  <c r="CL145" i="3" s="1"/>
  <c r="CM145" i="3" s="1"/>
  <c r="CN145" i="3" s="1"/>
  <c r="CO145" i="3" s="1"/>
  <c r="CP145" i="3" s="1"/>
  <c r="CQ145" i="3" s="1"/>
  <c r="CR145" i="3" s="1"/>
  <c r="CS145" i="3" s="1"/>
  <c r="CT145" i="3" s="1"/>
  <c r="CU145" i="3" s="1"/>
  <c r="CV145" i="3" s="1"/>
  <c r="CW145" i="3" s="1"/>
  <c r="CX145" i="3" s="1"/>
  <c r="CY145" i="3" s="1"/>
  <c r="CZ145" i="3" s="1"/>
  <c r="DA145" i="3" s="1"/>
  <c r="DB145" i="3" s="1"/>
  <c r="BX145" i="3"/>
  <c r="BS145" i="3"/>
  <c r="BN145" i="3"/>
  <c r="BI145" i="3"/>
  <c r="BD145" i="3"/>
  <c r="AY145" i="3"/>
  <c r="AT145" i="3"/>
  <c r="AO145" i="3"/>
  <c r="AJ145" i="3"/>
  <c r="BY149" i="3"/>
  <c r="BO149" i="3"/>
  <c r="BJ149" i="3"/>
  <c r="AZ149" i="3"/>
  <c r="AT144" i="3"/>
  <c r="AU149" i="3" s="1"/>
  <c r="AO144" i="3"/>
  <c r="AP149" i="3" s="1"/>
  <c r="AJ144" i="3"/>
  <c r="AK149" i="3" s="1"/>
  <c r="AF149" i="3"/>
  <c r="AT143" i="3"/>
  <c r="AO143" i="3"/>
  <c r="AJ143" i="3"/>
  <c r="BY120" i="3"/>
  <c r="BW120" i="3"/>
  <c r="BX120" i="3" s="1"/>
  <c r="BV120" i="3"/>
  <c r="BU120" i="3"/>
  <c r="BT120" i="3"/>
  <c r="BR120" i="3"/>
  <c r="BS120" i="3" s="1"/>
  <c r="BQ120" i="3"/>
  <c r="BP120" i="3"/>
  <c r="BO120" i="3"/>
  <c r="BM120" i="3"/>
  <c r="BN120" i="3" s="1"/>
  <c r="BL120" i="3"/>
  <c r="BK120" i="3"/>
  <c r="BJ120" i="3"/>
  <c r="BH120" i="3"/>
  <c r="BI120" i="3" s="1"/>
  <c r="BG120" i="3"/>
  <c r="BF120" i="3"/>
  <c r="BE120" i="3"/>
  <c r="BC120" i="3"/>
  <c r="BD120" i="3" s="1"/>
  <c r="BB120" i="3"/>
  <c r="BA120" i="3"/>
  <c r="AZ120" i="3"/>
  <c r="AX120" i="3"/>
  <c r="AY120" i="3" s="1"/>
  <c r="AW120" i="3"/>
  <c r="AV120" i="3"/>
  <c r="AU120" i="3"/>
  <c r="AS120" i="3"/>
  <c r="AT120" i="3" s="1"/>
  <c r="AR120" i="3"/>
  <c r="AQ120" i="3"/>
  <c r="AP120" i="3"/>
  <c r="AN120" i="3"/>
  <c r="AO120" i="3" s="1"/>
  <c r="AM120" i="3"/>
  <c r="AL120" i="3"/>
  <c r="AK120" i="3"/>
  <c r="AI120" i="3"/>
  <c r="AJ120" i="3" s="1"/>
  <c r="AH120" i="3"/>
  <c r="AG120" i="3"/>
  <c r="AF120" i="3"/>
  <c r="BY117" i="3"/>
  <c r="BW117" i="3"/>
  <c r="BV117" i="3"/>
  <c r="BU117" i="3"/>
  <c r="BT117" i="3"/>
  <c r="BR117" i="3"/>
  <c r="BQ117" i="3"/>
  <c r="BP117" i="3"/>
  <c r="BO117" i="3"/>
  <c r="BM117" i="3"/>
  <c r="BL117" i="3"/>
  <c r="BK117" i="3"/>
  <c r="BJ117" i="3"/>
  <c r="BH117" i="3"/>
  <c r="BG117" i="3"/>
  <c r="BF117" i="3"/>
  <c r="BE117" i="3"/>
  <c r="BC117" i="3"/>
  <c r="BB117" i="3"/>
  <c r="BA117" i="3"/>
  <c r="AZ117" i="3"/>
  <c r="AX117" i="3"/>
  <c r="AW117" i="3"/>
  <c r="AV117" i="3"/>
  <c r="AU117" i="3"/>
  <c r="AS117" i="3"/>
  <c r="AR117" i="3"/>
  <c r="AQ117" i="3"/>
  <c r="AP117" i="3"/>
  <c r="AN117" i="3"/>
  <c r="AM117" i="3"/>
  <c r="AL117" i="3"/>
  <c r="AK117" i="3"/>
  <c r="AI117" i="3"/>
  <c r="AH117" i="3"/>
  <c r="AG117" i="3"/>
  <c r="AF117" i="3"/>
  <c r="BY115" i="3"/>
  <c r="BW115" i="3"/>
  <c r="BU115" i="3"/>
  <c r="BT115" i="3"/>
  <c r="BR115" i="3"/>
  <c r="BP115" i="3"/>
  <c r="BO115" i="3"/>
  <c r="BM115" i="3"/>
  <c r="BK115" i="3"/>
  <c r="BJ115" i="3"/>
  <c r="BH115" i="3"/>
  <c r="BF115" i="3"/>
  <c r="BE115" i="3"/>
  <c r="BC115" i="3"/>
  <c r="BB115" i="3"/>
  <c r="BA115" i="3"/>
  <c r="AZ115" i="3"/>
  <c r="AX115" i="3"/>
  <c r="AW115" i="3"/>
  <c r="AV115" i="3"/>
  <c r="AU115" i="3"/>
  <c r="AS115" i="3"/>
  <c r="AR115" i="3"/>
  <c r="AQ115" i="3"/>
  <c r="AP115" i="3"/>
  <c r="AN115" i="3"/>
  <c r="AM115" i="3"/>
  <c r="AL115" i="3"/>
  <c r="AK115" i="3"/>
  <c r="AI115" i="3"/>
  <c r="AH115" i="3"/>
  <c r="AG115" i="3"/>
  <c r="AF115" i="3"/>
  <c r="BY114" i="3"/>
  <c r="BW114" i="3"/>
  <c r="BV114" i="3"/>
  <c r="BU114" i="3"/>
  <c r="BT114" i="3"/>
  <c r="BR114" i="3"/>
  <c r="BQ114" i="3"/>
  <c r="BP114" i="3"/>
  <c r="BO114" i="3"/>
  <c r="BM114" i="3"/>
  <c r="BL114" i="3"/>
  <c r="BK114" i="3"/>
  <c r="BJ114" i="3"/>
  <c r="BH114" i="3"/>
  <c r="BG114" i="3"/>
  <c r="BF114" i="3"/>
  <c r="BE114" i="3"/>
  <c r="BC114" i="3"/>
  <c r="BB114" i="3"/>
  <c r="BA114" i="3"/>
  <c r="AZ114" i="3"/>
  <c r="AX114" i="3"/>
  <c r="AW114" i="3"/>
  <c r="AV114" i="3"/>
  <c r="AU114" i="3"/>
  <c r="AS114" i="3"/>
  <c r="AR114" i="3"/>
  <c r="AQ114" i="3"/>
  <c r="AP114" i="3"/>
  <c r="AN114" i="3"/>
  <c r="AM114" i="3"/>
  <c r="AL114" i="3"/>
  <c r="AK114" i="3"/>
  <c r="AI114" i="3"/>
  <c r="AH114" i="3"/>
  <c r="AG114" i="3"/>
  <c r="AF114" i="3"/>
  <c r="BY109" i="3"/>
  <c r="BY110" i="3" s="1"/>
  <c r="BW109" i="3"/>
  <c r="BW110" i="3" s="1"/>
  <c r="BV109" i="3"/>
  <c r="BV110" i="3" s="1"/>
  <c r="BU109" i="3"/>
  <c r="BU110" i="3" s="1"/>
  <c r="BT109" i="3"/>
  <c r="BT110" i="3" s="1"/>
  <c r="BR109" i="3"/>
  <c r="BR110" i="3" s="1"/>
  <c r="BQ109" i="3"/>
  <c r="BQ110" i="3" s="1"/>
  <c r="BP109" i="3"/>
  <c r="BP110" i="3" s="1"/>
  <c r="BO109" i="3"/>
  <c r="BO110" i="3" s="1"/>
  <c r="BM109" i="3"/>
  <c r="BL109" i="3"/>
  <c r="BL110" i="3" s="1"/>
  <c r="BK109" i="3"/>
  <c r="BK110" i="3" s="1"/>
  <c r="BJ109" i="3"/>
  <c r="BJ110" i="3" s="1"/>
  <c r="BH109" i="3"/>
  <c r="BG109" i="3"/>
  <c r="BG110" i="3" s="1"/>
  <c r="BF109" i="3"/>
  <c r="BF110" i="3" s="1"/>
  <c r="BE109" i="3"/>
  <c r="BE110" i="3" s="1"/>
  <c r="BC109" i="3"/>
  <c r="BC110" i="3" s="1"/>
  <c r="BB109" i="3"/>
  <c r="BB110" i="3" s="1"/>
  <c r="BA109" i="3"/>
  <c r="BA110" i="3" s="1"/>
  <c r="AZ109" i="3"/>
  <c r="AZ110" i="3" s="1"/>
  <c r="AX109" i="3"/>
  <c r="AY109" i="3" s="1"/>
  <c r="AY110" i="3" s="1"/>
  <c r="AW109" i="3"/>
  <c r="AW110" i="3" s="1"/>
  <c r="AV109" i="3"/>
  <c r="AV110" i="3" s="1"/>
  <c r="AU109" i="3"/>
  <c r="AU110" i="3" s="1"/>
  <c r="AS109" i="3"/>
  <c r="AT109" i="3" s="1"/>
  <c r="AR109" i="3"/>
  <c r="AR110" i="3" s="1"/>
  <c r="AQ109" i="3"/>
  <c r="AQ110" i="3" s="1"/>
  <c r="AP109" i="3"/>
  <c r="AP110" i="3" s="1"/>
  <c r="AN109" i="3"/>
  <c r="AM109" i="3"/>
  <c r="AM110" i="3" s="1"/>
  <c r="AL109" i="3"/>
  <c r="AL110" i="3" s="1"/>
  <c r="AK109" i="3"/>
  <c r="AK110" i="3" s="1"/>
  <c r="AI109" i="3"/>
  <c r="AH109" i="3"/>
  <c r="AH110" i="3" s="1"/>
  <c r="AG109" i="3"/>
  <c r="AG110" i="3" s="1"/>
  <c r="AF109" i="3"/>
  <c r="AF110" i="3" s="1"/>
  <c r="BY105" i="3"/>
  <c r="BY106" i="3" s="1"/>
  <c r="BW105" i="3"/>
  <c r="BX105" i="3" s="1"/>
  <c r="BX106" i="3" s="1"/>
  <c r="BV105" i="3"/>
  <c r="BV106" i="3" s="1"/>
  <c r="BU105" i="3"/>
  <c r="BU106" i="3" s="1"/>
  <c r="BT105" i="3"/>
  <c r="BT106" i="3" s="1"/>
  <c r="BR105" i="3"/>
  <c r="BR106" i="3" s="1"/>
  <c r="BQ105" i="3"/>
  <c r="BQ106" i="3" s="1"/>
  <c r="BP105" i="3"/>
  <c r="BP106" i="3" s="1"/>
  <c r="BO105" i="3"/>
  <c r="BO106" i="3" s="1"/>
  <c r="BM105" i="3"/>
  <c r="BM106" i="3" s="1"/>
  <c r="BL105" i="3"/>
  <c r="BL106" i="3" s="1"/>
  <c r="BK105" i="3"/>
  <c r="BK106" i="3" s="1"/>
  <c r="BJ105" i="3"/>
  <c r="BJ106" i="3" s="1"/>
  <c r="BH105" i="3"/>
  <c r="BG105" i="3"/>
  <c r="BG106" i="3" s="1"/>
  <c r="BF105" i="3"/>
  <c r="BF106" i="3" s="1"/>
  <c r="BE105" i="3"/>
  <c r="BE106" i="3" s="1"/>
  <c r="BC105" i="3"/>
  <c r="BC106" i="3" s="1"/>
  <c r="BB105" i="3"/>
  <c r="BB106" i="3" s="1"/>
  <c r="BA105" i="3"/>
  <c r="BA106" i="3" s="1"/>
  <c r="AZ105" i="3"/>
  <c r="AZ106" i="3" s="1"/>
  <c r="AX105" i="3"/>
  <c r="AY105" i="3" s="1"/>
  <c r="AW105" i="3"/>
  <c r="AW106" i="3" s="1"/>
  <c r="AV105" i="3"/>
  <c r="AV106" i="3" s="1"/>
  <c r="AU105" i="3"/>
  <c r="AU106" i="3" s="1"/>
  <c r="AS105" i="3"/>
  <c r="AT105" i="3" s="1"/>
  <c r="AR105" i="3"/>
  <c r="AR106" i="3" s="1"/>
  <c r="AQ105" i="3"/>
  <c r="AQ106" i="3" s="1"/>
  <c r="AP105" i="3"/>
  <c r="AP106" i="3" s="1"/>
  <c r="AN105" i="3"/>
  <c r="AO105" i="3" s="1"/>
  <c r="AM105" i="3"/>
  <c r="AM106" i="3" s="1"/>
  <c r="AL105" i="3"/>
  <c r="AL106" i="3" s="1"/>
  <c r="AK105" i="3"/>
  <c r="AK106" i="3" s="1"/>
  <c r="AI105" i="3"/>
  <c r="AH105" i="3"/>
  <c r="AH106" i="3" s="1"/>
  <c r="AG105" i="3"/>
  <c r="AG106" i="3" s="1"/>
  <c r="AF105" i="3"/>
  <c r="AF106" i="3" s="1"/>
  <c r="BY97" i="3"/>
  <c r="BW97" i="3"/>
  <c r="BV97" i="3"/>
  <c r="BU97" i="3"/>
  <c r="BT97" i="3"/>
  <c r="BR97" i="3"/>
  <c r="BQ97" i="3"/>
  <c r="BP97" i="3"/>
  <c r="BO97" i="3"/>
  <c r="BM97" i="3"/>
  <c r="BL97" i="3"/>
  <c r="BK97" i="3"/>
  <c r="BJ97" i="3"/>
  <c r="BH97" i="3"/>
  <c r="BG97" i="3"/>
  <c r="BF97" i="3"/>
  <c r="BE97" i="3"/>
  <c r="BC97" i="3"/>
  <c r="BB97" i="3"/>
  <c r="BA97" i="3"/>
  <c r="AZ97" i="3"/>
  <c r="AX97" i="3"/>
  <c r="AW97" i="3"/>
  <c r="AV97" i="3"/>
  <c r="AU97" i="3"/>
  <c r="AS97" i="3"/>
  <c r="AR97" i="3"/>
  <c r="AQ97" i="3"/>
  <c r="AP97" i="3"/>
  <c r="AN97" i="3"/>
  <c r="AM97" i="3"/>
  <c r="AL97" i="3"/>
  <c r="AK97" i="3"/>
  <c r="AI97" i="3"/>
  <c r="AH97" i="3"/>
  <c r="AG97" i="3"/>
  <c r="AF97" i="3"/>
  <c r="AZ78" i="3"/>
  <c r="DB74" i="3"/>
  <c r="CW74" i="3"/>
  <c r="CR74" i="3"/>
  <c r="CM74" i="3"/>
  <c r="CH74" i="3"/>
  <c r="CC74" i="3"/>
  <c r="BX74" i="3"/>
  <c r="BS74" i="3"/>
  <c r="BN74" i="3"/>
  <c r="BI74" i="3"/>
  <c r="BD74" i="3"/>
  <c r="AY74" i="3"/>
  <c r="AT74" i="3"/>
  <c r="AO74" i="3"/>
  <c r="AJ74" i="3"/>
  <c r="BX73" i="3"/>
  <c r="BS73" i="3"/>
  <c r="BN73" i="3"/>
  <c r="BI73" i="3"/>
  <c r="BD73" i="3"/>
  <c r="AY73" i="3"/>
  <c r="AT73" i="3"/>
  <c r="AO73" i="3"/>
  <c r="AJ73" i="3"/>
  <c r="AJ72" i="3"/>
  <c r="DB62" i="3"/>
  <c r="CW62" i="3"/>
  <c r="CR62" i="3"/>
  <c r="CM62" i="3"/>
  <c r="CH62" i="3"/>
  <c r="CC62" i="3"/>
  <c r="BX62" i="3"/>
  <c r="BS62" i="3"/>
  <c r="BN62" i="3"/>
  <c r="BI62" i="3"/>
  <c r="BD62" i="3"/>
  <c r="AY62" i="3"/>
  <c r="AT62" i="3"/>
  <c r="AO62" i="3"/>
  <c r="AJ62" i="3"/>
  <c r="BY59" i="3"/>
  <c r="BZ60" i="3" s="1"/>
  <c r="BZ61" i="3" s="1"/>
  <c r="BZ63" i="3" s="1"/>
  <c r="BW59" i="3"/>
  <c r="BV59" i="3"/>
  <c r="BU59" i="3"/>
  <c r="BT59" i="3"/>
  <c r="BR59" i="3"/>
  <c r="BQ59" i="3"/>
  <c r="BP59" i="3"/>
  <c r="BO59" i="3"/>
  <c r="BM59" i="3"/>
  <c r="BL59" i="3"/>
  <c r="BK59" i="3"/>
  <c r="BJ59" i="3"/>
  <c r="BH59" i="3"/>
  <c r="BG59" i="3"/>
  <c r="BF59" i="3"/>
  <c r="BE59" i="3"/>
  <c r="BC59" i="3"/>
  <c r="BB59" i="3"/>
  <c r="BA59" i="3"/>
  <c r="AZ59" i="3"/>
  <c r="AX59" i="3"/>
  <c r="AW59" i="3"/>
  <c r="AV59" i="3"/>
  <c r="AU59" i="3"/>
  <c r="AS59" i="3"/>
  <c r="AR59" i="3"/>
  <c r="AQ59" i="3"/>
  <c r="AP59" i="3"/>
  <c r="AN59" i="3"/>
  <c r="AM59" i="3"/>
  <c r="AL59" i="3"/>
  <c r="AK59" i="3"/>
  <c r="AI59" i="3"/>
  <c r="AH59" i="3"/>
  <c r="AG59" i="3"/>
  <c r="AF59" i="3"/>
  <c r="AF60" i="3" s="1"/>
  <c r="AF61" i="3" s="1"/>
  <c r="AF63" i="3" s="1"/>
  <c r="BY58" i="3"/>
  <c r="BW58" i="3"/>
  <c r="BV58" i="3"/>
  <c r="BU58" i="3"/>
  <c r="BT58" i="3"/>
  <c r="BR58" i="3"/>
  <c r="BQ58" i="3"/>
  <c r="BP58" i="3"/>
  <c r="BO58" i="3"/>
  <c r="BM58" i="3"/>
  <c r="BL58" i="3"/>
  <c r="BK58" i="3"/>
  <c r="BJ58" i="3"/>
  <c r="BH58" i="3"/>
  <c r="BG58" i="3"/>
  <c r="BF58" i="3"/>
  <c r="BE58" i="3"/>
  <c r="BC58" i="3"/>
  <c r="BB58" i="3"/>
  <c r="BA58" i="3"/>
  <c r="AZ58" i="3"/>
  <c r="AX58" i="3"/>
  <c r="AW58" i="3"/>
  <c r="AV58" i="3"/>
  <c r="AU58" i="3"/>
  <c r="AS58" i="3"/>
  <c r="AR58" i="3"/>
  <c r="AQ58" i="3"/>
  <c r="AP58" i="3"/>
  <c r="AN58" i="3"/>
  <c r="AM58" i="3"/>
  <c r="AL58" i="3"/>
  <c r="AK58" i="3"/>
  <c r="AI58" i="3"/>
  <c r="AH58" i="3"/>
  <c r="AG58" i="3"/>
  <c r="AF58" i="3"/>
  <c r="AX56" i="3"/>
  <c r="AW56" i="3"/>
  <c r="AV56" i="3"/>
  <c r="BP54" i="3"/>
  <c r="BM54" i="3"/>
  <c r="BL54" i="3"/>
  <c r="BK54" i="3"/>
  <c r="BJ54" i="3"/>
  <c r="AV54" i="3"/>
  <c r="AS54" i="3"/>
  <c r="AR54" i="3"/>
  <c r="AM54" i="3"/>
  <c r="AF54" i="3"/>
  <c r="BV52" i="3"/>
  <c r="BU52" i="3"/>
  <c r="BF52" i="3"/>
  <c r="BC52" i="3"/>
  <c r="BC53" i="3" s="1"/>
  <c r="AZ52" i="3"/>
  <c r="AZ53" i="3" s="1"/>
  <c r="AW52" i="3"/>
  <c r="AV52" i="3"/>
  <c r="AP52" i="3"/>
  <c r="AM52" i="3"/>
  <c r="AL52" i="3"/>
  <c r="AK52" i="3"/>
  <c r="AI52" i="3"/>
  <c r="AH52" i="3"/>
  <c r="AG52" i="3"/>
  <c r="AF52" i="3"/>
  <c r="BE43" i="3"/>
  <c r="BA43" i="3"/>
  <c r="AT47" i="3"/>
  <c r="AO47" i="3"/>
  <c r="AJ47" i="3"/>
  <c r="AF43" i="3"/>
  <c r="AT46" i="3"/>
  <c r="AO46" i="3"/>
  <c r="AJ46" i="3"/>
  <c r="CC45" i="3"/>
  <c r="CF45" i="3" s="1"/>
  <c r="CG45" i="3" s="1"/>
  <c r="CH45" i="3" s="1"/>
  <c r="CI45" i="3" s="1"/>
  <c r="CJ45" i="3" s="1"/>
  <c r="CK45" i="3" s="1"/>
  <c r="CL45" i="3" s="1"/>
  <c r="CM45" i="3" s="1"/>
  <c r="CN45" i="3" s="1"/>
  <c r="CO45" i="3" s="1"/>
  <c r="CP45" i="3" s="1"/>
  <c r="CQ45" i="3" s="1"/>
  <c r="CR45" i="3" s="1"/>
  <c r="CS45" i="3" s="1"/>
  <c r="CT45" i="3" s="1"/>
  <c r="CU45" i="3" s="1"/>
  <c r="CV45" i="3" s="1"/>
  <c r="CW45" i="3" s="1"/>
  <c r="CX45" i="3" s="1"/>
  <c r="CY45" i="3" s="1"/>
  <c r="CZ45" i="3" s="1"/>
  <c r="DA45" i="3" s="1"/>
  <c r="DB45" i="3" s="1"/>
  <c r="AT45" i="3"/>
  <c r="AO45" i="3"/>
  <c r="AJ45" i="3"/>
  <c r="BX43" i="3"/>
  <c r="BQ43" i="3"/>
  <c r="BL43" i="3"/>
  <c r="BK43" i="3"/>
  <c r="BI43" i="3"/>
  <c r="AZ43" i="3"/>
  <c r="AY43" i="3"/>
  <c r="AV43" i="3"/>
  <c r="AT44" i="3"/>
  <c r="AP43" i="3"/>
  <c r="AM43" i="3"/>
  <c r="AL43" i="3"/>
  <c r="AJ44" i="3"/>
  <c r="AG43" i="3"/>
  <c r="BY43" i="3"/>
  <c r="BW43" i="3"/>
  <c r="BV43" i="3"/>
  <c r="BU43" i="3"/>
  <c r="BT43" i="3"/>
  <c r="BP43" i="3"/>
  <c r="BM43" i="3"/>
  <c r="BJ43" i="3"/>
  <c r="BH43" i="3"/>
  <c r="BG43" i="3"/>
  <c r="AX43" i="3"/>
  <c r="AW43" i="3"/>
  <c r="AU43" i="3"/>
  <c r="AS43" i="3"/>
  <c r="AR43" i="3"/>
  <c r="AK43" i="3"/>
  <c r="AI43" i="3"/>
  <c r="AT42" i="3"/>
  <c r="AO42" i="3"/>
  <c r="AJ42" i="3"/>
  <c r="CC40" i="3"/>
  <c r="CF40" i="3" s="1"/>
  <c r="CG40" i="3" s="1"/>
  <c r="CH40" i="3" s="1"/>
  <c r="CI40" i="3" s="1"/>
  <c r="CJ40" i="3" s="1"/>
  <c r="CK40" i="3" s="1"/>
  <c r="CL40" i="3" s="1"/>
  <c r="CM40" i="3" s="1"/>
  <c r="CN40" i="3" s="1"/>
  <c r="CO40" i="3" s="1"/>
  <c r="CP40" i="3" s="1"/>
  <c r="CQ40" i="3" s="1"/>
  <c r="CR40" i="3" s="1"/>
  <c r="CS40" i="3" s="1"/>
  <c r="CT40" i="3" s="1"/>
  <c r="CU40" i="3" s="1"/>
  <c r="CV40" i="3" s="1"/>
  <c r="CW40" i="3" s="1"/>
  <c r="CX40" i="3" s="1"/>
  <c r="CY40" i="3" s="1"/>
  <c r="CZ40" i="3" s="1"/>
  <c r="DA40" i="3" s="1"/>
  <c r="DB40" i="3" s="1"/>
  <c r="AT40" i="3"/>
  <c r="AO40" i="3"/>
  <c r="DB39" i="3"/>
  <c r="CW39" i="3"/>
  <c r="CR39" i="3"/>
  <c r="CM39" i="3"/>
  <c r="CH39" i="3"/>
  <c r="CC39" i="3"/>
  <c r="AT39" i="3"/>
  <c r="AO39" i="3"/>
  <c r="AJ39" i="3"/>
  <c r="AT38" i="3"/>
  <c r="AO38" i="3"/>
  <c r="AJ38" i="3"/>
  <c r="BY128" i="3"/>
  <c r="BX128" i="3"/>
  <c r="BW128" i="3"/>
  <c r="BV128" i="3"/>
  <c r="BU128" i="3"/>
  <c r="BT128" i="3"/>
  <c r="BQ128" i="3"/>
  <c r="BP128" i="3"/>
  <c r="BO128" i="3"/>
  <c r="BN128" i="3"/>
  <c r="BM128" i="3"/>
  <c r="BL128" i="3"/>
  <c r="BK128" i="3"/>
  <c r="BJ128" i="3"/>
  <c r="BH128" i="3"/>
  <c r="BG128" i="3"/>
  <c r="BE128" i="3"/>
  <c r="BB128" i="3"/>
  <c r="BA128" i="3"/>
  <c r="AZ128" i="3"/>
  <c r="AW128" i="3"/>
  <c r="AV128" i="3"/>
  <c r="AU128" i="3"/>
  <c r="AT37" i="3"/>
  <c r="AT128" i="3" s="1"/>
  <c r="AS128" i="3"/>
  <c r="AR128" i="3"/>
  <c r="AQ128" i="3"/>
  <c r="AP128" i="3"/>
  <c r="AO37" i="3"/>
  <c r="AO128" i="3" s="1"/>
  <c r="AN128" i="3"/>
  <c r="AM128" i="3"/>
  <c r="AL128" i="3"/>
  <c r="AK128" i="3"/>
  <c r="AI128" i="3"/>
  <c r="AH128" i="3"/>
  <c r="AG128" i="3"/>
  <c r="BS111" i="3"/>
  <c r="BR111" i="3"/>
  <c r="BI111" i="3"/>
  <c r="BH111" i="3"/>
  <c r="BG111" i="3"/>
  <c r="BF111" i="3"/>
  <c r="BE111" i="3"/>
  <c r="AO36" i="3"/>
  <c r="AO111" i="3" s="1"/>
  <c r="AJ36" i="3"/>
  <c r="AJ111" i="3" s="1"/>
  <c r="AH111" i="3"/>
  <c r="AG111" i="3"/>
  <c r="AF111" i="3"/>
  <c r="BX114" i="3"/>
  <c r="BS114" i="3"/>
  <c r="BN114" i="3"/>
  <c r="BI114" i="3"/>
  <c r="BD114" i="3"/>
  <c r="AY114" i="3"/>
  <c r="AT35" i="3"/>
  <c r="AT114" i="3" s="1"/>
  <c r="AO35" i="3"/>
  <c r="AO114" i="3" s="1"/>
  <c r="AJ35" i="3"/>
  <c r="AJ114" i="3" s="1"/>
  <c r="AT34" i="3"/>
  <c r="AO34" i="3"/>
  <c r="AJ34" i="3"/>
  <c r="AT33" i="3"/>
  <c r="AO33" i="3"/>
  <c r="AJ33" i="3"/>
  <c r="BX32" i="3"/>
  <c r="BS32" i="3"/>
  <c r="BN32" i="3"/>
  <c r="BI32" i="3"/>
  <c r="BD32" i="3"/>
  <c r="AY32" i="3"/>
  <c r="AT32" i="3"/>
  <c r="AO32" i="3"/>
  <c r="AJ32" i="3"/>
  <c r="BX58" i="3"/>
  <c r="C33" i="9" s="1"/>
  <c r="BS58" i="3"/>
  <c r="BN58" i="3"/>
  <c r="BI58" i="3"/>
  <c r="BD58" i="3"/>
  <c r="AY58" i="3"/>
  <c r="AT31" i="3"/>
  <c r="AT58" i="3" s="1"/>
  <c r="AO31" i="3"/>
  <c r="AO58" i="3" s="1"/>
  <c r="AJ31" i="3"/>
  <c r="AJ58" i="3" s="1"/>
  <c r="CC30" i="3"/>
  <c r="CF30" i="3" s="1"/>
  <c r="CG30" i="3" s="1"/>
  <c r="CH30" i="3" s="1"/>
  <c r="CI30" i="3" s="1"/>
  <c r="CJ30" i="3" s="1"/>
  <c r="CK30" i="3" s="1"/>
  <c r="CL30" i="3" s="1"/>
  <c r="CM30" i="3" s="1"/>
  <c r="CN30" i="3" s="1"/>
  <c r="CO30" i="3" s="1"/>
  <c r="CP30" i="3" s="1"/>
  <c r="CQ30" i="3" s="1"/>
  <c r="CR30" i="3" s="1"/>
  <c r="CS30" i="3" s="1"/>
  <c r="CT30" i="3" s="1"/>
  <c r="CU30" i="3" s="1"/>
  <c r="CV30" i="3" s="1"/>
  <c r="CW30" i="3" s="1"/>
  <c r="CX30" i="3" s="1"/>
  <c r="CY30" i="3" s="1"/>
  <c r="CZ30" i="3" s="1"/>
  <c r="DA30" i="3" s="1"/>
  <c r="DB30" i="3" s="1"/>
  <c r="BW54" i="3"/>
  <c r="BV54" i="3"/>
  <c r="BU54" i="3"/>
  <c r="BT54" i="3"/>
  <c r="BS28" i="3"/>
  <c r="E26" i="12" s="1"/>
  <c r="BR54" i="3"/>
  <c r="BQ54" i="3"/>
  <c r="BL28" i="3"/>
  <c r="BH54" i="3"/>
  <c r="BA54" i="3"/>
  <c r="AZ54" i="3"/>
  <c r="AX54" i="3"/>
  <c r="AW54" i="3"/>
  <c r="AU54" i="3"/>
  <c r="AS28" i="3"/>
  <c r="AN54" i="3"/>
  <c r="AM28" i="3"/>
  <c r="AL54" i="3"/>
  <c r="AK28" i="3"/>
  <c r="AK27" i="3" s="1"/>
  <c r="AJ30" i="3"/>
  <c r="AI54" i="3"/>
  <c r="AG54" i="3"/>
  <c r="BY52" i="3"/>
  <c r="BW52" i="3"/>
  <c r="BW53" i="3" s="1"/>
  <c r="BT52" i="3"/>
  <c r="BT53" i="3" s="1"/>
  <c r="BR52" i="3"/>
  <c r="BQ52" i="3"/>
  <c r="BO52" i="3"/>
  <c r="BM52" i="3"/>
  <c r="BL52" i="3"/>
  <c r="BK52" i="3"/>
  <c r="BJ52" i="3"/>
  <c r="BG52" i="3"/>
  <c r="BE52" i="3"/>
  <c r="BB52" i="3"/>
  <c r="BA52" i="3"/>
  <c r="AX52" i="3"/>
  <c r="AY52" i="3" s="1"/>
  <c r="AV28" i="3"/>
  <c r="AU52" i="3"/>
  <c r="AR52" i="3"/>
  <c r="AR53" i="3" s="1"/>
  <c r="AQ52" i="3"/>
  <c r="AN52" i="3"/>
  <c r="AJ29" i="3"/>
  <c r="BV28" i="3"/>
  <c r="BT28" i="3"/>
  <c r="BR28" i="3"/>
  <c r="BK28" i="3"/>
  <c r="BH28" i="3"/>
  <c r="BA28" i="3"/>
  <c r="AX28" i="3"/>
  <c r="AU28" i="3"/>
  <c r="AN28" i="3"/>
  <c r="AL28" i="3"/>
  <c r="AL27" i="3" s="1"/>
  <c r="AI28" i="3"/>
  <c r="AG28" i="3"/>
  <c r="AF28" i="3"/>
  <c r="AF83" i="3" s="1"/>
  <c r="CC24" i="3"/>
  <c r="CF24" i="3" s="1"/>
  <c r="CG24" i="3" s="1"/>
  <c r="CH24" i="3" s="1"/>
  <c r="CI24" i="3" s="1"/>
  <c r="CJ24" i="3" s="1"/>
  <c r="CK24" i="3" s="1"/>
  <c r="CL24" i="3" s="1"/>
  <c r="CM24" i="3" s="1"/>
  <c r="CN24" i="3" s="1"/>
  <c r="CO24" i="3" s="1"/>
  <c r="CP24" i="3" s="1"/>
  <c r="CQ24" i="3" s="1"/>
  <c r="CR24" i="3" s="1"/>
  <c r="CS24" i="3" s="1"/>
  <c r="CT24" i="3" s="1"/>
  <c r="CU24" i="3" s="1"/>
  <c r="CV24" i="3" s="1"/>
  <c r="CW24" i="3" s="1"/>
  <c r="CX24" i="3" s="1"/>
  <c r="CY24" i="3" s="1"/>
  <c r="CZ24" i="3" s="1"/>
  <c r="DA24" i="3" s="1"/>
  <c r="DB24" i="3" s="1"/>
  <c r="AT24" i="3"/>
  <c r="AO24" i="3"/>
  <c r="AJ24" i="3"/>
  <c r="AT23" i="3"/>
  <c r="AO23" i="3"/>
  <c r="AJ23" i="3"/>
  <c r="CC22" i="3"/>
  <c r="CF22" i="3" s="1"/>
  <c r="CG22" i="3" s="1"/>
  <c r="CH22" i="3" s="1"/>
  <c r="CI22" i="3" s="1"/>
  <c r="CJ22" i="3" s="1"/>
  <c r="CK22" i="3" s="1"/>
  <c r="CL22" i="3" s="1"/>
  <c r="CM22" i="3" s="1"/>
  <c r="CN22" i="3" s="1"/>
  <c r="CO22" i="3" s="1"/>
  <c r="CP22" i="3" s="1"/>
  <c r="CQ22" i="3" s="1"/>
  <c r="CR22" i="3" s="1"/>
  <c r="CS22" i="3" s="1"/>
  <c r="CT22" i="3" s="1"/>
  <c r="CU22" i="3" s="1"/>
  <c r="CV22" i="3" s="1"/>
  <c r="CW22" i="3" s="1"/>
  <c r="CX22" i="3" s="1"/>
  <c r="CY22" i="3" s="1"/>
  <c r="CZ22" i="3" s="1"/>
  <c r="DA22" i="3" s="1"/>
  <c r="DB22" i="3" s="1"/>
  <c r="AT22" i="3"/>
  <c r="AO22" i="3"/>
  <c r="AJ22" i="3"/>
  <c r="BS20" i="3"/>
  <c r="E23" i="12" s="1"/>
  <c r="AT21" i="3"/>
  <c r="AO21" i="3"/>
  <c r="AJ21" i="3"/>
  <c r="BY20" i="3"/>
  <c r="M23" i="12" s="1"/>
  <c r="BX20" i="3"/>
  <c r="F23" i="12" s="1"/>
  <c r="BW20" i="3"/>
  <c r="BV20" i="3"/>
  <c r="BU20" i="3"/>
  <c r="BT20" i="3"/>
  <c r="BR20" i="3"/>
  <c r="BQ20" i="3"/>
  <c r="BP20" i="3"/>
  <c r="BO20" i="3"/>
  <c r="BM20" i="3"/>
  <c r="BL20" i="3"/>
  <c r="BK20" i="3"/>
  <c r="BJ20" i="3"/>
  <c r="BI20" i="3"/>
  <c r="C23" i="12" s="1"/>
  <c r="BH20" i="3"/>
  <c r="BG20" i="3"/>
  <c r="BF20" i="3"/>
  <c r="BE20" i="3"/>
  <c r="BC20" i="3"/>
  <c r="BB20" i="3"/>
  <c r="BA20" i="3"/>
  <c r="AZ20" i="3"/>
  <c r="AX20" i="3"/>
  <c r="AW20" i="3"/>
  <c r="AV20" i="3"/>
  <c r="AU20" i="3"/>
  <c r="AS20" i="3"/>
  <c r="AR20" i="3"/>
  <c r="AQ20" i="3"/>
  <c r="AP20" i="3"/>
  <c r="AN20" i="3"/>
  <c r="AM20" i="3"/>
  <c r="AL20" i="3"/>
  <c r="AK20" i="3"/>
  <c r="AI20" i="3"/>
  <c r="AH20" i="3"/>
  <c r="AG20" i="3"/>
  <c r="AF20" i="3"/>
  <c r="BY124" i="3"/>
  <c r="BV124" i="3"/>
  <c r="BU124" i="3"/>
  <c r="BT124" i="3"/>
  <c r="BQ124" i="3"/>
  <c r="BP124" i="3"/>
  <c r="BO124" i="3"/>
  <c r="BN124" i="3"/>
  <c r="BM124" i="3"/>
  <c r="BL124" i="3"/>
  <c r="BK124" i="3"/>
  <c r="BJ124" i="3"/>
  <c r="BG124" i="3"/>
  <c r="BF124" i="3"/>
  <c r="BE124" i="3"/>
  <c r="BD124" i="3"/>
  <c r="BC124" i="3"/>
  <c r="BB124" i="3"/>
  <c r="BA124" i="3"/>
  <c r="AZ124" i="3"/>
  <c r="AY124" i="3"/>
  <c r="AX124" i="3"/>
  <c r="AW124" i="3"/>
  <c r="AV124" i="3"/>
  <c r="AU124" i="3"/>
  <c r="AR124" i="3"/>
  <c r="AQ124" i="3"/>
  <c r="AP124" i="3"/>
  <c r="AO18" i="3"/>
  <c r="AO124" i="3" s="1"/>
  <c r="AN124" i="3"/>
  <c r="AM124" i="3"/>
  <c r="AL124" i="3"/>
  <c r="AK124" i="3"/>
  <c r="AI124" i="3"/>
  <c r="AH124" i="3"/>
  <c r="AG124" i="3"/>
  <c r="AF124" i="3"/>
  <c r="CC17" i="3"/>
  <c r="CF17" i="3" s="1"/>
  <c r="CG17" i="3" s="1"/>
  <c r="CH17" i="3" s="1"/>
  <c r="CI17" i="3" s="1"/>
  <c r="CJ17" i="3" s="1"/>
  <c r="CK17" i="3" s="1"/>
  <c r="CL17" i="3" s="1"/>
  <c r="CM17" i="3" s="1"/>
  <c r="CN17" i="3" s="1"/>
  <c r="CO17" i="3" s="1"/>
  <c r="CP17" i="3" s="1"/>
  <c r="CQ17" i="3" s="1"/>
  <c r="CR17" i="3" s="1"/>
  <c r="CS17" i="3" s="1"/>
  <c r="CT17" i="3" s="1"/>
  <c r="CU17" i="3" s="1"/>
  <c r="CV17" i="3" s="1"/>
  <c r="CW17" i="3" s="1"/>
  <c r="CX17" i="3" s="1"/>
  <c r="CY17" i="3" s="1"/>
  <c r="CZ17" i="3" s="1"/>
  <c r="DA17" i="3" s="1"/>
  <c r="DB17" i="3" s="1"/>
  <c r="AT17" i="3"/>
  <c r="AO17" i="3"/>
  <c r="AJ17" i="3"/>
  <c r="BY126" i="3"/>
  <c r="BX126" i="3"/>
  <c r="BW126" i="3"/>
  <c r="BV126" i="3"/>
  <c r="BU126" i="3"/>
  <c r="BT126" i="3"/>
  <c r="BS126" i="3"/>
  <c r="BR126" i="3"/>
  <c r="BQ126" i="3"/>
  <c r="BP126" i="3"/>
  <c r="BO126" i="3"/>
  <c r="BL126" i="3"/>
  <c r="BK126" i="3"/>
  <c r="BJ126" i="3"/>
  <c r="BI126" i="3"/>
  <c r="BH126" i="3"/>
  <c r="BG126" i="3"/>
  <c r="BF126" i="3"/>
  <c r="BE126" i="3"/>
  <c r="BC126" i="3"/>
  <c r="BB126" i="3"/>
  <c r="BA126" i="3"/>
  <c r="AZ126" i="3"/>
  <c r="AW126" i="3"/>
  <c r="AV126" i="3"/>
  <c r="AU126" i="3"/>
  <c r="AT16" i="3"/>
  <c r="AT126" i="3" s="1"/>
  <c r="AS126" i="3"/>
  <c r="AR126" i="3"/>
  <c r="AQ126" i="3"/>
  <c r="AP126" i="3"/>
  <c r="AM126" i="3"/>
  <c r="AL126" i="3"/>
  <c r="AK126" i="3"/>
  <c r="AJ16" i="3"/>
  <c r="AJ126" i="3" s="1"/>
  <c r="AI126" i="3"/>
  <c r="AH126" i="3"/>
  <c r="AG126" i="3"/>
  <c r="AF126" i="3"/>
  <c r="AO15" i="3"/>
  <c r="AJ15" i="3"/>
  <c r="BR107" i="3"/>
  <c r="BS107" i="3" s="1"/>
  <c r="AQ12" i="3"/>
  <c r="AQ101" i="3" s="1"/>
  <c r="AP12" i="3"/>
  <c r="AN12" i="3"/>
  <c r="AM12" i="3"/>
  <c r="AL12" i="3"/>
  <c r="AL101" i="3" s="1"/>
  <c r="AY112" i="3"/>
  <c r="AO13" i="3"/>
  <c r="AJ13" i="3"/>
  <c r="BV12" i="3"/>
  <c r="BR12" i="3"/>
  <c r="BQ12" i="3"/>
  <c r="BP12" i="3"/>
  <c r="BO12" i="3"/>
  <c r="BL12" i="3"/>
  <c r="BL101" i="3" s="1"/>
  <c r="BJ12" i="3"/>
  <c r="BF12" i="3"/>
  <c r="BC12" i="3"/>
  <c r="BB12" i="3"/>
  <c r="AZ12" i="3"/>
  <c r="AK12" i="3"/>
  <c r="AK101" i="3" s="1"/>
  <c r="AH12" i="3"/>
  <c r="AT11" i="3"/>
  <c r="AU29" i="2" s="1"/>
  <c r="AO11" i="3"/>
  <c r="AP29" i="2" s="1"/>
  <c r="AJ11" i="3"/>
  <c r="AK29" i="2" s="1"/>
  <c r="BU99" i="3"/>
  <c r="BT99" i="3"/>
  <c r="BR99" i="3"/>
  <c r="BQ99" i="3"/>
  <c r="BP99" i="3"/>
  <c r="BH99" i="3"/>
  <c r="BE99" i="3"/>
  <c r="BC99" i="3"/>
  <c r="BB99" i="3"/>
  <c r="AZ99" i="3"/>
  <c r="AV99" i="3"/>
  <c r="AS99" i="3"/>
  <c r="AR99" i="3"/>
  <c r="AQ99" i="3"/>
  <c r="AP99" i="3"/>
  <c r="AN99" i="3"/>
  <c r="AM8" i="3"/>
  <c r="AL99" i="3"/>
  <c r="AH99" i="3"/>
  <c r="AG99" i="3"/>
  <c r="AF99" i="3"/>
  <c r="BX97" i="3"/>
  <c r="BN97" i="3"/>
  <c r="BI97" i="3"/>
  <c r="BD97" i="3"/>
  <c r="AY97" i="3"/>
  <c r="AT9" i="3"/>
  <c r="AT97" i="3" s="1"/>
  <c r="AO9" i="3"/>
  <c r="AJ9" i="3"/>
  <c r="BT93" i="3"/>
  <c r="BE93" i="3"/>
  <c r="AS8" i="3"/>
  <c r="AQ8" i="3"/>
  <c r="AG8" i="3"/>
  <c r="CC7" i="3"/>
  <c r="CF7" i="3" s="1"/>
  <c r="CG7" i="3" s="1"/>
  <c r="CH7" i="3" s="1"/>
  <c r="CI7" i="3" s="1"/>
  <c r="CJ7" i="3" s="1"/>
  <c r="CK7" i="3" s="1"/>
  <c r="CL7" i="3" s="1"/>
  <c r="CM7" i="3" s="1"/>
  <c r="CN7" i="3" s="1"/>
  <c r="CO7" i="3" s="1"/>
  <c r="CP7" i="3" s="1"/>
  <c r="CQ7" i="3" s="1"/>
  <c r="CR7" i="3" s="1"/>
  <c r="CS7" i="3" s="1"/>
  <c r="CT7" i="3" s="1"/>
  <c r="CU7" i="3" s="1"/>
  <c r="CV7" i="3" s="1"/>
  <c r="CW7" i="3" s="1"/>
  <c r="CX7" i="3" s="1"/>
  <c r="CY7" i="3" s="1"/>
  <c r="CZ7" i="3" s="1"/>
  <c r="DA7" i="3" s="1"/>
  <c r="DB7" i="3" s="1"/>
  <c r="AT7" i="3"/>
  <c r="AO7" i="3"/>
  <c r="AJ7" i="3"/>
  <c r="BW56" i="3"/>
  <c r="BR56" i="3"/>
  <c r="BL56" i="3"/>
  <c r="BH56" i="3"/>
  <c r="BB56" i="3"/>
  <c r="AS56" i="3"/>
  <c r="AO6" i="3"/>
  <c r="AN56" i="3"/>
  <c r="CJ118" i="2"/>
  <c r="BC111" i="2"/>
  <c r="BY109" i="2"/>
  <c r="BY110" i="2" s="1"/>
  <c r="BW109" i="2"/>
  <c r="BV109" i="2"/>
  <c r="BV110" i="2" s="1"/>
  <c r="BU109" i="2"/>
  <c r="BU110" i="2" s="1"/>
  <c r="BT109" i="2"/>
  <c r="BT110" i="2" s="1"/>
  <c r="BR109" i="2"/>
  <c r="BR110" i="2" s="1"/>
  <c r="BQ109" i="2"/>
  <c r="BQ110" i="2" s="1"/>
  <c r="BP109" i="2"/>
  <c r="BP110" i="2" s="1"/>
  <c r="BO109" i="2"/>
  <c r="BO110" i="2" s="1"/>
  <c r="BM109" i="2"/>
  <c r="BN109" i="2" s="1"/>
  <c r="BN110" i="2" s="1"/>
  <c r="BL109" i="2"/>
  <c r="BL110" i="2" s="1"/>
  <c r="BK109" i="2"/>
  <c r="BK110" i="2" s="1"/>
  <c r="BJ109" i="2"/>
  <c r="BJ110" i="2" s="1"/>
  <c r="BH109" i="2"/>
  <c r="BG109" i="2"/>
  <c r="BG110" i="2" s="1"/>
  <c r="BF109" i="2"/>
  <c r="BF110" i="2" s="1"/>
  <c r="BE109" i="2"/>
  <c r="BE110" i="2" s="1"/>
  <c r="BC109" i="2"/>
  <c r="BC110" i="2" s="1"/>
  <c r="BB109" i="2"/>
  <c r="BB110" i="2" s="1"/>
  <c r="BA109" i="2"/>
  <c r="BA110" i="2" s="1"/>
  <c r="AZ109" i="2"/>
  <c r="AZ110" i="2" s="1"/>
  <c r="AX109" i="2"/>
  <c r="AW109" i="2"/>
  <c r="AW110" i="2" s="1"/>
  <c r="AV109" i="2"/>
  <c r="AV110" i="2" s="1"/>
  <c r="AU109" i="2"/>
  <c r="AU110" i="2" s="1"/>
  <c r="AS109" i="2"/>
  <c r="AS110" i="2" s="1"/>
  <c r="AR109" i="2"/>
  <c r="AR110" i="2" s="1"/>
  <c r="AQ109" i="2"/>
  <c r="AQ110" i="2" s="1"/>
  <c r="AP109" i="2"/>
  <c r="AP110" i="2" s="1"/>
  <c r="AN109" i="2"/>
  <c r="AO109" i="2" s="1"/>
  <c r="AM109" i="2"/>
  <c r="AM110" i="2" s="1"/>
  <c r="AL109" i="2"/>
  <c r="AL110" i="2" s="1"/>
  <c r="AK109" i="2"/>
  <c r="AK110" i="2" s="1"/>
  <c r="AI109" i="2"/>
  <c r="AI110" i="2" s="1"/>
  <c r="AH109" i="2"/>
  <c r="AH110" i="2" s="1"/>
  <c r="AG109" i="2"/>
  <c r="AG110" i="2" s="1"/>
  <c r="AF109" i="2"/>
  <c r="AF110" i="2" s="1"/>
  <c r="AT108" i="2"/>
  <c r="AO108" i="2"/>
  <c r="AJ108" i="2"/>
  <c r="AT107" i="2"/>
  <c r="AO107" i="2"/>
  <c r="AJ107" i="2"/>
  <c r="BF101" i="2"/>
  <c r="BX99" i="2"/>
  <c r="BX100" i="2" s="1"/>
  <c r="BS99" i="2"/>
  <c r="BS100" i="2" s="1"/>
  <c r="BN99" i="2"/>
  <c r="BN100" i="2" s="1"/>
  <c r="BI99" i="2"/>
  <c r="BI100" i="2" s="1"/>
  <c r="BD99" i="2"/>
  <c r="BD100" i="2" s="1"/>
  <c r="AY99" i="2"/>
  <c r="AY100" i="2" s="1"/>
  <c r="AT99" i="2"/>
  <c r="AT100" i="2" s="1"/>
  <c r="AO99" i="2"/>
  <c r="AO100" i="2" s="1"/>
  <c r="AJ99" i="2"/>
  <c r="AJ100" i="2" s="1"/>
  <c r="CF98" i="2"/>
  <c r="CG98" i="2" s="1"/>
  <c r="CI98" i="2" s="1"/>
  <c r="CJ98" i="2" s="1"/>
  <c r="CK98" i="2" s="1"/>
  <c r="CL98" i="2" s="1"/>
  <c r="CN98" i="2" s="1"/>
  <c r="CO98" i="2" s="1"/>
  <c r="CP98" i="2" s="1"/>
  <c r="CQ98" i="2" s="1"/>
  <c r="CS98" i="2" s="1"/>
  <c r="CT98" i="2" s="1"/>
  <c r="CU98" i="2" s="1"/>
  <c r="CV98" i="2" s="1"/>
  <c r="CX98" i="2" s="1"/>
  <c r="CY98" i="2" s="1"/>
  <c r="CZ98" i="2" s="1"/>
  <c r="DA98" i="2" s="1"/>
  <c r="BY95" i="2"/>
  <c r="BV95" i="2"/>
  <c r="BU95" i="2"/>
  <c r="BT95" i="2"/>
  <c r="BQ95" i="2"/>
  <c r="BP95" i="2"/>
  <c r="BO95" i="2"/>
  <c r="BL95" i="2"/>
  <c r="BK95" i="2"/>
  <c r="BJ95" i="2"/>
  <c r="BG95" i="2"/>
  <c r="BF95" i="2"/>
  <c r="BE95" i="2"/>
  <c r="BB95" i="2"/>
  <c r="BA95" i="2"/>
  <c r="AZ95" i="2"/>
  <c r="AW95" i="2"/>
  <c r="AV95" i="2"/>
  <c r="AU95" i="2"/>
  <c r="AR95" i="2"/>
  <c r="AQ95" i="2"/>
  <c r="AP95" i="2"/>
  <c r="AM95" i="2"/>
  <c r="AL95" i="2"/>
  <c r="AK95" i="2"/>
  <c r="AH95" i="2"/>
  <c r="AG95" i="2"/>
  <c r="AF95" i="2"/>
  <c r="AY94" i="2"/>
  <c r="AT94" i="2"/>
  <c r="AO94" i="2"/>
  <c r="BY80" i="2"/>
  <c r="BT80" i="2"/>
  <c r="BO80" i="2"/>
  <c r="BL80" i="2"/>
  <c r="BK80" i="2"/>
  <c r="BJ80" i="2"/>
  <c r="BG80" i="2"/>
  <c r="BF80" i="2"/>
  <c r="BE80" i="2"/>
  <c r="BB80" i="2"/>
  <c r="BA80" i="2"/>
  <c r="AZ80" i="2"/>
  <c r="AW80" i="2"/>
  <c r="AV80" i="2"/>
  <c r="AU80" i="2"/>
  <c r="AR80" i="2"/>
  <c r="AQ80" i="2"/>
  <c r="AP80" i="2"/>
  <c r="AM80" i="2"/>
  <c r="AL80" i="2"/>
  <c r="AK80" i="2"/>
  <c r="AH80" i="2"/>
  <c r="AG80" i="2"/>
  <c r="AF80" i="2"/>
  <c r="AL79" i="2"/>
  <c r="BY72" i="2"/>
  <c r="M20" i="12" s="1"/>
  <c r="BV72" i="2"/>
  <c r="BU72" i="2"/>
  <c r="BT72" i="2"/>
  <c r="BR72" i="2"/>
  <c r="BQ72" i="2"/>
  <c r="BP72" i="2"/>
  <c r="BO72" i="2"/>
  <c r="BM72" i="2"/>
  <c r="BL72" i="2"/>
  <c r="BK72" i="2"/>
  <c r="BJ72" i="2"/>
  <c r="BG72" i="2"/>
  <c r="BF72" i="2"/>
  <c r="BE72" i="2"/>
  <c r="BB72" i="2"/>
  <c r="BA72" i="2"/>
  <c r="AZ72" i="2"/>
  <c r="AY72" i="2"/>
  <c r="AX72" i="2"/>
  <c r="AW72" i="2"/>
  <c r="AV72" i="2"/>
  <c r="AU72" i="2"/>
  <c r="AR72" i="2"/>
  <c r="AQ72" i="2"/>
  <c r="AP72" i="2"/>
  <c r="AN72" i="2"/>
  <c r="AM72" i="2"/>
  <c r="AL72" i="2"/>
  <c r="AK72" i="2"/>
  <c r="AH72" i="2"/>
  <c r="AG72" i="2"/>
  <c r="AF72" i="2"/>
  <c r="BY71" i="2"/>
  <c r="BV71" i="2"/>
  <c r="BU71" i="2"/>
  <c r="BT71" i="2"/>
  <c r="BQ71" i="2"/>
  <c r="BP71" i="2"/>
  <c r="BO71" i="2"/>
  <c r="BL71" i="2"/>
  <c r="BK71" i="2"/>
  <c r="BJ71" i="2"/>
  <c r="BG71" i="2"/>
  <c r="BF71" i="2"/>
  <c r="BE71" i="2"/>
  <c r="BA71" i="2"/>
  <c r="AZ71" i="2"/>
  <c r="AY71" i="2"/>
  <c r="AX71" i="2"/>
  <c r="AW71" i="2"/>
  <c r="AV71" i="2"/>
  <c r="AU71" i="2"/>
  <c r="AR71" i="2"/>
  <c r="AQ71" i="2"/>
  <c r="AP71" i="2"/>
  <c r="AM71" i="2"/>
  <c r="AL71" i="2"/>
  <c r="AK71" i="2"/>
  <c r="AI71" i="2"/>
  <c r="AH71" i="2"/>
  <c r="AG71" i="2"/>
  <c r="AF71" i="2"/>
  <c r="BY69" i="2"/>
  <c r="BW69" i="2"/>
  <c r="BV69" i="2"/>
  <c r="BU69" i="2"/>
  <c r="BT69" i="2"/>
  <c r="BR69" i="2"/>
  <c r="BQ69" i="2"/>
  <c r="BP69" i="2"/>
  <c r="BO69" i="2"/>
  <c r="BL69" i="2"/>
  <c r="BK69" i="2"/>
  <c r="BJ69" i="2"/>
  <c r="BH69" i="2"/>
  <c r="BG69" i="2"/>
  <c r="BF69" i="2"/>
  <c r="BE69" i="2"/>
  <c r="BA69" i="2"/>
  <c r="AZ69" i="2"/>
  <c r="AV69" i="2"/>
  <c r="AU69" i="2"/>
  <c r="AR69" i="2"/>
  <c r="AQ69" i="2"/>
  <c r="AP69" i="2"/>
  <c r="AK69" i="2"/>
  <c r="AH69" i="2"/>
  <c r="BY68" i="2"/>
  <c r="BT68" i="2"/>
  <c r="BO68" i="2"/>
  <c r="BJ68" i="2"/>
  <c r="BE68" i="2"/>
  <c r="AZ68" i="2"/>
  <c r="AU68" i="2"/>
  <c r="AQ68" i="2"/>
  <c r="AP68" i="2"/>
  <c r="AK68" i="2"/>
  <c r="AF68" i="2"/>
  <c r="BY67" i="2"/>
  <c r="BA67" i="2"/>
  <c r="AZ67" i="2"/>
  <c r="AQ67" i="2"/>
  <c r="AZ121" i="3"/>
  <c r="BK60" i="2"/>
  <c r="AG60" i="2"/>
  <c r="AM59" i="2"/>
  <c r="BX53" i="2"/>
  <c r="BI53" i="2"/>
  <c r="AT55" i="2"/>
  <c r="AO55" i="2"/>
  <c r="AO53" i="2" s="1"/>
  <c r="BV53" i="2"/>
  <c r="BU53" i="2"/>
  <c r="BT53" i="2"/>
  <c r="BH53" i="2"/>
  <c r="BG53" i="2"/>
  <c r="BE53" i="2"/>
  <c r="BD53" i="2"/>
  <c r="BC53" i="2"/>
  <c r="DB50" i="2"/>
  <c r="CW50" i="2"/>
  <c r="CR50" i="2"/>
  <c r="CM50" i="2"/>
  <c r="CH50" i="2"/>
  <c r="BW50" i="2"/>
  <c r="BV50" i="2"/>
  <c r="BK50" i="2"/>
  <c r="BJ50" i="2"/>
  <c r="BH50" i="2"/>
  <c r="AW50" i="2"/>
  <c r="AV50" i="2"/>
  <c r="AS50" i="2"/>
  <c r="AH50" i="2"/>
  <c r="AG50" i="2"/>
  <c r="BX49" i="2"/>
  <c r="BS49" i="2"/>
  <c r="BN49" i="2"/>
  <c r="BI49" i="2"/>
  <c r="BD49" i="2"/>
  <c r="AY49" i="2"/>
  <c r="AT49" i="2"/>
  <c r="AO49" i="2"/>
  <c r="AJ49" i="2"/>
  <c r="BN53" i="2"/>
  <c r="AX50" i="2"/>
  <c r="AW53" i="2"/>
  <c r="AT48" i="2"/>
  <c r="AU50" i="2"/>
  <c r="AJ48" i="2"/>
  <c r="AI50" i="2"/>
  <c r="BW72" i="2"/>
  <c r="BS72" i="2"/>
  <c r="E20" i="12" s="1"/>
  <c r="BN72" i="2"/>
  <c r="D20" i="12" s="1"/>
  <c r="AT43" i="2"/>
  <c r="AT72" i="2" s="1"/>
  <c r="AS72" i="2"/>
  <c r="AO43" i="2"/>
  <c r="AO72" i="2" s="1"/>
  <c r="AJ43" i="2"/>
  <c r="AJ72" i="2" s="1"/>
  <c r="AI72" i="2"/>
  <c r="AO40" i="2"/>
  <c r="AJ40" i="2"/>
  <c r="AT38" i="2"/>
  <c r="DB36" i="2"/>
  <c r="CW36" i="2"/>
  <c r="CR36" i="2"/>
  <c r="CM36" i="2"/>
  <c r="CH36" i="2"/>
  <c r="CC36" i="2"/>
  <c r="BX36" i="2"/>
  <c r="BX150" i="3" s="1"/>
  <c r="BS36" i="2"/>
  <c r="BS150" i="3" s="1"/>
  <c r="BN36" i="2"/>
  <c r="BN69" i="2" s="1"/>
  <c r="BI36" i="2"/>
  <c r="BD36" i="2"/>
  <c r="AY36" i="2"/>
  <c r="AT36" i="2"/>
  <c r="AO36" i="2"/>
  <c r="AJ36" i="2"/>
  <c r="BZ69" i="2"/>
  <c r="BM69" i="2"/>
  <c r="BC69" i="2"/>
  <c r="AX69" i="2"/>
  <c r="AW69" i="2"/>
  <c r="AS69" i="2"/>
  <c r="AN69" i="2"/>
  <c r="AM69" i="2"/>
  <c r="AL69" i="2"/>
  <c r="AG69" i="2"/>
  <c r="AF69" i="2"/>
  <c r="DB33" i="2"/>
  <c r="CW33" i="2"/>
  <c r="CR33" i="2"/>
  <c r="CM33" i="2"/>
  <c r="CH33" i="2"/>
  <c r="CC33" i="2"/>
  <c r="AT33" i="2"/>
  <c r="AS150" i="3"/>
  <c r="AO33" i="2"/>
  <c r="AJ33" i="2"/>
  <c r="AJ32" i="2"/>
  <c r="BK30" i="2"/>
  <c r="AI30" i="2"/>
  <c r="BE30" i="2"/>
  <c r="AR30" i="2"/>
  <c r="AH30" i="2"/>
  <c r="AG30" i="2"/>
  <c r="AF30" i="2"/>
  <c r="BX28" i="2"/>
  <c r="BX29" i="2" s="1"/>
  <c r="BN28" i="2"/>
  <c r="BN29" i="2" s="1"/>
  <c r="BI28" i="2"/>
  <c r="BI29" i="2" s="1"/>
  <c r="AT26" i="2"/>
  <c r="BO67" i="2"/>
  <c r="BL67" i="2"/>
  <c r="BK67" i="2"/>
  <c r="BJ67" i="2"/>
  <c r="BG23" i="2"/>
  <c r="BF67" i="2"/>
  <c r="BA23" i="2"/>
  <c r="AZ23" i="2"/>
  <c r="AW67" i="2"/>
  <c r="AV67" i="2"/>
  <c r="AU67" i="2"/>
  <c r="AR67" i="2"/>
  <c r="AP67" i="2"/>
  <c r="AM67" i="2"/>
  <c r="BY23" i="2"/>
  <c r="BO23" i="2"/>
  <c r="BM23" i="2"/>
  <c r="BL23" i="2"/>
  <c r="BK23" i="2"/>
  <c r="BJ23" i="2"/>
  <c r="BF23" i="2"/>
  <c r="AW23" i="2"/>
  <c r="AU23" i="2"/>
  <c r="AS23" i="2"/>
  <c r="AR23" i="2"/>
  <c r="AQ23" i="2"/>
  <c r="AP23" i="2"/>
  <c r="BT62" i="2"/>
  <c r="BE62" i="2"/>
  <c r="AH62" i="2"/>
  <c r="AG62" i="2"/>
  <c r="AF62" i="2"/>
  <c r="CQ20" i="2"/>
  <c r="CV20" i="2" s="1"/>
  <c r="CP20" i="2"/>
  <c r="CT20" i="2"/>
  <c r="AP20" i="2"/>
  <c r="AK20" i="2"/>
  <c r="AM19" i="2"/>
  <c r="AO18" i="2"/>
  <c r="AJ18" i="2"/>
  <c r="BY15" i="2"/>
  <c r="CF15" i="2" s="1"/>
  <c r="CG15" i="2" s="1"/>
  <c r="CI15" i="2" s="1"/>
  <c r="CJ15" i="2" s="1"/>
  <c r="CK15" i="2" s="1"/>
  <c r="CL15" i="2" s="1"/>
  <c r="CN15" i="2" s="1"/>
  <c r="CO15" i="2" s="1"/>
  <c r="CP15" i="2" s="1"/>
  <c r="CQ15" i="2" s="1"/>
  <c r="CS15" i="2" s="1"/>
  <c r="CT15" i="2" s="1"/>
  <c r="CU15" i="2" s="1"/>
  <c r="CV15" i="2" s="1"/>
  <c r="CX15" i="2" s="1"/>
  <c r="CY15" i="2" s="1"/>
  <c r="CZ15" i="2" s="1"/>
  <c r="DA15" i="2" s="1"/>
  <c r="BT15" i="2"/>
  <c r="BO15" i="2"/>
  <c r="BL15" i="2"/>
  <c r="BK15" i="2"/>
  <c r="BJ15" i="2"/>
  <c r="BI15" i="2"/>
  <c r="BH15" i="2"/>
  <c r="BG15" i="2"/>
  <c r="BF15" i="2"/>
  <c r="BE15" i="2"/>
  <c r="BB15" i="2"/>
  <c r="BA15" i="2"/>
  <c r="AZ15" i="2"/>
  <c r="AW15" i="2"/>
  <c r="AV15" i="2"/>
  <c r="AU15" i="2"/>
  <c r="AR15" i="2"/>
  <c r="AQ15" i="2"/>
  <c r="AP15" i="2"/>
  <c r="AM15" i="2"/>
  <c r="AL15" i="2"/>
  <c r="AK15" i="2"/>
  <c r="AI15" i="2"/>
  <c r="AH15" i="2"/>
  <c r="AG15" i="2"/>
  <c r="AF15" i="2"/>
  <c r="AT14" i="2"/>
  <c r="AO14" i="2"/>
  <c r="AJ14" i="2"/>
  <c r="BP68" i="2"/>
  <c r="BK68" i="2"/>
  <c r="BA68" i="2"/>
  <c r="AL68" i="2"/>
  <c r="AH68" i="2"/>
  <c r="AG68" i="2"/>
  <c r="AP12" i="2"/>
  <c r="AG12" i="2"/>
  <c r="BK12" i="2"/>
  <c r="BK10" i="2"/>
  <c r="AP10" i="2"/>
  <c r="AL10" i="2"/>
  <c r="AK10" i="2"/>
  <c r="AG10" i="2"/>
  <c r="AT7" i="2"/>
  <c r="AO7" i="2"/>
  <c r="AJ7" i="2"/>
  <c r="BI80" i="2"/>
  <c r="AT6" i="2"/>
  <c r="AO6" i="2"/>
  <c r="AN41" i="4"/>
  <c r="AZ35" i="4"/>
  <c r="AW4" i="2"/>
  <c r="AM35" i="4"/>
  <c r="AH35" i="4"/>
  <c r="AG35" i="4"/>
  <c r="BY4" i="2"/>
  <c r="BT4" i="2"/>
  <c r="BL4" i="2"/>
  <c r="BK4" i="2"/>
  <c r="BG4" i="2"/>
  <c r="BF4" i="2"/>
  <c r="BE4" i="2"/>
  <c r="AZ4" i="2"/>
  <c r="AV4" i="2"/>
  <c r="AU4" i="2"/>
  <c r="AR4" i="2"/>
  <c r="AQ4" i="2"/>
  <c r="AP4" i="2"/>
  <c r="AM4" i="2"/>
  <c r="AI4" i="2"/>
  <c r="AH4" i="2"/>
  <c r="AG4" i="2"/>
  <c r="F3" i="1"/>
  <c r="E3" i="1"/>
  <c r="D3" i="1"/>
  <c r="C3" i="1"/>
  <c r="B3" i="1"/>
  <c r="CK118" i="2" l="1"/>
  <c r="CL118" i="2" s="1"/>
  <c r="CO118" i="2" s="1"/>
  <c r="CP118" i="2" s="1"/>
  <c r="CQ118" i="2" s="1"/>
  <c r="CT118" i="2" s="1"/>
  <c r="CU118" i="2" s="1"/>
  <c r="CV118" i="2" s="1"/>
  <c r="CX118" i="2" s="1"/>
  <c r="CY118" i="2" s="1"/>
  <c r="CZ118" i="2" s="1"/>
  <c r="DA118" i="2" s="1"/>
  <c r="AY34" i="4"/>
  <c r="AL20" i="2"/>
  <c r="BT20" i="2"/>
  <c r="CB49" i="4"/>
  <c r="CC11" i="3" s="1"/>
  <c r="CF11" i="3" s="1"/>
  <c r="CG11" i="3" s="1"/>
  <c r="CH11" i="3" s="1"/>
  <c r="BA20" i="2"/>
  <c r="AO115" i="3"/>
  <c r="AO34" i="4"/>
  <c r="AT115" i="3"/>
  <c r="AT34" i="4"/>
  <c r="BG115" i="3"/>
  <c r="BD34" i="4"/>
  <c r="BI115" i="3"/>
  <c r="BI34" i="4"/>
  <c r="BQ115" i="3"/>
  <c r="BN34" i="4"/>
  <c r="BS115" i="3"/>
  <c r="BS127" i="3" s="1"/>
  <c r="BS34" i="4"/>
  <c r="CA115" i="3"/>
  <c r="CA116" i="3" s="1"/>
  <c r="BX34" i="4"/>
  <c r="AM14" i="4"/>
  <c r="AM33" i="4" s="1"/>
  <c r="BB20" i="2"/>
  <c r="BC18" i="4"/>
  <c r="BU127" i="3"/>
  <c r="BB127" i="3"/>
  <c r="BU60" i="3"/>
  <c r="BU61" i="3" s="1"/>
  <c r="BU63" i="3" s="1"/>
  <c r="BU14" i="4"/>
  <c r="BU33" i="4" s="1"/>
  <c r="AZ20" i="2"/>
  <c r="AF96" i="2"/>
  <c r="BK129" i="3"/>
  <c r="AL18" i="4"/>
  <c r="BD46" i="4"/>
  <c r="AT106" i="3"/>
  <c r="AM96" i="2"/>
  <c r="AM97" i="2" s="1"/>
  <c r="AG129" i="3"/>
  <c r="AO80" i="2"/>
  <c r="BT83" i="3"/>
  <c r="AM60" i="3"/>
  <c r="AM61" i="3" s="1"/>
  <c r="AM63" i="3" s="1"/>
  <c r="BQ60" i="3"/>
  <c r="BQ61" i="3" s="1"/>
  <c r="BQ63" i="3" s="1"/>
  <c r="BV115" i="3"/>
  <c r="BV116" i="3" s="1"/>
  <c r="AL96" i="2"/>
  <c r="AL97" i="2" s="1"/>
  <c r="AW20" i="2"/>
  <c r="AH116" i="3"/>
  <c r="BN115" i="3"/>
  <c r="BM60" i="3"/>
  <c r="BM61" i="3" s="1"/>
  <c r="BM63" i="3" s="1"/>
  <c r="BL20" i="2"/>
  <c r="BR79" i="3"/>
  <c r="BP129" i="3"/>
  <c r="AM20" i="4"/>
  <c r="AM20" i="2"/>
  <c r="AV96" i="2"/>
  <c r="AV97" i="2" s="1"/>
  <c r="BK20" i="2"/>
  <c r="BE129" i="3"/>
  <c r="BU129" i="3"/>
  <c r="AV20" i="2"/>
  <c r="AY106" i="3"/>
  <c r="BP79" i="3"/>
  <c r="AO49" i="4"/>
  <c r="AQ39" i="4"/>
  <c r="AQ111" i="2" s="1"/>
  <c r="AR34" i="4"/>
  <c r="BF39" i="4"/>
  <c r="BF111" i="2" s="1"/>
  <c r="BF112" i="2" s="1"/>
  <c r="BG34" i="4"/>
  <c r="BU39" i="4"/>
  <c r="BU111" i="2" s="1"/>
  <c r="BU112" i="2" s="1"/>
  <c r="BV34" i="4"/>
  <c r="AR39" i="4"/>
  <c r="AR111" i="2" s="1"/>
  <c r="AR112" i="2" s="1"/>
  <c r="AS34" i="4"/>
  <c r="BG39" i="4"/>
  <c r="BG111" i="2" s="1"/>
  <c r="BH34" i="4"/>
  <c r="BV39" i="4"/>
  <c r="BV111" i="2" s="1"/>
  <c r="BV112" i="2" s="1"/>
  <c r="BW34" i="4"/>
  <c r="AT80" i="2"/>
  <c r="AV39" i="4"/>
  <c r="AV111" i="2" s="1"/>
  <c r="AV112" i="2" s="1"/>
  <c r="AW34" i="4"/>
  <c r="BK39" i="4"/>
  <c r="BK111" i="2" s="1"/>
  <c r="BK112" i="2" s="1"/>
  <c r="BL34" i="4"/>
  <c r="BZ39" i="4"/>
  <c r="BZ111" i="2" s="1"/>
  <c r="AN60" i="3"/>
  <c r="AN61" i="3" s="1"/>
  <c r="AN63" i="3" s="1"/>
  <c r="AW39" i="4"/>
  <c r="AW111" i="2" s="1"/>
  <c r="AW112" i="2" s="1"/>
  <c r="AX34" i="4"/>
  <c r="BL39" i="4"/>
  <c r="BL111" i="2" s="1"/>
  <c r="BM34" i="4"/>
  <c r="AQ60" i="3"/>
  <c r="AQ61" i="3" s="1"/>
  <c r="AQ63" i="3" s="1"/>
  <c r="BF60" i="3"/>
  <c r="BF61" i="3" s="1"/>
  <c r="BF63" i="3" s="1"/>
  <c r="AR60" i="3"/>
  <c r="AR61" i="3" s="1"/>
  <c r="AR63" i="3" s="1"/>
  <c r="AL39" i="4"/>
  <c r="AL111" i="2" s="1"/>
  <c r="AL112" i="2" s="1"/>
  <c r="AL34" i="4"/>
  <c r="BA39" i="4"/>
  <c r="BA111" i="2" s="1"/>
  <c r="BA112" i="2" s="1"/>
  <c r="BB34" i="4"/>
  <c r="BP39" i="4"/>
  <c r="BP111" i="2" s="1"/>
  <c r="BP112" i="2" s="1"/>
  <c r="BQ34" i="4"/>
  <c r="AM39" i="4"/>
  <c r="AM111" i="2" s="1"/>
  <c r="AM112" i="2" s="1"/>
  <c r="AM34" i="4"/>
  <c r="BB39" i="4"/>
  <c r="BB111" i="2" s="1"/>
  <c r="BC34" i="4"/>
  <c r="BQ39" i="4"/>
  <c r="BQ111" i="2" s="1"/>
  <c r="BR34" i="4"/>
  <c r="BX149" i="3"/>
  <c r="BA49" i="4"/>
  <c r="BP49" i="4"/>
  <c r="AN39" i="4"/>
  <c r="AN111" i="2" s="1"/>
  <c r="AO111" i="2" s="1"/>
  <c r="AN34" i="4"/>
  <c r="AO116" i="3"/>
  <c r="BJ49" i="4"/>
  <c r="BY49" i="4"/>
  <c r="AT49" i="4"/>
  <c r="BQ125" i="3"/>
  <c r="AG83" i="3"/>
  <c r="AJ28" i="3"/>
  <c r="AK96" i="2" s="1"/>
  <c r="AK97" i="2" s="1"/>
  <c r="BC60" i="3"/>
  <c r="BC61" i="3" s="1"/>
  <c r="BC63" i="3" s="1"/>
  <c r="BR60" i="3"/>
  <c r="BR61" i="3" s="1"/>
  <c r="BR63" i="3" s="1"/>
  <c r="BD105" i="3"/>
  <c r="BD106" i="3" s="1"/>
  <c r="BY20" i="2"/>
  <c r="BC79" i="3"/>
  <c r="AL83" i="3"/>
  <c r="BV60" i="3"/>
  <c r="BV61" i="3" s="1"/>
  <c r="BV63" i="3" s="1"/>
  <c r="AY49" i="4"/>
  <c r="AS60" i="3"/>
  <c r="AS61" i="3" s="1"/>
  <c r="AS63" i="3" s="1"/>
  <c r="BW60" i="3"/>
  <c r="BW61" i="3" s="1"/>
  <c r="BW63" i="3" s="1"/>
  <c r="AV83" i="3"/>
  <c r="BK60" i="3"/>
  <c r="BK61" i="3" s="1"/>
  <c r="BK63" i="3" s="1"/>
  <c r="AO16" i="4"/>
  <c r="BL96" i="2"/>
  <c r="BL97" i="2" s="1"/>
  <c r="BL60" i="3"/>
  <c r="BL61" i="3" s="1"/>
  <c r="BL63" i="3" s="1"/>
  <c r="AT8" i="4"/>
  <c r="BF49" i="4"/>
  <c r="BU49" i="4"/>
  <c r="AO11" i="4"/>
  <c r="BW106" i="3"/>
  <c r="CM150" i="3"/>
  <c r="AG55" i="3"/>
  <c r="AL60" i="3"/>
  <c r="AL61" i="3" s="1"/>
  <c r="AL63" i="3" s="1"/>
  <c r="BA60" i="3"/>
  <c r="BA61" i="3" s="1"/>
  <c r="BA63" i="3" s="1"/>
  <c r="BP102" i="2"/>
  <c r="BO101" i="3"/>
  <c r="AX51" i="3"/>
  <c r="AX57" i="3" s="1"/>
  <c r="AX64" i="3" s="1"/>
  <c r="AZ49" i="4"/>
  <c r="BO49" i="4"/>
  <c r="AR18" i="4"/>
  <c r="AR20" i="4"/>
  <c r="BG14" i="4"/>
  <c r="BG20" i="4"/>
  <c r="BV21" i="4"/>
  <c r="BV20" i="4"/>
  <c r="BM21" i="4"/>
  <c r="AW102" i="2"/>
  <c r="BQ102" i="2"/>
  <c r="BA51" i="3"/>
  <c r="AJ59" i="3"/>
  <c r="AK60" i="3" s="1"/>
  <c r="AK61" i="3" s="1"/>
  <c r="AK63" i="3" s="1"/>
  <c r="AK100" i="2"/>
  <c r="AK101" i="2" s="1"/>
  <c r="BK134" i="3"/>
  <c r="BK146" i="3" s="1"/>
  <c r="AS14" i="4"/>
  <c r="AS33" i="4" s="1"/>
  <c r="AS20" i="4"/>
  <c r="BH21" i="4"/>
  <c r="BH20" i="4"/>
  <c r="BW14" i="4"/>
  <c r="BW33" i="4" s="1"/>
  <c r="BW20" i="4"/>
  <c r="AZ102" i="2"/>
  <c r="BT102" i="2"/>
  <c r="BT103" i="2" s="1"/>
  <c r="BT104" i="2" s="1"/>
  <c r="BT96" i="2"/>
  <c r="BT97" i="2" s="1"/>
  <c r="BQ79" i="3"/>
  <c r="AO59" i="3"/>
  <c r="AP60" i="3" s="1"/>
  <c r="AP100" i="2"/>
  <c r="AP101" i="2" s="1"/>
  <c r="BY134" i="3"/>
  <c r="BY135" i="3" s="1"/>
  <c r="BS105" i="3"/>
  <c r="BS106" i="3" s="1"/>
  <c r="AZ116" i="3"/>
  <c r="BB49" i="4"/>
  <c r="BQ49" i="4"/>
  <c r="BV14" i="4"/>
  <c r="BV33" i="4" s="1"/>
  <c r="AY17" i="4"/>
  <c r="AY18" i="4" s="1"/>
  <c r="AU20" i="4"/>
  <c r="BJ21" i="4"/>
  <c r="BJ20" i="4"/>
  <c r="BG8" i="2"/>
  <c r="AG98" i="2"/>
  <c r="AG96" i="2"/>
  <c r="AG97" i="2" s="1"/>
  <c r="BU102" i="2"/>
  <c r="G20" i="4"/>
  <c r="AT59" i="3"/>
  <c r="AU60" i="3" s="1"/>
  <c r="AU61" i="3" s="1"/>
  <c r="AU63" i="3" s="1"/>
  <c r="AU100" i="2"/>
  <c r="AU101" i="2" s="1"/>
  <c r="BC49" i="4"/>
  <c r="BR49" i="4"/>
  <c r="AV21" i="4"/>
  <c r="AV20" i="4"/>
  <c r="AG8" i="2"/>
  <c r="AH9" i="2"/>
  <c r="AH59" i="2" s="1"/>
  <c r="BK9" i="2"/>
  <c r="BK41" i="2" s="1"/>
  <c r="AZ66" i="2"/>
  <c r="AH102" i="2"/>
  <c r="AO88" i="3"/>
  <c r="AP87" i="3"/>
  <c r="AP25" i="2"/>
  <c r="AT87" i="3"/>
  <c r="Q20" i="4"/>
  <c r="BV101" i="3"/>
  <c r="AY59" i="3"/>
  <c r="AZ60" i="3" s="1"/>
  <c r="AZ100" i="2"/>
  <c r="AZ101" i="2" s="1"/>
  <c r="BE49" i="4"/>
  <c r="BT49" i="4"/>
  <c r="AW21" i="4"/>
  <c r="AW20" i="4"/>
  <c r="BD59" i="3"/>
  <c r="BE60" i="3" s="1"/>
  <c r="BE61" i="3" s="1"/>
  <c r="BE63" i="3" s="1"/>
  <c r="BE100" i="2"/>
  <c r="BE101" i="2" s="1"/>
  <c r="AX21" i="4"/>
  <c r="AX20" i="4"/>
  <c r="B131" i="3"/>
  <c r="B48" i="4"/>
  <c r="B31" i="4"/>
  <c r="B44" i="4"/>
  <c r="B142" i="3"/>
  <c r="B70" i="3"/>
  <c r="B3" i="4"/>
  <c r="B23" i="4"/>
  <c r="B92" i="3"/>
  <c r="B50" i="3"/>
  <c r="B47" i="2"/>
  <c r="B93" i="2"/>
  <c r="B76" i="2"/>
  <c r="B106" i="2"/>
  <c r="B3" i="3"/>
  <c r="B58" i="2"/>
  <c r="B3" i="2"/>
  <c r="AW98" i="2"/>
  <c r="BL83" i="3"/>
  <c r="BI59" i="3"/>
  <c r="BJ60" i="3" s="1"/>
  <c r="BJ61" i="3" s="1"/>
  <c r="BJ63" i="3" s="1"/>
  <c r="BJ100" i="2"/>
  <c r="BJ101" i="2" s="1"/>
  <c r="AX27" i="3"/>
  <c r="AX26" i="3" s="1"/>
  <c r="BL55" i="3"/>
  <c r="AX110" i="3"/>
  <c r="BG49" i="4"/>
  <c r="BV49" i="4"/>
  <c r="AK21" i="4"/>
  <c r="AK20" i="4"/>
  <c r="AZ21" i="4"/>
  <c r="AZ20" i="4"/>
  <c r="BS17" i="4"/>
  <c r="BS18" i="4" s="1"/>
  <c r="BO20" i="4"/>
  <c r="BK18" i="4"/>
  <c r="BL8" i="2"/>
  <c r="C131" i="3"/>
  <c r="C48" i="4"/>
  <c r="C31" i="4"/>
  <c r="C44" i="4"/>
  <c r="C142" i="3"/>
  <c r="C70" i="3"/>
  <c r="C3" i="4"/>
  <c r="C23" i="4"/>
  <c r="C92" i="3"/>
  <c r="C50" i="3"/>
  <c r="C47" i="2"/>
  <c r="C3" i="2"/>
  <c r="C93" i="2"/>
  <c r="C76" i="2"/>
  <c r="C106" i="2"/>
  <c r="C3" i="3"/>
  <c r="C58" i="2"/>
  <c r="BY9" i="2"/>
  <c r="BN23" i="2"/>
  <c r="BN59" i="3"/>
  <c r="BO60" i="3" s="1"/>
  <c r="BO100" i="2"/>
  <c r="BO101" i="2" s="1"/>
  <c r="BJ134" i="3"/>
  <c r="BH49" i="4"/>
  <c r="BW49" i="4"/>
  <c r="AL21" i="4"/>
  <c r="AL20" i="4"/>
  <c r="BP18" i="4"/>
  <c r="BP20" i="4"/>
  <c r="BV18" i="4"/>
  <c r="D131" i="3"/>
  <c r="D48" i="4"/>
  <c r="D31" i="4"/>
  <c r="D44" i="4"/>
  <c r="D142" i="3"/>
  <c r="D70" i="3"/>
  <c r="D3" i="4"/>
  <c r="D23" i="4"/>
  <c r="D92" i="3"/>
  <c r="D50" i="3"/>
  <c r="D93" i="2"/>
  <c r="D76" i="2"/>
  <c r="D106" i="2"/>
  <c r="D3" i="3"/>
  <c r="D58" i="2"/>
  <c r="D3" i="2"/>
  <c r="D47" i="2"/>
  <c r="AH8" i="2"/>
  <c r="AP98" i="2"/>
  <c r="BJ102" i="2"/>
  <c r="M20" i="4"/>
  <c r="BS59" i="3"/>
  <c r="BT60" i="3" s="1"/>
  <c r="BT61" i="3" s="1"/>
  <c r="BT63" i="3" s="1"/>
  <c r="BT100" i="2"/>
  <c r="BT101" i="2" s="1"/>
  <c r="AO13" i="4"/>
  <c r="AO29" i="4"/>
  <c r="BB18" i="4"/>
  <c r="BB20" i="4"/>
  <c r="BQ18" i="4"/>
  <c r="BQ20" i="4"/>
  <c r="AI8" i="2"/>
  <c r="E48" i="4"/>
  <c r="E31" i="4"/>
  <c r="E44" i="4"/>
  <c r="E142" i="3"/>
  <c r="E70" i="3"/>
  <c r="E3" i="4"/>
  <c r="E23" i="4"/>
  <c r="E92" i="3"/>
  <c r="E50" i="3"/>
  <c r="E131" i="3"/>
  <c r="E106" i="2"/>
  <c r="E3" i="3"/>
  <c r="E58" i="2"/>
  <c r="E3" i="2"/>
  <c r="E47" i="2"/>
  <c r="E93" i="2"/>
  <c r="E76" i="2"/>
  <c r="BF8" i="2"/>
  <c r="AP66" i="2"/>
  <c r="AQ98" i="2"/>
  <c r="AT20" i="3"/>
  <c r="AM83" i="3"/>
  <c r="BX59" i="3"/>
  <c r="BY100" i="2"/>
  <c r="BY101" i="2" s="1"/>
  <c r="CF11" i="4"/>
  <c r="BK49" i="4"/>
  <c r="BZ49" i="4"/>
  <c r="BH14" i="4"/>
  <c r="BH33" i="4" s="1"/>
  <c r="AN18" i="4"/>
  <c r="AN20" i="4"/>
  <c r="BC21" i="4"/>
  <c r="BC20" i="4"/>
  <c r="BR14" i="4"/>
  <c r="BR33" i="4" s="1"/>
  <c r="BR20" i="4"/>
  <c r="AM21" i="4"/>
  <c r="AR102" i="2"/>
  <c r="BJ101" i="3"/>
  <c r="AN83" i="3"/>
  <c r="AS106" i="3"/>
  <c r="BY116" i="3"/>
  <c r="BN149" i="3"/>
  <c r="BL49" i="4"/>
  <c r="BJ14" i="4"/>
  <c r="BJ33" i="4" s="1"/>
  <c r="AP14" i="4"/>
  <c r="AP33" i="4" s="1"/>
  <c r="AP20" i="4"/>
  <c r="BE14" i="4"/>
  <c r="BE33" i="4" s="1"/>
  <c r="BE20" i="4"/>
  <c r="BT21" i="4"/>
  <c r="BT20" i="4"/>
  <c r="BK21" i="4"/>
  <c r="F48" i="4"/>
  <c r="F31" i="4"/>
  <c r="F44" i="4"/>
  <c r="F142" i="3"/>
  <c r="F70" i="3"/>
  <c r="F3" i="4"/>
  <c r="F23" i="4"/>
  <c r="F92" i="3"/>
  <c r="F50" i="3"/>
  <c r="F131" i="3"/>
  <c r="F3" i="3"/>
  <c r="F58" i="2"/>
  <c r="F3" i="2"/>
  <c r="F47" i="2"/>
  <c r="F93" i="2"/>
  <c r="F76" i="2"/>
  <c r="F106" i="2"/>
  <c r="AZ9" i="2"/>
  <c r="AZ59" i="2" s="1"/>
  <c r="AW8" i="2"/>
  <c r="CH150" i="3"/>
  <c r="BH60" i="3"/>
  <c r="BH61" i="3" s="1"/>
  <c r="BH63" i="3" s="1"/>
  <c r="AX106" i="3"/>
  <c r="BM49" i="4"/>
  <c r="BD13" i="4"/>
  <c r="BK14" i="4"/>
  <c r="BK33" i="4" s="1"/>
  <c r="AQ14" i="4"/>
  <c r="AQ33" i="4" s="1"/>
  <c r="AQ20" i="4"/>
  <c r="BF14" i="4"/>
  <c r="BF33" i="4" s="1"/>
  <c r="BF20" i="4"/>
  <c r="BU21" i="4"/>
  <c r="BU20" i="4"/>
  <c r="BL21" i="4"/>
  <c r="CP8" i="4"/>
  <c r="CP13" i="4" s="1"/>
  <c r="CO40" i="4"/>
  <c r="CP40" i="4" s="1"/>
  <c r="CQ40" i="4" s="1"/>
  <c r="CS40" i="4" s="1"/>
  <c r="CT40" i="4" s="1"/>
  <c r="CU40" i="4" s="1"/>
  <c r="CV40" i="4" s="1"/>
  <c r="CX40" i="4" s="1"/>
  <c r="CY40" i="4" s="1"/>
  <c r="CZ40" i="4" s="1"/>
  <c r="DA40" i="4" s="1"/>
  <c r="CI16" i="4"/>
  <c r="CJ16" i="4" s="1"/>
  <c r="CK16" i="4" s="1"/>
  <c r="CL16" i="4" s="1"/>
  <c r="CO16" i="4" s="1"/>
  <c r="CP16" i="4" s="1"/>
  <c r="CQ16" i="4" s="1"/>
  <c r="CS16" i="4" s="1"/>
  <c r="CT16" i="4" s="1"/>
  <c r="CU16" i="4" s="1"/>
  <c r="CV16" i="4" s="1"/>
  <c r="CX16" i="4" s="1"/>
  <c r="CY16" i="4" s="1"/>
  <c r="CZ16" i="4" s="1"/>
  <c r="DA16" i="4" s="1"/>
  <c r="AK26" i="3"/>
  <c r="AL26" i="3"/>
  <c r="AN116" i="3"/>
  <c r="AK116" i="3"/>
  <c r="AS55" i="3"/>
  <c r="AM55" i="3"/>
  <c r="AO14" i="3"/>
  <c r="AO112" i="3" s="1"/>
  <c r="AO113" i="3" s="1"/>
  <c r="AP53" i="3"/>
  <c r="AS93" i="3"/>
  <c r="S20" i="4"/>
  <c r="AO10" i="3"/>
  <c r="AO99" i="3" s="1"/>
  <c r="AL8" i="3"/>
  <c r="AN8" i="3"/>
  <c r="AN79" i="3" s="1"/>
  <c r="AP8" i="3"/>
  <c r="AQ79" i="3" s="1"/>
  <c r="AO110" i="2"/>
  <c r="AT109" i="2"/>
  <c r="AT110" i="2" s="1"/>
  <c r="AQ66" i="2"/>
  <c r="AJ29" i="4"/>
  <c r="AG14" i="4"/>
  <c r="AG33" i="4" s="1"/>
  <c r="AJ111" i="2"/>
  <c r="AI112" i="2"/>
  <c r="AJ13" i="4"/>
  <c r="AG20" i="2"/>
  <c r="AG18" i="4"/>
  <c r="AG113" i="2"/>
  <c r="AG114" i="2" s="1"/>
  <c r="AG116" i="2" s="1"/>
  <c r="AG118" i="2" s="1"/>
  <c r="AH20" i="2"/>
  <c r="AJ11" i="4"/>
  <c r="AI20" i="2"/>
  <c r="AG125" i="3"/>
  <c r="AJ115" i="3"/>
  <c r="AJ116" i="3" s="1"/>
  <c r="AI18" i="4"/>
  <c r="AG60" i="3"/>
  <c r="AG61" i="3" s="1"/>
  <c r="AG63" i="3" s="1"/>
  <c r="AJ149" i="3"/>
  <c r="AJ20" i="3"/>
  <c r="AB113" i="2"/>
  <c r="AB114" i="2" s="1"/>
  <c r="AB111" i="2"/>
  <c r="AD111" i="2"/>
  <c r="AD113" i="2"/>
  <c r="H111" i="2"/>
  <c r="H113" i="2"/>
  <c r="H114" i="2" s="1"/>
  <c r="W113" i="2"/>
  <c r="W114" i="2" s="1"/>
  <c r="W111" i="2"/>
  <c r="I113" i="2"/>
  <c r="I114" i="2" s="1"/>
  <c r="I111" i="2"/>
  <c r="X111" i="2"/>
  <c r="X113" i="2"/>
  <c r="X114" i="2" s="1"/>
  <c r="J113" i="2"/>
  <c r="J111" i="2"/>
  <c r="Y113" i="2"/>
  <c r="Y111" i="2"/>
  <c r="M113" i="2"/>
  <c r="M114" i="2" s="1"/>
  <c r="M111" i="2"/>
  <c r="N111" i="2"/>
  <c r="N113" i="2"/>
  <c r="N114" i="2" s="1"/>
  <c r="AC113" i="2"/>
  <c r="AC114" i="2" s="1"/>
  <c r="AC111" i="2"/>
  <c r="O111" i="2"/>
  <c r="O113" i="2"/>
  <c r="C111" i="2"/>
  <c r="C113" i="2"/>
  <c r="C114" i="2" s="1"/>
  <c r="R111" i="2"/>
  <c r="R113" i="2"/>
  <c r="R114" i="2" s="1"/>
  <c r="D111" i="2"/>
  <c r="D113" i="2"/>
  <c r="D114" i="2" s="1"/>
  <c r="S111" i="2"/>
  <c r="S113" i="2"/>
  <c r="S114" i="2" s="1"/>
  <c r="E111" i="2"/>
  <c r="E113" i="2"/>
  <c r="T111" i="2"/>
  <c r="T113" i="2"/>
  <c r="AG9" i="2"/>
  <c r="AG59" i="2" s="1"/>
  <c r="AI9" i="2"/>
  <c r="AI59" i="2" s="1"/>
  <c r="AO106" i="3"/>
  <c r="AY46" i="4"/>
  <c r="BD28" i="4"/>
  <c r="BD29" i="4" s="1"/>
  <c r="BE28" i="4"/>
  <c r="BE29" i="4" s="1"/>
  <c r="BX29" i="4"/>
  <c r="BT28" i="4"/>
  <c r="BT29" i="4" s="1"/>
  <c r="AT28" i="4"/>
  <c r="AT29" i="4" s="1"/>
  <c r="AU28" i="4"/>
  <c r="AU29" i="4" s="1"/>
  <c r="AY29" i="4"/>
  <c r="AT110" i="3"/>
  <c r="BX17" i="4"/>
  <c r="BX18" i="4" s="1"/>
  <c r="BW18" i="4"/>
  <c r="BW21" i="4"/>
  <c r="BU116" i="3"/>
  <c r="BX115" i="3"/>
  <c r="BX129" i="3" s="1"/>
  <c r="BU125" i="3"/>
  <c r="BX16" i="4"/>
  <c r="BX11" i="4"/>
  <c r="BO20" i="2"/>
  <c r="BO21" i="4"/>
  <c r="BQ20" i="2"/>
  <c r="BO14" i="4"/>
  <c r="BO33" i="4" s="1"/>
  <c r="BR18" i="4"/>
  <c r="BP20" i="2"/>
  <c r="BQ21" i="4"/>
  <c r="BR20" i="2"/>
  <c r="BO18" i="4"/>
  <c r="BQ14" i="4"/>
  <c r="BQ33" i="4" s="1"/>
  <c r="BR116" i="3"/>
  <c r="BM125" i="3"/>
  <c r="BJ20" i="2"/>
  <c r="BE18" i="4"/>
  <c r="BG20" i="2"/>
  <c r="BH116" i="3"/>
  <c r="BE21" i="4"/>
  <c r="BE20" i="2"/>
  <c r="BF20" i="2"/>
  <c r="BI116" i="3"/>
  <c r="BF18" i="4"/>
  <c r="BH20" i="2"/>
  <c r="BG18" i="4"/>
  <c r="AY115" i="3"/>
  <c r="AY125" i="3" s="1"/>
  <c r="AZ125" i="3"/>
  <c r="BD115" i="3"/>
  <c r="BD125" i="3" s="1"/>
  <c r="AU18" i="4"/>
  <c r="AX18" i="4"/>
  <c r="AQ18" i="4"/>
  <c r="AT11" i="4"/>
  <c r="AS18" i="4"/>
  <c r="AP21" i="4"/>
  <c r="AW129" i="3"/>
  <c r="AS21" i="4"/>
  <c r="AT116" i="3"/>
  <c r="AT127" i="3"/>
  <c r="AS116" i="3"/>
  <c r="AQ21" i="4"/>
  <c r="AW116" i="3"/>
  <c r="AN14" i="4"/>
  <c r="AN33" i="4" s="1"/>
  <c r="AN129" i="3"/>
  <c r="AM125" i="3"/>
  <c r="AK127" i="3"/>
  <c r="AL127" i="3"/>
  <c r="AM36" i="4"/>
  <c r="AN21" i="4"/>
  <c r="AN20" i="2"/>
  <c r="AN125" i="3"/>
  <c r="AM127" i="3"/>
  <c r="BN8" i="4"/>
  <c r="CA49" i="4" s="1"/>
  <c r="BM26" i="4"/>
  <c r="BN26" i="4" s="1"/>
  <c r="BS8" i="4"/>
  <c r="BD149" i="3"/>
  <c r="AT43" i="3"/>
  <c r="AJ43" i="3"/>
  <c r="BJ65" i="3"/>
  <c r="BL51" i="3"/>
  <c r="BD52" i="3"/>
  <c r="BQ55" i="3"/>
  <c r="BX52" i="3"/>
  <c r="BK55" i="3"/>
  <c r="BV55" i="3"/>
  <c r="BA55" i="3"/>
  <c r="BD109" i="3"/>
  <c r="BD110" i="3" s="1"/>
  <c r="BX109" i="3"/>
  <c r="BX110" i="3" s="1"/>
  <c r="AV60" i="3"/>
  <c r="AV61" i="3" s="1"/>
  <c r="AV63" i="3" s="1"/>
  <c r="AV55" i="3"/>
  <c r="AW55" i="3"/>
  <c r="BW112" i="2"/>
  <c r="BX111" i="2"/>
  <c r="BH112" i="2"/>
  <c r="BI111" i="2"/>
  <c r="BD109" i="2"/>
  <c r="BD110" i="2" s="1"/>
  <c r="BS109" i="2"/>
  <c r="BS110" i="2" s="1"/>
  <c r="BN111" i="2"/>
  <c r="CC150" i="3"/>
  <c r="BJ66" i="2"/>
  <c r="BA66" i="2"/>
  <c r="BY66" i="2"/>
  <c r="BO66" i="2"/>
  <c r="AU66" i="2"/>
  <c r="BY22" i="2"/>
  <c r="BY41" i="2"/>
  <c r="BY8" i="2"/>
  <c r="BL9" i="2"/>
  <c r="BL41" i="2" s="1"/>
  <c r="AT23" i="2"/>
  <c r="CI49" i="4"/>
  <c r="CI11" i="3" s="1"/>
  <c r="CC9" i="3"/>
  <c r="CC97" i="3" s="1"/>
  <c r="BD16" i="4"/>
  <c r="K3" i="1"/>
  <c r="L3" i="1"/>
  <c r="N3" i="1"/>
  <c r="G3" i="1"/>
  <c r="H3" i="1"/>
  <c r="BW101" i="2"/>
  <c r="AQ102" i="2"/>
  <c r="BC101" i="2"/>
  <c r="AL101" i="2"/>
  <c r="BI101" i="2"/>
  <c r="AG101" i="2"/>
  <c r="AW101" i="2"/>
  <c r="BT98" i="2"/>
  <c r="BP101" i="2"/>
  <c r="BI6" i="4"/>
  <c r="BK101" i="2"/>
  <c r="AF101" i="2"/>
  <c r="AH101" i="2"/>
  <c r="AV101" i="2"/>
  <c r="AT101" i="2"/>
  <c r="I3" i="1"/>
  <c r="AU102" i="2"/>
  <c r="AU98" i="2"/>
  <c r="J3" i="1"/>
  <c r="AV98" i="2"/>
  <c r="AV102" i="2"/>
  <c r="AF102" i="2"/>
  <c r="AF98" i="2"/>
  <c r="AZ98" i="2"/>
  <c r="AY101" i="2"/>
  <c r="AM101" i="2"/>
  <c r="BQ101" i="2"/>
  <c r="BD101" i="2"/>
  <c r="AN101" i="2"/>
  <c r="BR101" i="2"/>
  <c r="BS101" i="2"/>
  <c r="AS101" i="2"/>
  <c r="AI101" i="2"/>
  <c r="BL101" i="2"/>
  <c r="AX101" i="2"/>
  <c r="BI16" i="4"/>
  <c r="AT6" i="4"/>
  <c r="BI8" i="4"/>
  <c r="AT28" i="2"/>
  <c r="AT29" i="2" s="1"/>
  <c r="BV15" i="2"/>
  <c r="AZ62" i="2"/>
  <c r="AS20" i="2"/>
  <c r="AT18" i="2"/>
  <c r="BA30" i="2"/>
  <c r="BA17" i="2" s="1"/>
  <c r="BT9" i="2"/>
  <c r="BT22" i="2" s="1"/>
  <c r="BT8" i="2"/>
  <c r="AN95" i="2"/>
  <c r="AO26" i="2"/>
  <c r="AJ31" i="2"/>
  <c r="BM35" i="4"/>
  <c r="BM37" i="4" s="1"/>
  <c r="BM38" i="4" s="1"/>
  <c r="BM4" i="2"/>
  <c r="AM68" i="2"/>
  <c r="AM66" i="2" s="1"/>
  <c r="AN30" i="2"/>
  <c r="AM30" i="2"/>
  <c r="AO31" i="2"/>
  <c r="BO30" i="2"/>
  <c r="BA35" i="4"/>
  <c r="BA42" i="4" s="1"/>
  <c r="BA4" i="2"/>
  <c r="BO35" i="4"/>
  <c r="BO4" i="2"/>
  <c r="BU41" i="4"/>
  <c r="BU80" i="2"/>
  <c r="BU15" i="2"/>
  <c r="AW9" i="2"/>
  <c r="BY62" i="2"/>
  <c r="BB23" i="2"/>
  <c r="BB67" i="2"/>
  <c r="BU23" i="2"/>
  <c r="BU67" i="2"/>
  <c r="AY28" i="2"/>
  <c r="AY29" i="2" s="1"/>
  <c r="AL30" i="2"/>
  <c r="BB71" i="2"/>
  <c r="AX41" i="4"/>
  <c r="AY41" i="4" s="1"/>
  <c r="AX80" i="2"/>
  <c r="AX15" i="2"/>
  <c r="BB35" i="4"/>
  <c r="BB37" i="4" s="1"/>
  <c r="BB38" i="4" s="1"/>
  <c r="BB4" i="2"/>
  <c r="BP35" i="4"/>
  <c r="BP4" i="2"/>
  <c r="BV41" i="4"/>
  <c r="BV80" i="2"/>
  <c r="AJ21" i="2"/>
  <c r="AH23" i="2"/>
  <c r="AH17" i="2" s="1"/>
  <c r="AH67" i="2"/>
  <c r="AH66" i="2" s="1"/>
  <c r="BE67" i="2"/>
  <c r="BE66" i="2" s="1"/>
  <c r="BE23" i="2"/>
  <c r="BE17" i="2" s="1"/>
  <c r="BV67" i="2"/>
  <c r="BV23" i="2"/>
  <c r="BC71" i="2"/>
  <c r="BE9" i="2"/>
  <c r="BW20" i="2"/>
  <c r="AK67" i="2"/>
  <c r="AK66" i="2" s="1"/>
  <c r="AK23" i="2"/>
  <c r="BS69" i="2"/>
  <c r="AN35" i="4"/>
  <c r="AN42" i="4" s="1"/>
  <c r="AN4" i="2"/>
  <c r="BG9" i="2"/>
  <c r="AO5" i="2"/>
  <c r="BH35" i="4"/>
  <c r="BH36" i="4" s="1"/>
  <c r="BE8" i="2"/>
  <c r="AQ60" i="2"/>
  <c r="AQ10" i="2"/>
  <c r="BR124" i="3"/>
  <c r="BR125" i="3" s="1"/>
  <c r="BS124" i="3"/>
  <c r="BH4" i="2"/>
  <c r="AQ12" i="2"/>
  <c r="AQ113" i="2" s="1"/>
  <c r="AQ114" i="2" s="1"/>
  <c r="AS124" i="3"/>
  <c r="AS125" i="3" s="1"/>
  <c r="AT18" i="3"/>
  <c r="AT124" i="3" s="1"/>
  <c r="AT125" i="3" s="1"/>
  <c r="BC128" i="3"/>
  <c r="BC129" i="3" s="1"/>
  <c r="BD128" i="3"/>
  <c r="BT35" i="4"/>
  <c r="BT42" i="4" s="1"/>
  <c r="BC41" i="4"/>
  <c r="BC80" i="2"/>
  <c r="BK8" i="2"/>
  <c r="AV68" i="2"/>
  <c r="AV66" i="2" s="1"/>
  <c r="AO15" i="2"/>
  <c r="AX20" i="2"/>
  <c r="AK62" i="2"/>
  <c r="BK62" i="2"/>
  <c r="BK17" i="2"/>
  <c r="BK66" i="2"/>
  <c r="BA62" i="2"/>
  <c r="BB150" i="3"/>
  <c r="BB69" i="2"/>
  <c r="AY109" i="2"/>
  <c r="AY110" i="2" s="1"/>
  <c r="AX110" i="2"/>
  <c r="AM93" i="3"/>
  <c r="BP93" i="3"/>
  <c r="AO97" i="3"/>
  <c r="AF20" i="4"/>
  <c r="BF93" i="3"/>
  <c r="BF96" i="3" s="1"/>
  <c r="BF39" i="2" s="1"/>
  <c r="BC101" i="3"/>
  <c r="AI112" i="3"/>
  <c r="AI107" i="3"/>
  <c r="AI12" i="3"/>
  <c r="AJ14" i="3"/>
  <c r="AJ112" i="3" s="1"/>
  <c r="AJ113" i="3" s="1"/>
  <c r="BX109" i="2"/>
  <c r="BX110" i="2" s="1"/>
  <c r="BW110" i="2"/>
  <c r="AZ101" i="3"/>
  <c r="AG112" i="3"/>
  <c r="AG113" i="3" s="1"/>
  <c r="AG107" i="3"/>
  <c r="AG108" i="3" s="1"/>
  <c r="AG12" i="3"/>
  <c r="AU112" i="3"/>
  <c r="AU107" i="3"/>
  <c r="AU108" i="3" s="1"/>
  <c r="AU12" i="3"/>
  <c r="BH112" i="3"/>
  <c r="BH113" i="3" s="1"/>
  <c r="BH107" i="3"/>
  <c r="BH12" i="3"/>
  <c r="BU112" i="3"/>
  <c r="BU107" i="3"/>
  <c r="BU108" i="3" s="1"/>
  <c r="BU12" i="3"/>
  <c r="BU53" i="3"/>
  <c r="BT33" i="4"/>
  <c r="AP35" i="4"/>
  <c r="AP79" i="2"/>
  <c r="AT13" i="2"/>
  <c r="AT68" i="2" s="1"/>
  <c r="BJ62" i="2"/>
  <c r="AZ30" i="2"/>
  <c r="BO5" i="3"/>
  <c r="BO4" i="3" s="1"/>
  <c r="BO93" i="3"/>
  <c r="AJ97" i="3"/>
  <c r="BB101" i="3"/>
  <c r="BB5" i="3"/>
  <c r="BB4" i="3" s="1"/>
  <c r="AV112" i="3"/>
  <c r="AV12" i="3"/>
  <c r="AV107" i="3"/>
  <c r="AV108" i="3" s="1"/>
  <c r="BR128" i="3"/>
  <c r="BR129" i="3" s="1"/>
  <c r="BS128" i="3"/>
  <c r="BS129" i="3" s="1"/>
  <c r="AV9" i="2"/>
  <c r="AQ35" i="4"/>
  <c r="AQ42" i="4" s="1"/>
  <c r="AQ79" i="2"/>
  <c r="AF35" i="4"/>
  <c r="AF42" i="4" s="1"/>
  <c r="AF79" i="2"/>
  <c r="AF4" i="2"/>
  <c r="AR35" i="4"/>
  <c r="AR42" i="4" s="1"/>
  <c r="BG35" i="4"/>
  <c r="AU8" i="2"/>
  <c r="AH10" i="2"/>
  <c r="AH79" i="2"/>
  <c r="AH12" i="2"/>
  <c r="AH113" i="2" s="1"/>
  <c r="AH114" i="2" s="1"/>
  <c r="AH116" i="2" s="1"/>
  <c r="AH118" i="2" s="1"/>
  <c r="AT15" i="2"/>
  <c r="BI69" i="2"/>
  <c r="BW71" i="2"/>
  <c r="AP121" i="3"/>
  <c r="AP78" i="3"/>
  <c r="AR68" i="2"/>
  <c r="AR66" i="2" s="1"/>
  <c r="BQ93" i="3"/>
  <c r="BD12" i="3"/>
  <c r="BM111" i="3"/>
  <c r="BN111" i="3"/>
  <c r="BY111" i="3"/>
  <c r="AU35" i="4"/>
  <c r="AV8" i="2"/>
  <c r="AM22" i="2"/>
  <c r="AM62" i="2"/>
  <c r="BY30" i="2"/>
  <c r="BD72" i="2"/>
  <c r="BC72" i="2"/>
  <c r="AN53" i="2"/>
  <c r="AM50" i="2"/>
  <c r="AQ121" i="3"/>
  <c r="AQ78" i="3"/>
  <c r="BR93" i="3"/>
  <c r="BV99" i="3"/>
  <c r="BV53" i="3"/>
  <c r="BT134" i="3"/>
  <c r="BT65" i="3"/>
  <c r="AP134" i="3"/>
  <c r="AP65" i="3"/>
  <c r="BC43" i="3"/>
  <c r="BD43" i="3"/>
  <c r="BQ134" i="3"/>
  <c r="BQ65" i="3"/>
  <c r="BE35" i="4"/>
  <c r="BU68" i="2"/>
  <c r="AV35" i="4"/>
  <c r="BM41" i="4"/>
  <c r="BN80" i="2"/>
  <c r="BM80" i="2"/>
  <c r="AL60" i="2"/>
  <c r="AL12" i="2"/>
  <c r="AU30" i="2"/>
  <c r="BJ30" i="2"/>
  <c r="BH72" i="2"/>
  <c r="BI72" i="2"/>
  <c r="C20" i="12" s="1"/>
  <c r="AO48" i="2"/>
  <c r="AN50" i="2"/>
  <c r="AP53" i="2"/>
  <c r="BB53" i="2"/>
  <c r="BB50" i="2"/>
  <c r="BP53" i="2"/>
  <c r="AH60" i="2"/>
  <c r="AN80" i="2"/>
  <c r="AM56" i="3"/>
  <c r="AZ56" i="3"/>
  <c r="BM56" i="3"/>
  <c r="AQ93" i="3"/>
  <c r="AQ5" i="3"/>
  <c r="AQ4" i="3" s="1"/>
  <c r="BU134" i="3"/>
  <c r="BU65" i="3"/>
  <c r="AQ43" i="3"/>
  <c r="AF10" i="2"/>
  <c r="AF60" i="2"/>
  <c r="AF12" i="2"/>
  <c r="BX32" i="4"/>
  <c r="AW35" i="4"/>
  <c r="BJ35" i="4"/>
  <c r="BJ42" i="4" s="1"/>
  <c r="BJ4" i="2"/>
  <c r="BP41" i="4"/>
  <c r="BP80" i="2"/>
  <c r="BY59" i="2"/>
  <c r="M5" i="12" s="1"/>
  <c r="M6" i="12" s="1"/>
  <c r="BY19" i="2"/>
  <c r="BF68" i="2"/>
  <c r="BF66" i="2" s="1"/>
  <c r="BC15" i="2"/>
  <c r="BP67" i="2"/>
  <c r="BP66" i="2" s="1"/>
  <c r="BP23" i="2"/>
  <c r="AO34" i="2"/>
  <c r="AO69" i="2" s="1"/>
  <c r="AP50" i="2"/>
  <c r="AQ53" i="2"/>
  <c r="BE50" i="2"/>
  <c r="BC50" i="2"/>
  <c r="BO53" i="2"/>
  <c r="BO50" i="2"/>
  <c r="BS53" i="2"/>
  <c r="BV134" i="3"/>
  <c r="BV65" i="3"/>
  <c r="AJ5" i="2"/>
  <c r="AI41" i="4"/>
  <c r="AJ41" i="4" s="1"/>
  <c r="AI80" i="2"/>
  <c r="AJ6" i="2"/>
  <c r="AJ80" i="2" s="1"/>
  <c r="BD15" i="2"/>
  <c r="BQ67" i="2"/>
  <c r="BQ23" i="2"/>
  <c r="AF53" i="2"/>
  <c r="AF50" i="2"/>
  <c r="AJ50" i="2" s="1"/>
  <c r="AQ50" i="2"/>
  <c r="AR53" i="2"/>
  <c r="BQ50" i="2"/>
  <c r="BP50" i="2"/>
  <c r="BQ53" i="2"/>
  <c r="AU121" i="3"/>
  <c r="AU78" i="3"/>
  <c r="AJ109" i="2"/>
  <c r="AJ110" i="2" s="1"/>
  <c r="AI35" i="4"/>
  <c r="AK35" i="4"/>
  <c r="AK42" i="4" s="1"/>
  <c r="AK79" i="2"/>
  <c r="AK4" i="2"/>
  <c r="AK12" i="2"/>
  <c r="AU9" i="2"/>
  <c r="AP60" i="2"/>
  <c r="AF67" i="2"/>
  <c r="AF66" i="2" s="1"/>
  <c r="AF23" i="2"/>
  <c r="AF17" i="2" s="1"/>
  <c r="BT67" i="2"/>
  <c r="BT66" i="2" s="1"/>
  <c r="BT23" i="2"/>
  <c r="BW23" i="2"/>
  <c r="AI95" i="2"/>
  <c r="AK30" i="2"/>
  <c r="AO32" i="2"/>
  <c r="AT34" i="2"/>
  <c r="AT69" i="2" s="1"/>
  <c r="AR50" i="2"/>
  <c r="AS53" i="2"/>
  <c r="AS41" i="4"/>
  <c r="AT41" i="4" s="1"/>
  <c r="AS80" i="2"/>
  <c r="AN15" i="2"/>
  <c r="BM15" i="2"/>
  <c r="BC20" i="2"/>
  <c r="AV23" i="2"/>
  <c r="AJ30" i="2"/>
  <c r="AT40" i="2"/>
  <c r="AS71" i="2"/>
  <c r="AY50" i="2"/>
  <c r="BT121" i="3"/>
  <c r="BT78" i="3"/>
  <c r="BT81" i="3" s="1"/>
  <c r="BT82" i="3" s="1"/>
  <c r="AM111" i="3"/>
  <c r="BA111" i="3"/>
  <c r="AF128" i="3"/>
  <c r="AF129" i="3" s="1"/>
  <c r="BF128" i="3"/>
  <c r="BF129" i="3" s="1"/>
  <c r="BX69" i="2"/>
  <c r="C13" i="9" s="1"/>
  <c r="AO150" i="3"/>
  <c r="CW150" i="3"/>
  <c r="BU121" i="3"/>
  <c r="BU78" i="3"/>
  <c r="BU81" i="3" s="1"/>
  <c r="BU82" i="3" s="1"/>
  <c r="BU30" i="2"/>
  <c r="BG67" i="2"/>
  <c r="BB112" i="2"/>
  <c r="BD28" i="3"/>
  <c r="BC54" i="3"/>
  <c r="BC28" i="3"/>
  <c r="AU134" i="3"/>
  <c r="AU65" i="3"/>
  <c r="AY69" i="2"/>
  <c r="AT150" i="3"/>
  <c r="DB150" i="3"/>
  <c r="BX78" i="3"/>
  <c r="BL68" i="2"/>
  <c r="BL66" i="2" s="1"/>
  <c r="BC112" i="2"/>
  <c r="BD111" i="2"/>
  <c r="AQ54" i="3"/>
  <c r="AQ28" i="3"/>
  <c r="BE65" i="3"/>
  <c r="BE134" i="3"/>
  <c r="BP15" i="2"/>
  <c r="BM20" i="2"/>
  <c r="AR62" i="2"/>
  <c r="AR17" i="2"/>
  <c r="AY150" i="3"/>
  <c r="BM71" i="2"/>
  <c r="AJ55" i="2"/>
  <c r="AJ53" i="2" s="1"/>
  <c r="AI53" i="2"/>
  <c r="AF121" i="3"/>
  <c r="AF123" i="3" s="1"/>
  <c r="AF78" i="3"/>
  <c r="AF81" i="3" s="1"/>
  <c r="AF82" i="3" s="1"/>
  <c r="BH71" i="2"/>
  <c r="BP5" i="3"/>
  <c r="BP4" i="3" s="1"/>
  <c r="BP140" i="3" s="1"/>
  <c r="BS51" i="3"/>
  <c r="AT54" i="3"/>
  <c r="BQ15" i="2"/>
  <c r="AI62" i="2"/>
  <c r="BD150" i="3"/>
  <c r="AJ38" i="2"/>
  <c r="AM41" i="2"/>
  <c r="AX53" i="2"/>
  <c r="BE121" i="3"/>
  <c r="BE123" i="3" s="1"/>
  <c r="BE78" i="3"/>
  <c r="BI71" i="2"/>
  <c r="AG79" i="2"/>
  <c r="BX56" i="3"/>
  <c r="C31" i="9" s="1"/>
  <c r="BE112" i="3"/>
  <c r="BE113" i="3" s="1"/>
  <c r="BE107" i="3"/>
  <c r="BE108" i="3" s="1"/>
  <c r="BE12" i="3"/>
  <c r="BR51" i="3"/>
  <c r="BR57" i="3" s="1"/>
  <c r="AS51" i="3"/>
  <c r="AS57" i="3" s="1"/>
  <c r="AL35" i="4"/>
  <c r="AL4" i="2"/>
  <c r="BR95" i="2"/>
  <c r="BD69" i="2"/>
  <c r="AN71" i="2"/>
  <c r="BR71" i="2"/>
  <c r="AN41" i="2"/>
  <c r="AL53" i="2"/>
  <c r="AK53" i="2"/>
  <c r="AL50" i="2"/>
  <c r="AK50" i="2"/>
  <c r="AZ53" i="2"/>
  <c r="BK56" i="3"/>
  <c r="BY56" i="3"/>
  <c r="BR101" i="3"/>
  <c r="BS12" i="3"/>
  <c r="AR112" i="3"/>
  <c r="AR107" i="3"/>
  <c r="AR108" i="3" s="1"/>
  <c r="AR12" i="3"/>
  <c r="AZ5" i="3"/>
  <c r="AZ4" i="3" s="1"/>
  <c r="AZ140" i="3" s="1"/>
  <c r="AY20" i="3"/>
  <c r="AZ81" i="3" s="1"/>
  <c r="AF51" i="3"/>
  <c r="AF27" i="3"/>
  <c r="AF26" i="3" s="1"/>
  <c r="AF134" i="3"/>
  <c r="AF65" i="3"/>
  <c r="BK35" i="4"/>
  <c r="BK42" i="4" s="1"/>
  <c r="BK79" i="2"/>
  <c r="AS15" i="2"/>
  <c r="BM67" i="2"/>
  <c r="AZ8" i="2"/>
  <c r="BL35" i="4"/>
  <c r="BY35" i="4"/>
  <c r="BY42" i="4" s="1"/>
  <c r="BH41" i="4"/>
  <c r="BI41" i="4" s="1"/>
  <c r="BH80" i="2"/>
  <c r="BF9" i="2"/>
  <c r="AM23" i="2"/>
  <c r="BT30" i="2"/>
  <c r="AO38" i="2"/>
  <c r="BX72" i="2"/>
  <c r="AM53" i="2"/>
  <c r="BA53" i="2"/>
  <c r="AZ50" i="2"/>
  <c r="BM53" i="2"/>
  <c r="BL50" i="2"/>
  <c r="AY53" i="2"/>
  <c r="BF98" i="2"/>
  <c r="BF102" i="2"/>
  <c r="BI109" i="2"/>
  <c r="BI110" i="2" s="1"/>
  <c r="BH110" i="2"/>
  <c r="AY56" i="3"/>
  <c r="AF112" i="3"/>
  <c r="AF113" i="3" s="1"/>
  <c r="AF107" i="3"/>
  <c r="AF108" i="3" s="1"/>
  <c r="AF12" i="3"/>
  <c r="AS112" i="3"/>
  <c r="AS107" i="3"/>
  <c r="AT14" i="3"/>
  <c r="AT112" i="3" s="1"/>
  <c r="AS12" i="3"/>
  <c r="BG112" i="3"/>
  <c r="BG113" i="3" s="1"/>
  <c r="BG107" i="3"/>
  <c r="BG108" i="3" s="1"/>
  <c r="BG12" i="3"/>
  <c r="BG79" i="3" s="1"/>
  <c r="BT107" i="3"/>
  <c r="BT108" i="3" s="1"/>
  <c r="BT112" i="3"/>
  <c r="BT12" i="3"/>
  <c r="AG51" i="3"/>
  <c r="BF35" i="4"/>
  <c r="BF42" i="4" s="1"/>
  <c r="AJ150" i="3"/>
  <c r="CR150" i="3"/>
  <c r="BR53" i="2"/>
  <c r="AU53" i="2"/>
  <c r="BW53" i="2"/>
  <c r="BG102" i="2"/>
  <c r="BG98" i="2"/>
  <c r="BA56" i="3"/>
  <c r="BO56" i="3"/>
  <c r="BI99" i="3"/>
  <c r="BW99" i="3"/>
  <c r="AW112" i="3"/>
  <c r="AW12" i="3"/>
  <c r="AW107" i="3"/>
  <c r="AW108" i="3" s="1"/>
  <c r="BE54" i="3"/>
  <c r="BE28" i="3"/>
  <c r="BS54" i="3"/>
  <c r="BR55" i="3"/>
  <c r="BN117" i="3"/>
  <c r="BB111" i="3"/>
  <c r="BO111" i="3"/>
  <c r="BW134" i="3"/>
  <c r="BW65" i="3"/>
  <c r="AH53" i="2"/>
  <c r="BG50" i="2"/>
  <c r="AG53" i="2"/>
  <c r="AV53" i="2"/>
  <c r="BJ53" i="2"/>
  <c r="AT53" i="2"/>
  <c r="BJ121" i="3"/>
  <c r="BJ78" i="3"/>
  <c r="BJ81" i="3" s="1"/>
  <c r="BY121" i="3"/>
  <c r="BY123" i="3" s="1"/>
  <c r="BY78" i="3"/>
  <c r="BY81" i="3" s="1"/>
  <c r="M17" i="12" s="1"/>
  <c r="AO56" i="3"/>
  <c r="BP56" i="3"/>
  <c r="AZ93" i="3"/>
  <c r="AW99" i="3"/>
  <c r="BJ99" i="3"/>
  <c r="BX99" i="3"/>
  <c r="BT51" i="3"/>
  <c r="BT27" i="3"/>
  <c r="BT26" i="3" s="1"/>
  <c r="BF54" i="3"/>
  <c r="BF28" i="3"/>
  <c r="BS117" i="3"/>
  <c r="BC111" i="3"/>
  <c r="BD111" i="3"/>
  <c r="AG65" i="3"/>
  <c r="AG134" i="3"/>
  <c r="AG27" i="3"/>
  <c r="AG26" i="3" s="1"/>
  <c r="BI134" i="3"/>
  <c r="BI65" i="3"/>
  <c r="C16" i="12" s="1"/>
  <c r="CC46" i="3"/>
  <c r="BK53" i="2"/>
  <c r="BK121" i="3"/>
  <c r="BK122" i="3" s="1"/>
  <c r="BK78" i="3"/>
  <c r="BK81" i="3" s="1"/>
  <c r="BK82" i="3" s="1"/>
  <c r="AR98" i="2"/>
  <c r="AJ32" i="4"/>
  <c r="AK39" i="4" s="1"/>
  <c r="BC56" i="3"/>
  <c r="BB93" i="3"/>
  <c r="AK99" i="3"/>
  <c r="AK8" i="3"/>
  <c r="AX99" i="3"/>
  <c r="AX53" i="3"/>
  <c r="AX93" i="3"/>
  <c r="BK99" i="3"/>
  <c r="BY99" i="3"/>
  <c r="AL104" i="3"/>
  <c r="BV27" i="3"/>
  <c r="BV26" i="3" s="1"/>
  <c r="BV51" i="3"/>
  <c r="AT30" i="3"/>
  <c r="BG54" i="3"/>
  <c r="BG28" i="3"/>
  <c r="AK53" i="3"/>
  <c r="AK121" i="3"/>
  <c r="AK78" i="3"/>
  <c r="AS95" i="2"/>
  <c r="BL102" i="2"/>
  <c r="BL98" i="2"/>
  <c r="AQ56" i="3"/>
  <c r="BC93" i="3"/>
  <c r="AY99" i="3"/>
  <c r="BL99" i="3"/>
  <c r="AM101" i="3"/>
  <c r="AM104" i="3" s="1"/>
  <c r="AX126" i="3"/>
  <c r="AX127" i="3" s="1"/>
  <c r="AY126" i="3"/>
  <c r="BP28" i="3"/>
  <c r="BP52" i="3"/>
  <c r="BP53" i="3" s="1"/>
  <c r="AH54" i="3"/>
  <c r="AH55" i="3" s="1"/>
  <c r="AH28" i="3"/>
  <c r="AI83" i="3" s="1"/>
  <c r="BU55" i="3"/>
  <c r="BA134" i="3"/>
  <c r="BA65" i="3"/>
  <c r="BR50" i="2"/>
  <c r="AL121" i="3"/>
  <c r="AL78" i="3"/>
  <c r="AM99" i="3"/>
  <c r="AM53" i="3"/>
  <c r="BM99" i="3"/>
  <c r="AN101" i="3"/>
  <c r="AO12" i="3"/>
  <c r="BM126" i="3"/>
  <c r="BM127" i="3" s="1"/>
  <c r="BN126" i="3"/>
  <c r="BN127" i="3" s="1"/>
  <c r="AJ40" i="3"/>
  <c r="AI27" i="3"/>
  <c r="AI26" i="3" s="1"/>
  <c r="AJ41" i="3"/>
  <c r="BL53" i="2"/>
  <c r="BT50" i="2"/>
  <c r="AM121" i="3"/>
  <c r="AM122" i="3" s="1"/>
  <c r="AM78" i="3"/>
  <c r="BA121" i="3"/>
  <c r="BA123" i="3" s="1"/>
  <c r="BA78" i="3"/>
  <c r="BA81" i="3" s="1"/>
  <c r="BO121" i="3"/>
  <c r="BO78" i="3"/>
  <c r="BA99" i="3"/>
  <c r="AP101" i="3"/>
  <c r="AQ104" i="3" s="1"/>
  <c r="BP101" i="3"/>
  <c r="BP104" i="3" s="1"/>
  <c r="BD20" i="3"/>
  <c r="BN150" i="3"/>
  <c r="BF50" i="2"/>
  <c r="BU50" i="2"/>
  <c r="AL93" i="3"/>
  <c r="BQ101" i="3"/>
  <c r="BQ5" i="3"/>
  <c r="BQ4" i="3" s="1"/>
  <c r="BQ140" i="3" s="1"/>
  <c r="BQ112" i="3"/>
  <c r="BQ107" i="3"/>
  <c r="BQ108" i="3" s="1"/>
  <c r="AN126" i="3"/>
  <c r="AN127" i="3" s="1"/>
  <c r="AO16" i="3"/>
  <c r="AO126" i="3" s="1"/>
  <c r="AO127" i="3" s="1"/>
  <c r="AU27" i="3"/>
  <c r="AU26" i="3" s="1"/>
  <c r="AU51" i="3"/>
  <c r="AV53" i="3"/>
  <c r="AO32" i="4"/>
  <c r="BM110" i="2"/>
  <c r="AR56" i="3"/>
  <c r="BQ56" i="3"/>
  <c r="AR8" i="3"/>
  <c r="BU93" i="3"/>
  <c r="BU96" i="3" s="1"/>
  <c r="BO53" i="3"/>
  <c r="BO99" i="3"/>
  <c r="BS112" i="3"/>
  <c r="BS113" i="3" s="1"/>
  <c r="AK112" i="3"/>
  <c r="AK107" i="3"/>
  <c r="AK108" i="3" s="1"/>
  <c r="AX112" i="3"/>
  <c r="AX107" i="3"/>
  <c r="BJ112" i="3"/>
  <c r="BJ107" i="3"/>
  <c r="BJ108" i="3" s="1"/>
  <c r="BV112" i="3"/>
  <c r="BV107" i="3"/>
  <c r="BV108" i="3" s="1"/>
  <c r="BQ53" i="3"/>
  <c r="AJ54" i="3"/>
  <c r="BX117" i="3"/>
  <c r="AP111" i="3"/>
  <c r="BP111" i="3"/>
  <c r="BK27" i="3"/>
  <c r="BK26" i="3" s="1"/>
  <c r="BG134" i="3"/>
  <c r="AV134" i="3"/>
  <c r="AV65" i="3"/>
  <c r="AW53" i="3"/>
  <c r="AT32" i="4"/>
  <c r="AN110" i="2"/>
  <c r="AF56" i="3"/>
  <c r="BE56" i="3"/>
  <c r="AH20" i="4"/>
  <c r="BH93" i="3"/>
  <c r="BF101" i="3"/>
  <c r="AL112" i="3"/>
  <c r="AL107" i="3"/>
  <c r="AL108" i="3" s="1"/>
  <c r="BK112" i="3"/>
  <c r="BK107" i="3"/>
  <c r="BK108" i="3" s="1"/>
  <c r="BW112" i="3"/>
  <c r="BW107" i="3"/>
  <c r="BX107" i="3" s="1"/>
  <c r="BF5" i="3"/>
  <c r="BF4" i="3" s="1"/>
  <c r="BR53" i="3"/>
  <c r="BX54" i="3"/>
  <c r="BW55" i="3"/>
  <c r="AQ111" i="3"/>
  <c r="BH134" i="3"/>
  <c r="BX134" i="3"/>
  <c r="BX65" i="3"/>
  <c r="BG65" i="3"/>
  <c r="BP98" i="2"/>
  <c r="AY32" i="4"/>
  <c r="AZ36" i="4"/>
  <c r="AG56" i="3"/>
  <c r="AT6" i="3"/>
  <c r="BF56" i="3"/>
  <c r="AF8" i="3"/>
  <c r="AM112" i="3"/>
  <c r="AM107" i="3"/>
  <c r="AM108" i="3" s="1"/>
  <c r="BY112" i="3"/>
  <c r="BY107" i="3"/>
  <c r="BY12" i="3"/>
  <c r="BD126" i="3"/>
  <c r="BD127" i="3" s="1"/>
  <c r="AJ18" i="3"/>
  <c r="AJ124" i="3" s="1"/>
  <c r="AJ125" i="3" s="1"/>
  <c r="BH124" i="3"/>
  <c r="BH125" i="3" s="1"/>
  <c r="BI124" i="3"/>
  <c r="BI125" i="3" s="1"/>
  <c r="BN20" i="3"/>
  <c r="D23" i="12" s="1"/>
  <c r="AQ53" i="3"/>
  <c r="BE53" i="3"/>
  <c r="AX55" i="3"/>
  <c r="AY54" i="3"/>
  <c r="AZ55" i="3" s="1"/>
  <c r="BL134" i="3"/>
  <c r="BL65" i="3"/>
  <c r="AH60" i="3"/>
  <c r="AH61" i="3" s="1"/>
  <c r="AH63" i="3" s="1"/>
  <c r="AI60" i="3"/>
  <c r="AI61" i="3" s="1"/>
  <c r="AI63" i="3" s="1"/>
  <c r="BH65" i="3"/>
  <c r="BD32" i="4"/>
  <c r="AH56" i="3"/>
  <c r="AU56" i="3"/>
  <c r="BG56" i="3"/>
  <c r="D20" i="2"/>
  <c r="AG93" i="3"/>
  <c r="AV93" i="3"/>
  <c r="AF53" i="3"/>
  <c r="BW12" i="3"/>
  <c r="BW79" i="3" s="1"/>
  <c r="BA107" i="3"/>
  <c r="BA108" i="3" s="1"/>
  <c r="BA112" i="3"/>
  <c r="BA12" i="3"/>
  <c r="BA79" i="3" s="1"/>
  <c r="BM112" i="3"/>
  <c r="BM107" i="3"/>
  <c r="BM12" i="3"/>
  <c r="BM79" i="3" s="1"/>
  <c r="AY134" i="3"/>
  <c r="AY65" i="3"/>
  <c r="AG53" i="3"/>
  <c r="BU98" i="2"/>
  <c r="BI32" i="4"/>
  <c r="AJ6" i="3"/>
  <c r="AI56" i="3"/>
  <c r="BU56" i="3"/>
  <c r="AH8" i="3"/>
  <c r="AT10" i="3"/>
  <c r="BF99" i="3"/>
  <c r="BF53" i="3"/>
  <c r="BS99" i="3"/>
  <c r="BB112" i="3"/>
  <c r="BB107" i="3"/>
  <c r="BB108" i="3" s="1"/>
  <c r="BN112" i="3"/>
  <c r="BW124" i="3"/>
  <c r="BW125" i="3" s="1"/>
  <c r="BX124" i="3"/>
  <c r="BH51" i="3"/>
  <c r="BH57" i="3" s="1"/>
  <c r="AT29" i="3"/>
  <c r="AS52" i="3"/>
  <c r="BG53" i="3"/>
  <c r="AM51" i="3"/>
  <c r="AM27" i="3"/>
  <c r="AM26" i="3" s="1"/>
  <c r="AL134" i="3"/>
  <c r="AL65" i="3"/>
  <c r="AZ134" i="3"/>
  <c r="AZ65" i="3"/>
  <c r="BN43" i="3"/>
  <c r="AH53" i="3"/>
  <c r="BN54" i="3"/>
  <c r="BM55" i="3"/>
  <c r="BP60" i="3"/>
  <c r="BP61" i="3" s="1"/>
  <c r="BP63" i="3" s="1"/>
  <c r="BK65" i="3"/>
  <c r="BS109" i="3"/>
  <c r="BS110" i="3" s="1"/>
  <c r="BN32" i="4"/>
  <c r="AK56" i="3"/>
  <c r="BI56" i="3"/>
  <c r="BV56" i="3"/>
  <c r="AU99" i="3"/>
  <c r="BG99" i="3"/>
  <c r="AH101" i="3"/>
  <c r="BK12" i="3"/>
  <c r="BK79" i="3" s="1"/>
  <c r="AP112" i="3"/>
  <c r="AP107" i="3"/>
  <c r="AP108" i="3" s="1"/>
  <c r="BC112" i="3"/>
  <c r="BC107" i="3"/>
  <c r="BD107" i="3" s="1"/>
  <c r="BO107" i="3"/>
  <c r="BO108" i="3" s="1"/>
  <c r="BO112" i="3"/>
  <c r="AO20" i="3"/>
  <c r="AU53" i="3"/>
  <c r="BH52" i="3"/>
  <c r="BI28" i="3"/>
  <c r="C26" i="12" s="1"/>
  <c r="BO54" i="3"/>
  <c r="BP55" i="3" s="1"/>
  <c r="BO28" i="3"/>
  <c r="AR134" i="3"/>
  <c r="AR65" i="3"/>
  <c r="AM134" i="3"/>
  <c r="AM65" i="3"/>
  <c r="BO43" i="3"/>
  <c r="AI53" i="3"/>
  <c r="BS52" i="3"/>
  <c r="BS53" i="3" s="1"/>
  <c r="BS97" i="3"/>
  <c r="BI150" i="3"/>
  <c r="BA50" i="2"/>
  <c r="BM50" i="2"/>
  <c r="BY50" i="2"/>
  <c r="CC50" i="2" s="1"/>
  <c r="BS32" i="4"/>
  <c r="AL56" i="3"/>
  <c r="BJ56" i="3"/>
  <c r="AI99" i="3"/>
  <c r="AJ10" i="3"/>
  <c r="AI8" i="3"/>
  <c r="AX12" i="3"/>
  <c r="AQ107" i="3"/>
  <c r="AQ108" i="3" s="1"/>
  <c r="AQ112" i="3"/>
  <c r="BD112" i="3"/>
  <c r="BP112" i="3"/>
  <c r="BP107" i="3"/>
  <c r="BP108" i="3" s="1"/>
  <c r="AR28" i="3"/>
  <c r="BQ28" i="3"/>
  <c r="AV27" i="3"/>
  <c r="AV26" i="3" s="1"/>
  <c r="BJ53" i="3"/>
  <c r="AP54" i="3"/>
  <c r="AP28" i="3"/>
  <c r="BB54" i="3"/>
  <c r="BB55" i="3" s="1"/>
  <c r="BB28" i="3"/>
  <c r="BB83" i="3" s="1"/>
  <c r="AS134" i="3"/>
  <c r="AS65" i="3"/>
  <c r="AT41" i="3"/>
  <c r="AO44" i="3"/>
  <c r="AO43" i="3" s="1"/>
  <c r="AN43" i="3"/>
  <c r="BB43" i="3"/>
  <c r="AV51" i="3"/>
  <c r="AJ52" i="3"/>
  <c r="AP56" i="3"/>
  <c r="BI112" i="3"/>
  <c r="BI113" i="3" s="1"/>
  <c r="AH112" i="3"/>
  <c r="AH113" i="3" s="1"/>
  <c r="AH107" i="3"/>
  <c r="AH108" i="3" s="1"/>
  <c r="BF112" i="3"/>
  <c r="BF113" i="3" s="1"/>
  <c r="BF107" i="3"/>
  <c r="BF108" i="3" s="1"/>
  <c r="BJ28" i="3"/>
  <c r="BW28" i="3"/>
  <c r="BW83" i="3" s="1"/>
  <c r="AW28" i="3"/>
  <c r="AW83" i="3" s="1"/>
  <c r="BU28" i="3"/>
  <c r="AR111" i="3"/>
  <c r="BQ111" i="3"/>
  <c r="BJ135" i="3"/>
  <c r="BJ146" i="3"/>
  <c r="BY146" i="3"/>
  <c r="AI51" i="3"/>
  <c r="AL53" i="3"/>
  <c r="BB60" i="3"/>
  <c r="BB61" i="3" s="1"/>
  <c r="BB63" i="3" s="1"/>
  <c r="AJ117" i="3"/>
  <c r="AS111" i="3"/>
  <c r="AT36" i="3"/>
  <c r="AT111" i="3" s="1"/>
  <c r="AI65" i="3"/>
  <c r="AI134" i="3"/>
  <c r="AW134" i="3"/>
  <c r="AW65" i="3"/>
  <c r="BY28" i="3"/>
  <c r="M26" i="12" s="1"/>
  <c r="AY28" i="3"/>
  <c r="BK53" i="3"/>
  <c r="AU111" i="3"/>
  <c r="AJ37" i="3"/>
  <c r="AJ128" i="3" s="1"/>
  <c r="AJ129" i="3" s="1"/>
  <c r="BI128" i="3"/>
  <c r="BI129" i="3" s="1"/>
  <c r="AX134" i="3"/>
  <c r="AX65" i="3"/>
  <c r="BM134" i="3"/>
  <c r="BM65" i="3"/>
  <c r="BF43" i="3"/>
  <c r="BS43" i="3"/>
  <c r="BR43" i="3"/>
  <c r="AK51" i="3"/>
  <c r="BG60" i="3"/>
  <c r="BG61" i="3" s="1"/>
  <c r="BG63" i="3" s="1"/>
  <c r="BR112" i="3"/>
  <c r="BR113" i="3" s="1"/>
  <c r="AZ28" i="3"/>
  <c r="BM28" i="3"/>
  <c r="BM83" i="3" s="1"/>
  <c r="BL53" i="3"/>
  <c r="BX28" i="3"/>
  <c r="F26" i="12" s="1"/>
  <c r="AT117" i="3"/>
  <c r="AI111" i="3"/>
  <c r="AV111" i="3"/>
  <c r="BT111" i="3"/>
  <c r="AK134" i="3"/>
  <c r="AK65" i="3"/>
  <c r="AH43" i="3"/>
  <c r="AL51" i="3"/>
  <c r="BY65" i="3"/>
  <c r="M16" i="12" s="1"/>
  <c r="BA27" i="3"/>
  <c r="BA26" i="3" s="1"/>
  <c r="AN53" i="3"/>
  <c r="AO52" i="3"/>
  <c r="BA53" i="3"/>
  <c r="BM53" i="3"/>
  <c r="BN52" i="3"/>
  <c r="BY53" i="3"/>
  <c r="AY117" i="3"/>
  <c r="AW111" i="3"/>
  <c r="BU111" i="3"/>
  <c r="AX128" i="3"/>
  <c r="AX129" i="3" s="1"/>
  <c r="AY128" i="3"/>
  <c r="AN51" i="3"/>
  <c r="AN57" i="3" s="1"/>
  <c r="AO29" i="3"/>
  <c r="BB53" i="3"/>
  <c r="BN28" i="3"/>
  <c r="D26" i="12" s="1"/>
  <c r="AN55" i="3"/>
  <c r="AO54" i="3"/>
  <c r="BD117" i="3"/>
  <c r="AK111" i="3"/>
  <c r="AX111" i="3"/>
  <c r="BJ111" i="3"/>
  <c r="BV111" i="3"/>
  <c r="BP134" i="3"/>
  <c r="BP65" i="3"/>
  <c r="AK54" i="3"/>
  <c r="BY54" i="3"/>
  <c r="BZ55" i="3" s="1"/>
  <c r="AJ34" i="4"/>
  <c r="AF34" i="4"/>
  <c r="AF39" i="4"/>
  <c r="AJ39" i="4" s="1"/>
  <c r="AJ40" i="4" s="1"/>
  <c r="BT56" i="3"/>
  <c r="AN112" i="3"/>
  <c r="AN107" i="3"/>
  <c r="AZ112" i="3"/>
  <c r="AZ107" i="3"/>
  <c r="AZ108" i="3" s="1"/>
  <c r="BL112" i="3"/>
  <c r="BL107" i="3"/>
  <c r="BL108" i="3" s="1"/>
  <c r="AO30" i="3"/>
  <c r="BI117" i="3"/>
  <c r="AL111" i="3"/>
  <c r="AY111" i="3"/>
  <c r="AY113" i="3" s="1"/>
  <c r="BK111" i="3"/>
  <c r="BW111" i="3"/>
  <c r="BX111" i="3"/>
  <c r="CC41" i="3"/>
  <c r="CF41" i="3" s="1"/>
  <c r="CG41" i="3" s="1"/>
  <c r="CH41" i="3" s="1"/>
  <c r="CI41" i="3" s="1"/>
  <c r="CJ41" i="3" s="1"/>
  <c r="CK41" i="3" s="1"/>
  <c r="CL41" i="3" s="1"/>
  <c r="CM41" i="3" s="1"/>
  <c r="CN41" i="3" s="1"/>
  <c r="CO41" i="3" s="1"/>
  <c r="CP41" i="3" s="1"/>
  <c r="CQ41" i="3" s="1"/>
  <c r="CR41" i="3" s="1"/>
  <c r="CS41" i="3" s="1"/>
  <c r="CT41" i="3" s="1"/>
  <c r="CU41" i="3" s="1"/>
  <c r="CV41" i="3" s="1"/>
  <c r="CW41" i="3" s="1"/>
  <c r="CX41" i="3" s="1"/>
  <c r="CY41" i="3" s="1"/>
  <c r="CZ41" i="3" s="1"/>
  <c r="DA41" i="3" s="1"/>
  <c r="DB41" i="3" s="1"/>
  <c r="BK51" i="3"/>
  <c r="BI54" i="3"/>
  <c r="BJ55" i="3" s="1"/>
  <c r="AN111" i="3"/>
  <c r="AZ111" i="3"/>
  <c r="BL111" i="3"/>
  <c r="AW60" i="3"/>
  <c r="AW61" i="3" s="1"/>
  <c r="AW63" i="3" s="1"/>
  <c r="AX60" i="3"/>
  <c r="AX61" i="3" s="1"/>
  <c r="AX63" i="3" s="1"/>
  <c r="AI106" i="3"/>
  <c r="AJ105" i="3"/>
  <c r="AJ106" i="3" s="1"/>
  <c r="AO117" i="3"/>
  <c r="AO109" i="3"/>
  <c r="AO110" i="3" s="1"/>
  <c r="AN110" i="3"/>
  <c r="AX116" i="3"/>
  <c r="BJ129" i="3"/>
  <c r="BJ116" i="3"/>
  <c r="BH106" i="3"/>
  <c r="BI105" i="3"/>
  <c r="BI106" i="3" s="1"/>
  <c r="BM129" i="3"/>
  <c r="BM116" i="3"/>
  <c r="BY129" i="3"/>
  <c r="AN106" i="3"/>
  <c r="AJ109" i="3"/>
  <c r="AJ110" i="3" s="1"/>
  <c r="AI110" i="3"/>
  <c r="BQ129" i="3"/>
  <c r="BN105" i="3"/>
  <c r="BN106" i="3" s="1"/>
  <c r="BM110" i="3"/>
  <c r="BN109" i="3"/>
  <c r="BN110" i="3" s="1"/>
  <c r="CF143" i="3"/>
  <c r="CG143" i="3" s="1"/>
  <c r="CC143" i="3"/>
  <c r="AY13" i="4"/>
  <c r="BS6" i="4"/>
  <c r="AG127" i="3"/>
  <c r="BE127" i="3"/>
  <c r="BI29" i="4"/>
  <c r="BI11" i="4"/>
  <c r="BI13" i="4"/>
  <c r="BL115" i="3"/>
  <c r="BL125" i="3" s="1"/>
  <c r="BN11" i="4"/>
  <c r="BN13" i="4"/>
  <c r="AY11" i="4"/>
  <c r="BS13" i="4"/>
  <c r="BS11" i="4"/>
  <c r="BD11" i="4"/>
  <c r="BV129" i="3"/>
  <c r="AH14" i="4"/>
  <c r="AH33" i="4" s="1"/>
  <c r="AH21" i="4"/>
  <c r="BL18" i="4"/>
  <c r="BL14" i="4"/>
  <c r="BL33" i="4" s="1"/>
  <c r="BN17" i="4"/>
  <c r="BN18" i="4" s="1"/>
  <c r="BN6" i="4"/>
  <c r="AG37" i="4"/>
  <c r="AG38" i="4" s="1"/>
  <c r="AK33" i="4"/>
  <c r="BG33" i="4"/>
  <c r="AJ20" i="4"/>
  <c r="AO149" i="3"/>
  <c r="AJ17" i="4"/>
  <c r="AF14" i="4"/>
  <c r="AF21" i="4"/>
  <c r="AF18" i="4"/>
  <c r="AZ33" i="4"/>
  <c r="AZ127" i="3"/>
  <c r="BY18" i="4"/>
  <c r="BY14" i="4"/>
  <c r="BY33" i="4" s="1"/>
  <c r="BY21" i="4"/>
  <c r="AZ18" i="4"/>
  <c r="BM18" i="4"/>
  <c r="BM14" i="4"/>
  <c r="BM33" i="4" s="1"/>
  <c r="BA18" i="4"/>
  <c r="BA14" i="4"/>
  <c r="BA33" i="4" s="1"/>
  <c r="AJ46" i="4"/>
  <c r="BA21" i="4"/>
  <c r="AO17" i="4"/>
  <c r="AO18" i="4" s="1"/>
  <c r="BP14" i="4"/>
  <c r="BP33" i="4" s="1"/>
  <c r="BP21" i="4"/>
  <c r="BB21" i="4"/>
  <c r="BB42" i="4"/>
  <c r="AP18" i="4"/>
  <c r="AT17" i="4"/>
  <c r="AT18" i="4" s="1"/>
  <c r="BD17" i="4"/>
  <c r="BD18" i="4" s="1"/>
  <c r="BN28" i="4"/>
  <c r="BN29" i="4" s="1"/>
  <c r="BJ18" i="4"/>
  <c r="BJ28" i="4"/>
  <c r="BJ29" i="4" s="1"/>
  <c r="AT13" i="4"/>
  <c r="AR14" i="4"/>
  <c r="AR33" i="4" s="1"/>
  <c r="AR21" i="4"/>
  <c r="BS28" i="4"/>
  <c r="BS29" i="4" s="1"/>
  <c r="BX13" i="4"/>
  <c r="AV18" i="4"/>
  <c r="BH18" i="4"/>
  <c r="BT18" i="4"/>
  <c r="AK28" i="4"/>
  <c r="AK29" i="4" s="1"/>
  <c r="AK18" i="4"/>
  <c r="AW18" i="4"/>
  <c r="BU18" i="4"/>
  <c r="BC26" i="4"/>
  <c r="BD26" i="4" s="1"/>
  <c r="BF21" i="4"/>
  <c r="BR21" i="4"/>
  <c r="AG36" i="4"/>
  <c r="AI21" i="4"/>
  <c r="AU21" i="4"/>
  <c r="BG21" i="4"/>
  <c r="BI17" i="4"/>
  <c r="BI18" i="4" s="1"/>
  <c r="BR26" i="4"/>
  <c r="AI26" i="4"/>
  <c r="AJ26" i="4" s="1"/>
  <c r="AU14" i="4"/>
  <c r="CC21" i="2"/>
  <c r="I41" i="9" s="1"/>
  <c r="K41" i="9" s="1"/>
  <c r="BA101" i="2"/>
  <c r="BN101" i="2"/>
  <c r="BB101" i="2"/>
  <c r="BX101" i="2"/>
  <c r="AJ101" i="2"/>
  <c r="BM101" i="2"/>
  <c r="AQ101" i="2"/>
  <c r="AR101" i="2"/>
  <c r="BU101" i="2"/>
  <c r="BG101" i="2"/>
  <c r="BV101" i="2"/>
  <c r="BH101" i="2"/>
  <c r="AO101" i="2"/>
  <c r="AL67" i="2"/>
  <c r="AL66" i="2" s="1"/>
  <c r="AL23" i="2"/>
  <c r="AO28" i="2"/>
  <c r="AO29" i="2" s="1"/>
  <c r="AK102" i="2"/>
  <c r="AK103" i="2" s="1"/>
  <c r="AK98" i="2"/>
  <c r="BO102" i="2"/>
  <c r="BO98" i="2"/>
  <c r="DA20" i="2"/>
  <c r="AJ28" i="2"/>
  <c r="AJ29" i="2" s="1"/>
  <c r="BH67" i="2"/>
  <c r="BH23" i="2"/>
  <c r="BR67" i="2"/>
  <c r="BR23" i="2"/>
  <c r="BW67" i="2"/>
  <c r="BS28" i="2"/>
  <c r="BS29" i="2" s="1"/>
  <c r="AX67" i="2"/>
  <c r="AX23" i="2"/>
  <c r="BC95" i="2"/>
  <c r="AS67" i="2"/>
  <c r="AT24" i="2"/>
  <c r="AT25" i="2" s="1"/>
  <c r="CY20" i="2"/>
  <c r="AY111" i="2"/>
  <c r="AX112" i="2"/>
  <c r="CU20" i="2"/>
  <c r="BH95" i="2"/>
  <c r="BZ72" i="2"/>
  <c r="N20" i="12" s="1"/>
  <c r="BD28" i="2"/>
  <c r="BD29" i="2" s="1"/>
  <c r="BM95" i="2"/>
  <c r="AJ26" i="2"/>
  <c r="AS68" i="2"/>
  <c r="BA98" i="2"/>
  <c r="BA102" i="2"/>
  <c r="AM102" i="2"/>
  <c r="AM98" i="2"/>
  <c r="BB102" i="2"/>
  <c r="BB98" i="2"/>
  <c r="BE102" i="2"/>
  <c r="BE98" i="2"/>
  <c r="AX95" i="2"/>
  <c r="AP102" i="2"/>
  <c r="BW95" i="2"/>
  <c r="BK102" i="2"/>
  <c r="BK98" i="2"/>
  <c r="BY98" i="2"/>
  <c r="BY102" i="2"/>
  <c r="AQ112" i="2"/>
  <c r="BQ112" i="2"/>
  <c r="AS112" i="2"/>
  <c r="BR112" i="2"/>
  <c r="AJ94" i="2"/>
  <c r="BG112" i="2"/>
  <c r="AL102" i="2"/>
  <c r="AL98" i="2"/>
  <c r="AI127" i="3"/>
  <c r="AI129" i="3"/>
  <c r="AI125" i="3"/>
  <c r="AI116" i="3"/>
  <c r="AU127" i="3"/>
  <c r="AU129" i="3"/>
  <c r="AU125" i="3"/>
  <c r="AU116" i="3"/>
  <c r="BG125" i="3"/>
  <c r="BG129" i="3"/>
  <c r="BG127" i="3"/>
  <c r="BG116" i="3"/>
  <c r="BS116" i="3"/>
  <c r="BJ98" i="2"/>
  <c r="AH98" i="2"/>
  <c r="BL112" i="2"/>
  <c r="BQ98" i="2"/>
  <c r="BV98" i="2"/>
  <c r="BV102" i="2"/>
  <c r="AO125" i="3"/>
  <c r="AO129" i="3"/>
  <c r="BA129" i="3"/>
  <c r="BA127" i="3"/>
  <c r="BA116" i="3"/>
  <c r="AG102" i="2"/>
  <c r="AG103" i="2" s="1"/>
  <c r="BA125" i="3"/>
  <c r="CC73" i="3"/>
  <c r="AP116" i="3"/>
  <c r="AP127" i="3"/>
  <c r="AP129" i="3"/>
  <c r="AP125" i="3"/>
  <c r="BB116" i="3"/>
  <c r="BB129" i="3"/>
  <c r="BN129" i="3"/>
  <c r="BN116" i="3"/>
  <c r="BN125" i="3"/>
  <c r="BB125" i="3"/>
  <c r="AQ116" i="3"/>
  <c r="AQ127" i="3"/>
  <c r="AQ129" i="3"/>
  <c r="BC116" i="3"/>
  <c r="BC125" i="3"/>
  <c r="BO129" i="3"/>
  <c r="BO116" i="3"/>
  <c r="BO125" i="3"/>
  <c r="BO127" i="3"/>
  <c r="AF127" i="3"/>
  <c r="AF116" i="3"/>
  <c r="AF125" i="3"/>
  <c r="AR116" i="3"/>
  <c r="AR129" i="3"/>
  <c r="AR125" i="3"/>
  <c r="AR127" i="3"/>
  <c r="BD116" i="3"/>
  <c r="BP116" i="3"/>
  <c r="BP125" i="3"/>
  <c r="BP127" i="3"/>
  <c r="CH73" i="3"/>
  <c r="BC127" i="3"/>
  <c r="AQ125" i="3"/>
  <c r="BH110" i="3"/>
  <c r="BI109" i="3"/>
  <c r="BI110" i="3" s="1"/>
  <c r="AV127" i="3"/>
  <c r="AV129" i="3"/>
  <c r="AV125" i="3"/>
  <c r="AV116" i="3"/>
  <c r="BH129" i="3"/>
  <c r="BH127" i="3"/>
  <c r="BT127" i="3"/>
  <c r="BT125" i="3"/>
  <c r="BT129" i="3"/>
  <c r="BT116" i="3"/>
  <c r="AZ123" i="3"/>
  <c r="AT149" i="3"/>
  <c r="BI149" i="3"/>
  <c r="AZ122" i="3"/>
  <c r="AS127" i="3"/>
  <c r="AS129" i="3"/>
  <c r="AQ123" i="3"/>
  <c r="AQ122" i="3"/>
  <c r="BE125" i="3"/>
  <c r="BS46" i="4"/>
  <c r="BX8" i="4"/>
  <c r="BX6" i="4"/>
  <c r="AH129" i="3"/>
  <c r="AH125" i="3"/>
  <c r="AH127" i="3"/>
  <c r="AT129" i="3"/>
  <c r="BF127" i="3"/>
  <c r="BF125" i="3"/>
  <c r="AG116" i="3"/>
  <c r="BQ116" i="3"/>
  <c r="AS110" i="3"/>
  <c r="AK129" i="3"/>
  <c r="AK125" i="3"/>
  <c r="AW127" i="3"/>
  <c r="AW125" i="3"/>
  <c r="BI127" i="3"/>
  <c r="BQ127" i="3"/>
  <c r="AJ16" i="4"/>
  <c r="AJ8" i="4"/>
  <c r="AJ6" i="4"/>
  <c r="AZ42" i="4"/>
  <c r="AL129" i="3"/>
  <c r="AL125" i="3"/>
  <c r="AX125" i="3"/>
  <c r="BJ127" i="3"/>
  <c r="BJ125" i="3"/>
  <c r="BE116" i="3"/>
  <c r="BR127" i="3"/>
  <c r="BS149" i="3"/>
  <c r="AM42" i="4"/>
  <c r="AO41" i="4"/>
  <c r="AM129" i="3"/>
  <c r="AM116" i="3"/>
  <c r="BK127" i="3"/>
  <c r="BK125" i="3"/>
  <c r="BK116" i="3"/>
  <c r="BW127" i="3"/>
  <c r="BW129" i="3"/>
  <c r="BW116" i="3"/>
  <c r="AL116" i="3"/>
  <c r="BF116" i="3"/>
  <c r="BU46" i="4"/>
  <c r="BY28" i="4"/>
  <c r="BY29" i="4" s="1"/>
  <c r="BY16" i="4"/>
  <c r="BY6" i="4"/>
  <c r="AY149" i="3"/>
  <c r="BY127" i="3"/>
  <c r="AZ129" i="3"/>
  <c r="AO46" i="4"/>
  <c r="AT16" i="4"/>
  <c r="BY125" i="3"/>
  <c r="AT46" i="4"/>
  <c r="AY6" i="4"/>
  <c r="AY16" i="4"/>
  <c r="AY8" i="4"/>
  <c r="BY8" i="4"/>
  <c r="BO42" i="4"/>
  <c r="AO8" i="4"/>
  <c r="BN46" i="4"/>
  <c r="BS16" i="4"/>
  <c r="AO6" i="4"/>
  <c r="AH36" i="4"/>
  <c r="AH37" i="4"/>
  <c r="AH38" i="4" s="1"/>
  <c r="BD6" i="4"/>
  <c r="AH42" i="4"/>
  <c r="BI46" i="4"/>
  <c r="BN16" i="4"/>
  <c r="BD8" i="4"/>
  <c r="AG42" i="4"/>
  <c r="AM37" i="4"/>
  <c r="AM38" i="4" s="1"/>
  <c r="AJ51" i="3" l="1"/>
  <c r="AI41" i="2"/>
  <c r="AK83" i="3"/>
  <c r="BK135" i="3"/>
  <c r="BY17" i="2"/>
  <c r="CB94" i="3"/>
  <c r="BL59" i="2"/>
  <c r="BK59" i="2"/>
  <c r="BK22" i="2"/>
  <c r="BK16" i="2"/>
  <c r="BK78" i="2" s="1"/>
  <c r="BK19" i="2"/>
  <c r="CA129" i="3"/>
  <c r="CA125" i="3"/>
  <c r="CA127" i="3"/>
  <c r="BU113" i="3"/>
  <c r="BS125" i="3"/>
  <c r="CC49" i="4"/>
  <c r="BN21" i="4"/>
  <c r="BV127" i="3"/>
  <c r="BV125" i="3"/>
  <c r="AI19" i="2"/>
  <c r="C36" i="9"/>
  <c r="F16" i="12"/>
  <c r="C16" i="9"/>
  <c r="F20" i="12"/>
  <c r="BA57" i="3"/>
  <c r="BL27" i="2"/>
  <c r="BL132" i="3"/>
  <c r="AH19" i="2"/>
  <c r="BI14" i="4"/>
  <c r="BI33" i="4" s="1"/>
  <c r="AJ83" i="3"/>
  <c r="AM123" i="3"/>
  <c r="AJ134" i="3"/>
  <c r="AJ146" i="3" s="1"/>
  <c r="AJ147" i="3" s="1"/>
  <c r="AT134" i="3"/>
  <c r="AT146" i="3" s="1"/>
  <c r="AV113" i="3"/>
  <c r="AW79" i="3"/>
  <c r="CC44" i="3"/>
  <c r="AX79" i="3"/>
  <c r="AS132" i="3"/>
  <c r="AY127" i="3"/>
  <c r="BX63" i="3"/>
  <c r="AT60" i="3"/>
  <c r="AT61" i="3" s="1"/>
  <c r="AG79" i="3"/>
  <c r="AY116" i="3"/>
  <c r="AU113" i="3"/>
  <c r="AI55" i="3"/>
  <c r="AG22" i="2"/>
  <c r="BF37" i="4"/>
  <c r="BF38" i="4" s="1"/>
  <c r="AL113" i="2"/>
  <c r="AL114" i="2" s="1"/>
  <c r="AL116" i="2" s="1"/>
  <c r="AL118" i="2" s="1"/>
  <c r="AO14" i="4"/>
  <c r="AO33" i="4" s="1"/>
  <c r="BX125" i="3"/>
  <c r="BX14" i="4"/>
  <c r="BX33" i="4" s="1"/>
  <c r="AR83" i="3"/>
  <c r="BN55" i="3"/>
  <c r="BE83" i="3"/>
  <c r="AP93" i="3"/>
  <c r="AX132" i="3"/>
  <c r="AQ96" i="2"/>
  <c r="AQ97" i="2" s="1"/>
  <c r="BA132" i="3"/>
  <c r="BC96" i="3"/>
  <c r="AF36" i="4"/>
  <c r="BZ37" i="4"/>
  <c r="BZ38" i="4" s="1"/>
  <c r="AY129" i="3"/>
  <c r="BL36" i="4"/>
  <c r="BX21" i="4"/>
  <c r="AZ41" i="2"/>
  <c r="AF122" i="3"/>
  <c r="AG16" i="2"/>
  <c r="AG78" i="2" s="1"/>
  <c r="BJ113" i="3"/>
  <c r="AZ22" i="2"/>
  <c r="BK37" i="4"/>
  <c r="BK38" i="4" s="1"/>
  <c r="BX20" i="2"/>
  <c r="AO63" i="3"/>
  <c r="AZ19" i="2"/>
  <c r="BS20" i="2"/>
  <c r="AN27" i="2"/>
  <c r="BT36" i="4"/>
  <c r="AN112" i="2"/>
  <c r="AY21" i="4"/>
  <c r="AK27" i="2"/>
  <c r="AP81" i="3"/>
  <c r="AP82" i="3" s="1"/>
  <c r="BL19" i="2"/>
  <c r="BZ113" i="2"/>
  <c r="BZ114" i="2" s="1"/>
  <c r="BK123" i="3"/>
  <c r="BX60" i="3"/>
  <c r="BX61" i="3" s="1"/>
  <c r="BX127" i="3"/>
  <c r="BL42" i="4"/>
  <c r="BW113" i="3"/>
  <c r="AO60" i="3"/>
  <c r="AO61" i="3" s="1"/>
  <c r="AO39" i="4"/>
  <c r="AO40" i="4" s="1"/>
  <c r="BK113" i="2"/>
  <c r="BK115" i="2" s="1"/>
  <c r="BK117" i="2" s="1"/>
  <c r="BN63" i="3"/>
  <c r="AI113" i="3"/>
  <c r="AJ63" i="3"/>
  <c r="AU81" i="3"/>
  <c r="BY103" i="2"/>
  <c r="BY104" i="2" s="1"/>
  <c r="AP39" i="4"/>
  <c r="AP111" i="2" s="1"/>
  <c r="AP112" i="2" s="1"/>
  <c r="AQ34" i="4"/>
  <c r="AH41" i="2"/>
  <c r="BO39" i="4"/>
  <c r="BO111" i="2" s="1"/>
  <c r="BP34" i="4"/>
  <c r="AH22" i="2"/>
  <c r="BN83" i="3"/>
  <c r="BT39" i="4"/>
  <c r="BT111" i="2" s="1"/>
  <c r="BT112" i="2" s="1"/>
  <c r="BX112" i="2" s="1"/>
  <c r="BU34" i="4"/>
  <c r="BE39" i="4"/>
  <c r="BE37" i="4" s="1"/>
  <c r="BE38" i="4" s="1"/>
  <c r="BF34" i="4"/>
  <c r="BJ83" i="3"/>
  <c r="AZ39" i="4"/>
  <c r="AZ37" i="4" s="1"/>
  <c r="AZ38" i="4" s="1"/>
  <c r="BA34" i="4"/>
  <c r="BY39" i="4"/>
  <c r="BY37" i="4" s="1"/>
  <c r="BY38" i="4" s="1"/>
  <c r="BZ34" i="4"/>
  <c r="AO21" i="4"/>
  <c r="AU39" i="4"/>
  <c r="AU111" i="2" s="1"/>
  <c r="AU112" i="2" s="1"/>
  <c r="AY112" i="2" s="1"/>
  <c r="AV34" i="4"/>
  <c r="AO50" i="2"/>
  <c r="BJ39" i="4"/>
  <c r="BN39" i="4" s="1"/>
  <c r="BN40" i="4" s="1"/>
  <c r="BK34" i="4"/>
  <c r="BE79" i="3"/>
  <c r="AI22" i="2"/>
  <c r="AG19" i="2"/>
  <c r="BO61" i="3"/>
  <c r="BO63" i="3" s="1"/>
  <c r="BS63" i="3" s="1"/>
  <c r="BS60" i="3"/>
  <c r="BS61" i="3" s="1"/>
  <c r="AT14" i="4"/>
  <c r="AT33" i="4" s="1"/>
  <c r="BH79" i="3"/>
  <c r="AK36" i="4"/>
  <c r="BK113" i="3"/>
  <c r="BG55" i="3"/>
  <c r="AZ139" i="3"/>
  <c r="BY60" i="3"/>
  <c r="BY61" i="3" s="1"/>
  <c r="BY63" i="3" s="1"/>
  <c r="C34" i="9"/>
  <c r="BF140" i="3"/>
  <c r="BN60" i="3"/>
  <c r="BN61" i="3" s="1"/>
  <c r="AZ113" i="3"/>
  <c r="BN49" i="4"/>
  <c r="BS21" i="4"/>
  <c r="BK103" i="2"/>
  <c r="BG96" i="2"/>
  <c r="BG97" i="2" s="1"/>
  <c r="AR96" i="2"/>
  <c r="AR97" i="2" s="1"/>
  <c r="AK81" i="3"/>
  <c r="AK82" i="3" s="1"/>
  <c r="BO103" i="2"/>
  <c r="BO104" i="2" s="1"/>
  <c r="BG103" i="2"/>
  <c r="BG104" i="2" s="1"/>
  <c r="BU79" i="3"/>
  <c r="BM96" i="2"/>
  <c r="BM97" i="2" s="1"/>
  <c r="AW113" i="3"/>
  <c r="BQ113" i="3"/>
  <c r="AT28" i="3"/>
  <c r="AU96" i="2" s="1"/>
  <c r="AU97" i="2" s="1"/>
  <c r="BO81" i="3"/>
  <c r="AM113" i="3"/>
  <c r="AJ62" i="2"/>
  <c r="CB63" i="3"/>
  <c r="L92" i="3"/>
  <c r="L50" i="3"/>
  <c r="L131" i="3"/>
  <c r="L48" i="4"/>
  <c r="L31" i="4"/>
  <c r="L44" i="4"/>
  <c r="L142" i="3"/>
  <c r="L70" i="3"/>
  <c r="L3" i="4"/>
  <c r="L23" i="4"/>
  <c r="L58" i="2"/>
  <c r="L3" i="2"/>
  <c r="L47" i="2"/>
  <c r="L93" i="2"/>
  <c r="L76" i="2"/>
  <c r="L106" i="2"/>
  <c r="L3" i="3"/>
  <c r="AS83" i="3"/>
  <c r="BK96" i="2"/>
  <c r="BK97" i="2" s="1"/>
  <c r="BB96" i="2"/>
  <c r="BB97" i="2" s="1"/>
  <c r="AT20" i="4"/>
  <c r="BQ103" i="2"/>
  <c r="BD95" i="2"/>
  <c r="BD96" i="2" s="1"/>
  <c r="BD97" i="2" s="1"/>
  <c r="BC96" i="2"/>
  <c r="BC97" i="2" s="1"/>
  <c r="BE103" i="2"/>
  <c r="BE104" i="2" s="1"/>
  <c r="BY83" i="3"/>
  <c r="BZ83" i="3"/>
  <c r="BZ96" i="2"/>
  <c r="BZ97" i="2" s="1"/>
  <c r="BZ103" i="2"/>
  <c r="BZ104" i="2" s="1"/>
  <c r="BQ83" i="3"/>
  <c r="BG83" i="3"/>
  <c r="AG27" i="2"/>
  <c r="AF27" i="2"/>
  <c r="AO27" i="2"/>
  <c r="I142" i="3"/>
  <c r="I70" i="3"/>
  <c r="I3" i="4"/>
  <c r="I23" i="4"/>
  <c r="I92" i="3"/>
  <c r="I50" i="3"/>
  <c r="I131" i="3"/>
  <c r="I48" i="4"/>
  <c r="I31" i="4"/>
  <c r="I44" i="4"/>
  <c r="I58" i="2"/>
  <c r="I3" i="2"/>
  <c r="I47" i="2"/>
  <c r="I93" i="2"/>
  <c r="I76" i="2"/>
  <c r="I106" i="2"/>
  <c r="I3" i="3"/>
  <c r="L20" i="4"/>
  <c r="AL79" i="3"/>
  <c r="BX20" i="4"/>
  <c r="BD20" i="4"/>
  <c r="AH96" i="2"/>
  <c r="AH97" i="2" s="1"/>
  <c r="AZ96" i="2"/>
  <c r="AW96" i="2"/>
  <c r="AK25" i="2"/>
  <c r="AO87" i="3"/>
  <c r="AJ88" i="3"/>
  <c r="AK87" i="3"/>
  <c r="BX83" i="3"/>
  <c r="AZ82" i="3"/>
  <c r="K23" i="4"/>
  <c r="K92" i="3"/>
  <c r="K50" i="3"/>
  <c r="K131" i="3"/>
  <c r="K48" i="4"/>
  <c r="K31" i="4"/>
  <c r="K44" i="4"/>
  <c r="K142" i="3"/>
  <c r="K70" i="3"/>
  <c r="K3" i="4"/>
  <c r="K58" i="2"/>
  <c r="K3" i="2"/>
  <c r="K47" i="2"/>
  <c r="K93" i="2"/>
  <c r="K76" i="2"/>
  <c r="K106" i="2"/>
  <c r="K3" i="3"/>
  <c r="AH103" i="2"/>
  <c r="AZ103" i="2"/>
  <c r="AZ104" i="2" s="1"/>
  <c r="AW103" i="2"/>
  <c r="AW104" i="2" s="1"/>
  <c r="AX83" i="3"/>
  <c r="BU83" i="3"/>
  <c r="BI95" i="2"/>
  <c r="BI96" i="2" s="1"/>
  <c r="BI97" i="2" s="1"/>
  <c r="BH96" i="2"/>
  <c r="AV27" i="2"/>
  <c r="AG41" i="2"/>
  <c r="BV79" i="3"/>
  <c r="BU96" i="2"/>
  <c r="BU97" i="2" s="1"/>
  <c r="BV103" i="2"/>
  <c r="BV104" i="2" s="1"/>
  <c r="BB103" i="2"/>
  <c r="BB104" i="2" s="1"/>
  <c r="BZ79" i="3"/>
  <c r="BV57" i="3"/>
  <c r="BV66" i="3" s="1"/>
  <c r="BT27" i="2"/>
  <c r="BV83" i="3"/>
  <c r="BU103" i="2"/>
  <c r="BU104" i="2" s="1"/>
  <c r="AO20" i="4"/>
  <c r="AZ83" i="3"/>
  <c r="AN96" i="2"/>
  <c r="AN97" i="2" s="1"/>
  <c r="AQ103" i="2"/>
  <c r="BL79" i="3"/>
  <c r="BS83" i="3"/>
  <c r="BE81" i="3"/>
  <c r="BE82" i="3" s="1"/>
  <c r="BX49" i="4"/>
  <c r="BA96" i="2"/>
  <c r="BA97" i="2" s="1"/>
  <c r="BH83" i="3"/>
  <c r="BA83" i="3"/>
  <c r="AM103" i="2"/>
  <c r="AM104" i="2" s="1"/>
  <c r="AM27" i="2"/>
  <c r="BO83" i="3"/>
  <c r="AP61" i="3"/>
  <c r="AP63" i="3" s="1"/>
  <c r="BT79" i="3"/>
  <c r="AI98" i="2"/>
  <c r="AI96" i="2"/>
  <c r="AI97" i="2" s="1"/>
  <c r="BP8" i="2"/>
  <c r="BL57" i="3"/>
  <c r="BL64" i="3" s="1"/>
  <c r="BL67" i="3" s="1"/>
  <c r="CQ8" i="4"/>
  <c r="CQ13" i="4" s="1"/>
  <c r="BO96" i="2"/>
  <c r="AR103" i="2"/>
  <c r="BB79" i="3"/>
  <c r="BI49" i="4"/>
  <c r="AX98" i="2"/>
  <c r="AX96" i="2"/>
  <c r="AX113" i="3"/>
  <c r="R20" i="4"/>
  <c r="AR79" i="3"/>
  <c r="BY82" i="3"/>
  <c r="AF103" i="2"/>
  <c r="AF104" i="2" s="1"/>
  <c r="H44" i="4"/>
  <c r="H142" i="3"/>
  <c r="H70" i="3"/>
  <c r="H3" i="4"/>
  <c r="H23" i="4"/>
  <c r="H92" i="3"/>
  <c r="H50" i="3"/>
  <c r="H131" i="3"/>
  <c r="H48" i="4"/>
  <c r="H31" i="4"/>
  <c r="H58" i="2"/>
  <c r="H3" i="2"/>
  <c r="H47" i="2"/>
  <c r="H93" i="2"/>
  <c r="H76" i="2"/>
  <c r="H106" i="2"/>
  <c r="H3" i="3"/>
  <c r="AM79" i="3"/>
  <c r="BN20" i="4"/>
  <c r="BI20" i="4"/>
  <c r="BX81" i="3"/>
  <c r="BD14" i="4"/>
  <c r="BD33" i="4" s="1"/>
  <c r="AK132" i="3"/>
  <c r="BI83" i="3"/>
  <c r="AH83" i="3"/>
  <c r="BL103" i="2"/>
  <c r="BL104" i="2" s="1"/>
  <c r="BR102" i="2"/>
  <c r="BR103" i="2" s="1"/>
  <c r="BR96" i="2"/>
  <c r="BR97" i="2" s="1"/>
  <c r="AV79" i="3"/>
  <c r="AV103" i="2"/>
  <c r="AV104" i="2" s="1"/>
  <c r="G44" i="4"/>
  <c r="G142" i="3"/>
  <c r="G70" i="3"/>
  <c r="G3" i="4"/>
  <c r="G23" i="4"/>
  <c r="G92" i="3"/>
  <c r="G50" i="3"/>
  <c r="G131" i="3"/>
  <c r="G48" i="4"/>
  <c r="G31" i="4"/>
  <c r="G3" i="3"/>
  <c r="G58" i="2"/>
  <c r="G3" i="2"/>
  <c r="G47" i="2"/>
  <c r="G93" i="2"/>
  <c r="G76" i="2"/>
  <c r="G106" i="2"/>
  <c r="BS20" i="4"/>
  <c r="AM81" i="3"/>
  <c r="AM82" i="3" s="1"/>
  <c r="AL81" i="3"/>
  <c r="AL82" i="3" s="1"/>
  <c r="BA103" i="2"/>
  <c r="BA104" i="2" s="1"/>
  <c r="BX95" i="2"/>
  <c r="BX96" i="2" s="1"/>
  <c r="BX97" i="2" s="1"/>
  <c r="BW96" i="2"/>
  <c r="BW97" i="2" s="1"/>
  <c r="AG115" i="2"/>
  <c r="AG117" i="2" s="1"/>
  <c r="AH5" i="3"/>
  <c r="AH4" i="3" s="1"/>
  <c r="AH139" i="3" s="1"/>
  <c r="AH79" i="3"/>
  <c r="H20" i="4"/>
  <c r="AF79" i="3"/>
  <c r="AS102" i="2"/>
  <c r="AS103" i="2" s="1"/>
  <c r="AS104" i="2" s="1"/>
  <c r="AS96" i="2"/>
  <c r="AS97" i="2" s="1"/>
  <c r="BF83" i="3"/>
  <c r="BJ82" i="3"/>
  <c r="AQ83" i="3"/>
  <c r="BC83" i="3"/>
  <c r="AM85" i="2"/>
  <c r="N131" i="3"/>
  <c r="N48" i="4"/>
  <c r="N31" i="4"/>
  <c r="N44" i="4"/>
  <c r="N142" i="3"/>
  <c r="N70" i="3"/>
  <c r="N3" i="4"/>
  <c r="N23" i="4"/>
  <c r="N92" i="3"/>
  <c r="N50" i="3"/>
  <c r="N47" i="2"/>
  <c r="N93" i="2"/>
  <c r="N76" i="2"/>
  <c r="N106" i="2"/>
  <c r="N3" i="3"/>
  <c r="N58" i="2"/>
  <c r="N3" i="2"/>
  <c r="BZ112" i="2"/>
  <c r="BJ96" i="2"/>
  <c r="BJ97" i="2" s="1"/>
  <c r="AS79" i="3"/>
  <c r="BK83" i="3"/>
  <c r="AL103" i="2"/>
  <c r="AL104" i="2" s="1"/>
  <c r="BT113" i="3"/>
  <c r="AL27" i="2"/>
  <c r="AI93" i="3"/>
  <c r="AI79" i="3"/>
  <c r="I20" i="4"/>
  <c r="BA82" i="3"/>
  <c r="BF103" i="2"/>
  <c r="BF104" i="2" s="1"/>
  <c r="BA113" i="3"/>
  <c r="J3" i="4"/>
  <c r="J23" i="4"/>
  <c r="J92" i="3"/>
  <c r="J50" i="3"/>
  <c r="J131" i="3"/>
  <c r="J48" i="4"/>
  <c r="J31" i="4"/>
  <c r="J44" i="4"/>
  <c r="J142" i="3"/>
  <c r="J70" i="3"/>
  <c r="J58" i="2"/>
  <c r="J3" i="2"/>
  <c r="J47" i="2"/>
  <c r="J93" i="2"/>
  <c r="J76" i="2"/>
  <c r="J106" i="2"/>
  <c r="J3" i="3"/>
  <c r="CG6" i="4"/>
  <c r="AQ81" i="3"/>
  <c r="AQ82" i="3" s="1"/>
  <c r="BJ103" i="2"/>
  <c r="BJ104" i="2" s="1"/>
  <c r="BY96" i="2"/>
  <c r="BY97" i="2" s="1"/>
  <c r="BS49" i="4"/>
  <c r="BP96" i="2"/>
  <c r="BP97" i="2" s="1"/>
  <c r="AT88" i="3"/>
  <c r="AY87" i="3"/>
  <c r="AU87" i="3"/>
  <c r="AU25" i="2"/>
  <c r="BP83" i="3"/>
  <c r="BD83" i="3"/>
  <c r="BI4" i="2"/>
  <c r="BI21" i="4"/>
  <c r="AP5" i="3"/>
  <c r="AP4" i="3" s="1"/>
  <c r="AP140" i="3" s="1"/>
  <c r="BF79" i="3"/>
  <c r="BF96" i="2"/>
  <c r="BF97" i="2" s="1"/>
  <c r="BE96" i="2"/>
  <c r="BE97" i="2" s="1"/>
  <c r="BR83" i="3"/>
  <c r="BV96" i="2"/>
  <c r="BV97" i="2" s="1"/>
  <c r="AY20" i="4"/>
  <c r="BQ96" i="2"/>
  <c r="BD49" i="4"/>
  <c r="BP103" i="2"/>
  <c r="BP104" i="2" s="1"/>
  <c r="BI63" i="3"/>
  <c r="AP55" i="3"/>
  <c r="AM132" i="3"/>
  <c r="AW97" i="2"/>
  <c r="AM57" i="3"/>
  <c r="AO8" i="3"/>
  <c r="AO93" i="3" s="1"/>
  <c r="AL5" i="3"/>
  <c r="AL4" i="3" s="1"/>
  <c r="AO53" i="3"/>
  <c r="AN113" i="3"/>
  <c r="AR113" i="3"/>
  <c r="AL113" i="3"/>
  <c r="AK113" i="3"/>
  <c r="AQ96" i="3"/>
  <c r="AQ39" i="2" s="1"/>
  <c r="AN93" i="3"/>
  <c r="AN96" i="3" s="1"/>
  <c r="AN39" i="2" s="1"/>
  <c r="N20" i="4"/>
  <c r="AK17" i="2"/>
  <c r="AS66" i="2"/>
  <c r="AM17" i="2"/>
  <c r="AQ37" i="4"/>
  <c r="AQ38" i="4" s="1"/>
  <c r="AR37" i="4"/>
  <c r="AR38" i="4" s="1"/>
  <c r="AK37" i="4"/>
  <c r="AK38" i="4" s="1"/>
  <c r="AQ116" i="2"/>
  <c r="AQ118" i="2" s="1"/>
  <c r="AO35" i="4"/>
  <c r="AQ115" i="2"/>
  <c r="AQ117" i="2" s="1"/>
  <c r="AJ127" i="3"/>
  <c r="AJ21" i="4"/>
  <c r="AI132" i="3"/>
  <c r="AH104" i="2"/>
  <c r="AJ27" i="3"/>
  <c r="AJ26" i="3" s="1"/>
  <c r="AF132" i="3"/>
  <c r="V111" i="2"/>
  <c r="V113" i="2"/>
  <c r="V114" i="2" s="1"/>
  <c r="Z114" i="2" s="1"/>
  <c r="T112" i="2"/>
  <c r="U111" i="2"/>
  <c r="T115" i="2"/>
  <c r="O115" i="2"/>
  <c r="P111" i="2"/>
  <c r="O112" i="2"/>
  <c r="G111" i="2"/>
  <c r="G113" i="2"/>
  <c r="G114" i="2" s="1"/>
  <c r="K114" i="2" s="1"/>
  <c r="E114" i="2"/>
  <c r="F113" i="2"/>
  <c r="AC115" i="2"/>
  <c r="AC117" i="2" s="1"/>
  <c r="AC112" i="2"/>
  <c r="AC116" i="2" s="1"/>
  <c r="AC118" i="2" s="1"/>
  <c r="X115" i="2"/>
  <c r="X117" i="2" s="1"/>
  <c r="X112" i="2"/>
  <c r="X116" i="2" s="1"/>
  <c r="X118" i="2" s="1"/>
  <c r="E112" i="2"/>
  <c r="F111" i="2"/>
  <c r="E115" i="2"/>
  <c r="I115" i="2"/>
  <c r="I117" i="2" s="1"/>
  <c r="I112" i="2"/>
  <c r="I116" i="2" s="1"/>
  <c r="I118" i="2" s="1"/>
  <c r="AA111" i="2"/>
  <c r="AA113" i="2"/>
  <c r="AA114" i="2" s="1"/>
  <c r="AE114" i="2" s="1"/>
  <c r="Q113" i="2"/>
  <c r="Q114" i="2" s="1"/>
  <c r="U114" i="2" s="1"/>
  <c r="Q111" i="2"/>
  <c r="S112" i="2"/>
  <c r="S116" i="2" s="1"/>
  <c r="S118" i="2" s="1"/>
  <c r="S115" i="2"/>
  <c r="S117" i="2" s="1"/>
  <c r="N112" i="2"/>
  <c r="N116" i="2" s="1"/>
  <c r="N118" i="2" s="1"/>
  <c r="N115" i="2"/>
  <c r="N117" i="2" s="1"/>
  <c r="W115" i="2"/>
  <c r="W117" i="2" s="1"/>
  <c r="W112" i="2"/>
  <c r="W116" i="2" s="1"/>
  <c r="W118" i="2" s="1"/>
  <c r="M115" i="2"/>
  <c r="M117" i="2" s="1"/>
  <c r="M112" i="2"/>
  <c r="M116" i="2" s="1"/>
  <c r="M118" i="2" s="1"/>
  <c r="D112" i="2"/>
  <c r="D116" i="2" s="1"/>
  <c r="D118" i="2" s="1"/>
  <c r="D115" i="2"/>
  <c r="D117" i="2" s="1"/>
  <c r="L111" i="2"/>
  <c r="L113" i="2"/>
  <c r="L114" i="2" s="1"/>
  <c r="P114" i="2" s="1"/>
  <c r="Y115" i="2"/>
  <c r="Z111" i="2"/>
  <c r="Y112" i="2"/>
  <c r="H115" i="2"/>
  <c r="H117" i="2" s="1"/>
  <c r="H112" i="2"/>
  <c r="H116" i="2" s="1"/>
  <c r="H118" i="2" s="1"/>
  <c r="R112" i="2"/>
  <c r="R116" i="2" s="1"/>
  <c r="R118" i="2" s="1"/>
  <c r="R115" i="2"/>
  <c r="R117" i="2" s="1"/>
  <c r="Z113" i="2"/>
  <c r="Y114" i="2"/>
  <c r="AD114" i="2"/>
  <c r="AE113" i="2"/>
  <c r="J115" i="2"/>
  <c r="J112" i="2"/>
  <c r="K111" i="2"/>
  <c r="AE111" i="2"/>
  <c r="AD115" i="2"/>
  <c r="AD112" i="2"/>
  <c r="C115" i="2"/>
  <c r="C117" i="2" s="1"/>
  <c r="C112" i="2"/>
  <c r="C116" i="2" s="1"/>
  <c r="C118" i="2" s="1"/>
  <c r="K113" i="2"/>
  <c r="J114" i="2"/>
  <c r="AB115" i="2"/>
  <c r="AB117" i="2" s="1"/>
  <c r="AB112" i="2"/>
  <c r="AB116" i="2" s="1"/>
  <c r="AB118" i="2" s="1"/>
  <c r="T114" i="2"/>
  <c r="U113" i="2"/>
  <c r="O114" i="2"/>
  <c r="P113" i="2"/>
  <c r="AI42" i="4"/>
  <c r="AJ35" i="4"/>
  <c r="AJ36" i="4" s="1"/>
  <c r="AJ15" i="2"/>
  <c r="AT65" i="3"/>
  <c r="AJ65" i="3"/>
  <c r="AJ132" i="3" s="1"/>
  <c r="CB53" i="3"/>
  <c r="CF53" i="3" s="1"/>
  <c r="CG53" i="3" s="1"/>
  <c r="CI53" i="3" s="1"/>
  <c r="CJ53" i="3" s="1"/>
  <c r="CK53" i="3" s="1"/>
  <c r="CL53" i="3" s="1"/>
  <c r="CN53" i="3" s="1"/>
  <c r="CO53" i="3" s="1"/>
  <c r="CP53" i="3" s="1"/>
  <c r="CQ53" i="3" s="1"/>
  <c r="CS53" i="3" s="1"/>
  <c r="CT53" i="3" s="1"/>
  <c r="CU53" i="3" s="1"/>
  <c r="CV53" i="3" s="1"/>
  <c r="CX53" i="3" s="1"/>
  <c r="CY53" i="3" s="1"/>
  <c r="CZ53" i="3" s="1"/>
  <c r="DA53" i="3" s="1"/>
  <c r="BS39" i="4"/>
  <c r="BS40" i="4" s="1"/>
  <c r="BD108" i="3"/>
  <c r="BX116" i="3"/>
  <c r="BS14" i="4"/>
  <c r="BS33" i="4" s="1"/>
  <c r="BL116" i="3"/>
  <c r="BL127" i="3"/>
  <c r="BL129" i="3"/>
  <c r="BD129" i="3"/>
  <c r="AT21" i="4"/>
  <c r="AO20" i="2"/>
  <c r="BX108" i="3"/>
  <c r="CF46" i="3"/>
  <c r="CG46" i="3" s="1"/>
  <c r="CH46" i="3" s="1"/>
  <c r="BH55" i="3"/>
  <c r="BO113" i="3"/>
  <c r="BB113" i="3"/>
  <c r="BQ104" i="3"/>
  <c r="BC104" i="3"/>
  <c r="CF110" i="3"/>
  <c r="CG110" i="3" s="1"/>
  <c r="CI110" i="3" s="1"/>
  <c r="CJ110" i="3" s="1"/>
  <c r="CK110" i="3" s="1"/>
  <c r="CL110" i="3" s="1"/>
  <c r="CN110" i="3" s="1"/>
  <c r="CO110" i="3" s="1"/>
  <c r="CP110" i="3" s="1"/>
  <c r="CQ110" i="3" s="1"/>
  <c r="CS110" i="3" s="1"/>
  <c r="CT110" i="3" s="1"/>
  <c r="CU110" i="3" s="1"/>
  <c r="CV110" i="3" s="1"/>
  <c r="CX110" i="3" s="1"/>
  <c r="CY110" i="3" s="1"/>
  <c r="CZ110" i="3" s="1"/>
  <c r="DA110" i="3" s="1"/>
  <c r="BQ96" i="3"/>
  <c r="BC5" i="3"/>
  <c r="BC4" i="3" s="1"/>
  <c r="BC140" i="3" s="1"/>
  <c r="AY53" i="3"/>
  <c r="BO37" i="4"/>
  <c r="BO38" i="4" s="1"/>
  <c r="BE122" i="3"/>
  <c r="BY122" i="3"/>
  <c r="BN50" i="2"/>
  <c r="BD50" i="2"/>
  <c r="BS50" i="2"/>
  <c r="BH42" i="4"/>
  <c r="BB36" i="4"/>
  <c r="BJ36" i="4"/>
  <c r="BL37" i="4"/>
  <c r="BL38" i="4" s="1"/>
  <c r="BX23" i="2"/>
  <c r="AK55" i="3"/>
  <c r="AY55" i="3"/>
  <c r="AJ60" i="3"/>
  <c r="AJ61" i="3" s="1"/>
  <c r="BI60" i="3"/>
  <c r="BI61" i="3" s="1"/>
  <c r="AY63" i="3"/>
  <c r="CK49" i="4"/>
  <c r="BS95" i="2"/>
  <c r="CL49" i="4"/>
  <c r="CJ49" i="4"/>
  <c r="CJ11" i="3" s="1"/>
  <c r="AS98" i="2"/>
  <c r="AT95" i="2"/>
  <c r="BR98" i="2"/>
  <c r="S3" i="1"/>
  <c r="M3" i="1"/>
  <c r="Q3" i="1"/>
  <c r="P3" i="1"/>
  <c r="O3" i="1"/>
  <c r="AO95" i="2"/>
  <c r="I34" i="9"/>
  <c r="K34" i="9" s="1"/>
  <c r="AI102" i="2"/>
  <c r="AJ95" i="2"/>
  <c r="AQ104" i="2"/>
  <c r="CC25" i="4"/>
  <c r="BS134" i="3"/>
  <c r="BS65" i="3"/>
  <c r="BY27" i="3"/>
  <c r="BY26" i="3" s="1"/>
  <c r="BY51" i="3"/>
  <c r="BY132" i="3" s="1"/>
  <c r="BL27" i="3"/>
  <c r="BL26" i="3" s="1"/>
  <c r="BF59" i="2"/>
  <c r="BF19" i="2"/>
  <c r="BF41" i="2"/>
  <c r="BB8" i="2"/>
  <c r="BB9" i="2"/>
  <c r="BH135" i="3"/>
  <c r="BH146" i="3"/>
  <c r="BJ93" i="3"/>
  <c r="AI68" i="2"/>
  <c r="AJ13" i="2"/>
  <c r="AJ68" i="2" s="1"/>
  <c r="AN64" i="3"/>
  <c r="AP146" i="3"/>
  <c r="AP147" i="3" s="1"/>
  <c r="AP135" i="3"/>
  <c r="AM64" i="3"/>
  <c r="AM66" i="3"/>
  <c r="BG135" i="3"/>
  <c r="BG146" i="3"/>
  <c r="BV68" i="2"/>
  <c r="BV66" i="2" s="1"/>
  <c r="BV93" i="3"/>
  <c r="BV96" i="3" s="1"/>
  <c r="AU36" i="4"/>
  <c r="AU42" i="4"/>
  <c r="AO13" i="2"/>
  <c r="AO68" i="2" s="1"/>
  <c r="AN68" i="2"/>
  <c r="BY101" i="3"/>
  <c r="BZ104" i="3" s="1"/>
  <c r="CC19" i="3"/>
  <c r="CF19" i="3" s="1"/>
  <c r="CG19" i="3" s="1"/>
  <c r="CH19" i="3" s="1"/>
  <c r="CI19" i="3" s="1"/>
  <c r="CJ19" i="3" s="1"/>
  <c r="CK19" i="3" s="1"/>
  <c r="CL19" i="3" s="1"/>
  <c r="CM19" i="3" s="1"/>
  <c r="CN19" i="3" s="1"/>
  <c r="CO19" i="3" s="1"/>
  <c r="CP19" i="3" s="1"/>
  <c r="CQ19" i="3" s="1"/>
  <c r="CR19" i="3" s="1"/>
  <c r="CS19" i="3" s="1"/>
  <c r="CT19" i="3" s="1"/>
  <c r="CU19" i="3" s="1"/>
  <c r="CV19" i="3" s="1"/>
  <c r="CW19" i="3" s="1"/>
  <c r="CX19" i="3" s="1"/>
  <c r="CY19" i="3" s="1"/>
  <c r="CZ19" i="3" s="1"/>
  <c r="DA19" i="3" s="1"/>
  <c r="DB19" i="3" s="1"/>
  <c r="BY5" i="3"/>
  <c r="AT107" i="3"/>
  <c r="AT108" i="3" s="1"/>
  <c r="AS108" i="3"/>
  <c r="BS71" i="2"/>
  <c r="BR5" i="3"/>
  <c r="BR4" i="3" s="1"/>
  <c r="BR140" i="3" s="1"/>
  <c r="BD54" i="3"/>
  <c r="BE55" i="3" s="1"/>
  <c r="BC55" i="3"/>
  <c r="AU82" i="3"/>
  <c r="AS121" i="3"/>
  <c r="AS78" i="3"/>
  <c r="BN56" i="3"/>
  <c r="AR121" i="3"/>
  <c r="AR78" i="3"/>
  <c r="AT64" i="2"/>
  <c r="AT78" i="3" s="1"/>
  <c r="AT81" i="3" s="1"/>
  <c r="AV42" i="4"/>
  <c r="AV37" i="4"/>
  <c r="AV38" i="4" s="1"/>
  <c r="BO140" i="3"/>
  <c r="AI101" i="3"/>
  <c r="AI104" i="3" s="1"/>
  <c r="AJ12" i="3"/>
  <c r="AJ19" i="3"/>
  <c r="AI5" i="3"/>
  <c r="AI4" i="3" s="1"/>
  <c r="AI140" i="3" s="1"/>
  <c r="BN95" i="2"/>
  <c r="BM98" i="2"/>
  <c r="AF33" i="4"/>
  <c r="AJ14" i="4"/>
  <c r="AJ33" i="4" s="1"/>
  <c r="BN134" i="3"/>
  <c r="BN65" i="3"/>
  <c r="D16" i="12" s="1"/>
  <c r="AG57" i="3"/>
  <c r="AF146" i="3"/>
  <c r="AF147" i="3" s="1"/>
  <c r="AF135" i="3"/>
  <c r="BS101" i="3"/>
  <c r="BS5" i="3"/>
  <c r="AT31" i="2"/>
  <c r="BD51" i="3"/>
  <c r="AT71" i="2"/>
  <c r="AU122" i="3"/>
  <c r="AU123" i="3"/>
  <c r="AV101" i="3"/>
  <c r="AV5" i="3"/>
  <c r="AV4" i="3" s="1"/>
  <c r="AV140" i="3" s="1"/>
  <c r="AI108" i="3"/>
  <c r="AJ107" i="3"/>
  <c r="AJ108" i="3" s="1"/>
  <c r="AW68" i="2"/>
  <c r="AW66" i="2" s="1"/>
  <c r="AX68" i="2"/>
  <c r="AX66" i="2" s="1"/>
  <c r="BR35" i="4"/>
  <c r="BR4" i="2"/>
  <c r="BR8" i="2" s="1"/>
  <c r="AJ99" i="3"/>
  <c r="AJ8" i="3"/>
  <c r="AJ18" i="4"/>
  <c r="AJ20" i="2"/>
  <c r="BX112" i="3"/>
  <c r="BX113" i="3" s="1"/>
  <c r="BX53" i="3"/>
  <c r="BA146" i="3"/>
  <c r="BA135" i="3"/>
  <c r="AF101" i="3"/>
  <c r="AF5" i="3"/>
  <c r="AF4" i="3" s="1"/>
  <c r="AF140" i="3" s="1"/>
  <c r="BF121" i="3"/>
  <c r="BF78" i="3"/>
  <c r="BA66" i="3"/>
  <c r="BA64" i="3"/>
  <c r="AP36" i="4"/>
  <c r="AP42" i="4"/>
  <c r="BM36" i="4"/>
  <c r="BN35" i="4"/>
  <c r="AL57" i="3"/>
  <c r="BB134" i="3"/>
  <c r="BB65" i="3"/>
  <c r="BK101" i="3"/>
  <c r="BK5" i="3"/>
  <c r="BK4" i="3" s="1"/>
  <c r="BK139" i="3" s="1"/>
  <c r="AM5" i="3"/>
  <c r="AM4" i="3" s="1"/>
  <c r="BR15" i="2"/>
  <c r="BS15" i="2"/>
  <c r="AU101" i="3"/>
  <c r="AU5" i="3"/>
  <c r="AU4" i="3" s="1"/>
  <c r="BD80" i="2"/>
  <c r="AH134" i="3"/>
  <c r="AH65" i="3"/>
  <c r="AW146" i="3"/>
  <c r="AW147" i="3" s="1"/>
  <c r="AW135" i="3"/>
  <c r="AN134" i="3"/>
  <c r="AN65" i="3"/>
  <c r="AN132" i="3" s="1"/>
  <c r="AY146" i="3"/>
  <c r="AY135" i="3"/>
  <c r="BJ5" i="3"/>
  <c r="BJ4" i="3" s="1"/>
  <c r="BJ140" i="3" s="1"/>
  <c r="AK113" i="2"/>
  <c r="AK114" i="2" s="1"/>
  <c r="AK111" i="2"/>
  <c r="BJ122" i="3"/>
  <c r="BJ123" i="3"/>
  <c r="AX35" i="4"/>
  <c r="AX42" i="4" s="1"/>
  <c r="AX4" i="2"/>
  <c r="BX71" i="2"/>
  <c r="BD21" i="4"/>
  <c r="AI146" i="3"/>
  <c r="AI147" i="3" s="1"/>
  <c r="AI135" i="3"/>
  <c r="AO134" i="3"/>
  <c r="AO65" i="3"/>
  <c r="BQ51" i="3"/>
  <c r="BR27" i="2" s="1"/>
  <c r="BQ27" i="3"/>
  <c r="BQ26" i="3" s="1"/>
  <c r="BQ48" i="3" s="1"/>
  <c r="BQ104" i="2"/>
  <c r="BQ97" i="2"/>
  <c r="BI51" i="3"/>
  <c r="BI27" i="3"/>
  <c r="BI26" i="3" s="1"/>
  <c r="BM93" i="3"/>
  <c r="AN121" i="3"/>
  <c r="AO121" i="3" s="1"/>
  <c r="AO122" i="3" s="1"/>
  <c r="AN78" i="3"/>
  <c r="AO64" i="2"/>
  <c r="AO78" i="3" s="1"/>
  <c r="BQ68" i="2"/>
  <c r="BQ66" i="2" s="1"/>
  <c r="BR68" i="2"/>
  <c r="BR66" i="2" s="1"/>
  <c r="BS68" i="2"/>
  <c r="BB140" i="3"/>
  <c r="AR60" i="2"/>
  <c r="AR10" i="2"/>
  <c r="AR16" i="2" s="1"/>
  <c r="AR12" i="2"/>
  <c r="AR113" i="2" s="1"/>
  <c r="AS79" i="2"/>
  <c r="AR79" i="2"/>
  <c r="AT11" i="2"/>
  <c r="BD41" i="4"/>
  <c r="BO62" i="2"/>
  <c r="BO17" i="2"/>
  <c r="BJ51" i="3"/>
  <c r="BJ27" i="3"/>
  <c r="BJ26" i="3" s="1"/>
  <c r="BM108" i="3"/>
  <c r="BN107" i="3"/>
  <c r="BN108" i="3" s="1"/>
  <c r="BK93" i="3"/>
  <c r="BU35" i="4"/>
  <c r="BU79" i="2"/>
  <c r="BU4" i="2"/>
  <c r="BU39" i="2" s="1"/>
  <c r="BF134" i="3"/>
  <c r="BF65" i="3"/>
  <c r="AO19" i="3"/>
  <c r="AN5" i="3"/>
  <c r="AN4" i="3" s="1"/>
  <c r="AN140" i="3" s="1"/>
  <c r="AR55" i="3"/>
  <c r="AQ55" i="3"/>
  <c r="BM27" i="3"/>
  <c r="BM26" i="3" s="1"/>
  <c r="BM51" i="3"/>
  <c r="BM27" i="2" s="1"/>
  <c r="BA101" i="3"/>
  <c r="BA104" i="3" s="1"/>
  <c r="BA5" i="3"/>
  <c r="BA4" i="3" s="1"/>
  <c r="BT55" i="3"/>
  <c r="BS55" i="3"/>
  <c r="BN71" i="2"/>
  <c r="AU55" i="3"/>
  <c r="AT55" i="3"/>
  <c r="BV10" i="2"/>
  <c r="BV60" i="2"/>
  <c r="BG36" i="4"/>
  <c r="BG37" i="4"/>
  <c r="BG38" i="4" s="1"/>
  <c r="BG42" i="4"/>
  <c r="AZ51" i="3"/>
  <c r="AZ27" i="3"/>
  <c r="AZ26" i="3" s="1"/>
  <c r="AZ48" i="3" s="1"/>
  <c r="B20" i="2"/>
  <c r="AK122" i="3"/>
  <c r="AK123" i="3"/>
  <c r="BE51" i="3"/>
  <c r="BE27" i="3"/>
  <c r="BE26" i="3" s="1"/>
  <c r="AJ71" i="2"/>
  <c r="BA122" i="3"/>
  <c r="AZ61" i="3"/>
  <c r="AZ63" i="3" s="1"/>
  <c r="BD63" i="3" s="1"/>
  <c r="BD60" i="3"/>
  <c r="BD61" i="3" s="1"/>
  <c r="BR134" i="3"/>
  <c r="BR65" i="3"/>
  <c r="BR132" i="3" s="1"/>
  <c r="AY27" i="3"/>
  <c r="AY26" i="3" s="1"/>
  <c r="AZ97" i="2"/>
  <c r="AY51" i="3"/>
  <c r="BW27" i="3"/>
  <c r="BW26" i="3" s="1"/>
  <c r="BW51" i="3"/>
  <c r="BW57" i="3" s="1"/>
  <c r="BO134" i="3"/>
  <c r="BO65" i="3"/>
  <c r="BH53" i="3"/>
  <c r="BI52" i="3"/>
  <c r="BI53" i="3" s="1"/>
  <c r="AJ135" i="3"/>
  <c r="BN99" i="3"/>
  <c r="AL36" i="4"/>
  <c r="AL42" i="4"/>
  <c r="AL37" i="4"/>
  <c r="AL38" i="4" s="1"/>
  <c r="AO4" i="2"/>
  <c r="AO8" i="2" s="1"/>
  <c r="AW36" i="4"/>
  <c r="AW37" i="4"/>
  <c r="AW38" i="4" s="1"/>
  <c r="AW42" i="4"/>
  <c r="BU60" i="2"/>
  <c r="BU10" i="2"/>
  <c r="BU12" i="2"/>
  <c r="BU113" i="2" s="1"/>
  <c r="BP42" i="4"/>
  <c r="BP36" i="4"/>
  <c r="BP37" i="4"/>
  <c r="BP38" i="4" s="1"/>
  <c r="BS26" i="4"/>
  <c r="BS108" i="3" s="1"/>
  <c r="BR108" i="3"/>
  <c r="AJ56" i="3"/>
  <c r="AJ57" i="3" s="1"/>
  <c r="AL122" i="3"/>
  <c r="AL123" i="3"/>
  <c r="AW93" i="3"/>
  <c r="AW96" i="3" s="1"/>
  <c r="AW39" i="2" s="1"/>
  <c r="BF60" i="2"/>
  <c r="BF12" i="2"/>
  <c r="BF113" i="2" s="1"/>
  <c r="BF10" i="2"/>
  <c r="BF16" i="2" s="1"/>
  <c r="AQ134" i="3"/>
  <c r="AQ146" i="3" s="1"/>
  <c r="AQ65" i="3"/>
  <c r="AQ27" i="3"/>
  <c r="AQ26" i="3" s="1"/>
  <c r="AQ48" i="3" s="1"/>
  <c r="BY113" i="3"/>
  <c r="CF113" i="3" s="1"/>
  <c r="CG113" i="3" s="1"/>
  <c r="CI113" i="3" s="1"/>
  <c r="CJ113" i="3" s="1"/>
  <c r="CK113" i="3" s="1"/>
  <c r="CL113" i="3" s="1"/>
  <c r="CN113" i="3" s="1"/>
  <c r="CO113" i="3" s="1"/>
  <c r="CP113" i="3" s="1"/>
  <c r="CQ113" i="3" s="1"/>
  <c r="CS113" i="3" s="1"/>
  <c r="CT113" i="3" s="1"/>
  <c r="CU113" i="3" s="1"/>
  <c r="CV113" i="3" s="1"/>
  <c r="CX113" i="3" s="1"/>
  <c r="CY113" i="3" s="1"/>
  <c r="CZ113" i="3" s="1"/>
  <c r="DA113" i="3" s="1"/>
  <c r="AN62" i="2"/>
  <c r="AN22" i="2"/>
  <c r="AL62" i="2"/>
  <c r="AT52" i="3"/>
  <c r="AT53" i="3" s="1"/>
  <c r="AS53" i="3"/>
  <c r="C20" i="2"/>
  <c r="AF93" i="3"/>
  <c r="AF96" i="3" s="1"/>
  <c r="AF39" i="2" s="1"/>
  <c r="BL93" i="3"/>
  <c r="BT101" i="3"/>
  <c r="BT5" i="3"/>
  <c r="BT4" i="3" s="1"/>
  <c r="AI69" i="2"/>
  <c r="AJ34" i="2"/>
  <c r="AJ69" i="2" s="1"/>
  <c r="BG68" i="2"/>
  <c r="BG66" i="2" s="1"/>
  <c r="BH68" i="2"/>
  <c r="BH66" i="2" s="1"/>
  <c r="BI35" i="4"/>
  <c r="BE36" i="4"/>
  <c r="BR96" i="3"/>
  <c r="AG101" i="3"/>
  <c r="AH104" i="3" s="1"/>
  <c r="AO21" i="2"/>
  <c r="BW41" i="4"/>
  <c r="BW80" i="2"/>
  <c r="BO8" i="2"/>
  <c r="BO9" i="2"/>
  <c r="BO22" i="2" s="1"/>
  <c r="BW108" i="3"/>
  <c r="AN108" i="3"/>
  <c r="AO107" i="3"/>
  <c r="AO108" i="3" s="1"/>
  <c r="BP146" i="3"/>
  <c r="BP135" i="3"/>
  <c r="AO28" i="3"/>
  <c r="AP83" i="3" s="1"/>
  <c r="AK146" i="3"/>
  <c r="AK147" i="3" s="1"/>
  <c r="AK135" i="3"/>
  <c r="AI57" i="3"/>
  <c r="AS146" i="3"/>
  <c r="AS147" i="3" s="1"/>
  <c r="AS135" i="3"/>
  <c r="BK132" i="3"/>
  <c r="AZ146" i="3"/>
  <c r="AZ135" i="3"/>
  <c r="BX55" i="3"/>
  <c r="AK93" i="3"/>
  <c r="AL96" i="3" s="1"/>
  <c r="AL39" i="2" s="1"/>
  <c r="AK5" i="3"/>
  <c r="AK4" i="3" s="1"/>
  <c r="AG146" i="3"/>
  <c r="AG147" i="3" s="1"/>
  <c r="AG135" i="3"/>
  <c r="AS64" i="3"/>
  <c r="AS66" i="3"/>
  <c r="AS30" i="2"/>
  <c r="AP30" i="2"/>
  <c r="AF9" i="2"/>
  <c r="AJ4" i="2"/>
  <c r="AJ8" i="2" s="1"/>
  <c r="AF8" i="2"/>
  <c r="BH9" i="2"/>
  <c r="BH94" i="3" s="1"/>
  <c r="BH8" i="2"/>
  <c r="BP60" i="2"/>
  <c r="BP10" i="2"/>
  <c r="BP12" i="2"/>
  <c r="BP113" i="2" s="1"/>
  <c r="BC35" i="4"/>
  <c r="BC42" i="4" s="1"/>
  <c r="BC4" i="2"/>
  <c r="AR94" i="3"/>
  <c r="AR59" i="2"/>
  <c r="AR22" i="2"/>
  <c r="AR19" i="2"/>
  <c r="AR41" i="2"/>
  <c r="AG61" i="2"/>
  <c r="BD99" i="3"/>
  <c r="BD5" i="3"/>
  <c r="BD4" i="3" s="1"/>
  <c r="BD140" i="3" s="1"/>
  <c r="AF57" i="3"/>
  <c r="BM68" i="2"/>
  <c r="BM66" i="2" s="1"/>
  <c r="BM146" i="3"/>
  <c r="BM135" i="3"/>
  <c r="BE101" i="3"/>
  <c r="BE5" i="3"/>
  <c r="BE4" i="3" s="1"/>
  <c r="BE140" i="3" s="1"/>
  <c r="AU59" i="2"/>
  <c r="AU19" i="2"/>
  <c r="AU41" i="2"/>
  <c r="AY68" i="2"/>
  <c r="BE42" i="4"/>
  <c r="BW46" i="4"/>
  <c r="AO55" i="3"/>
  <c r="CI143" i="3"/>
  <c r="CJ143" i="3" s="1"/>
  <c r="CK143" i="3" s="1"/>
  <c r="CL143" i="3" s="1"/>
  <c r="CH143" i="3"/>
  <c r="AX146" i="3"/>
  <c r="AX135" i="3"/>
  <c r="BY147" i="3"/>
  <c r="AU93" i="3"/>
  <c r="AV96" i="3" s="1"/>
  <c r="AV39" i="2" s="1"/>
  <c r="AL132" i="3"/>
  <c r="BS56" i="3"/>
  <c r="BS57" i="3" s="1"/>
  <c r="BP113" i="3"/>
  <c r="AG132" i="3"/>
  <c r="AU132" i="3"/>
  <c r="BR41" i="4"/>
  <c r="BR80" i="2"/>
  <c r="BI50" i="2"/>
  <c r="BD20" i="2"/>
  <c r="BQ132" i="3"/>
  <c r="BN113" i="3"/>
  <c r="AH16" i="2"/>
  <c r="AH78" i="2" s="1"/>
  <c r="AP41" i="2"/>
  <c r="AP59" i="2"/>
  <c r="AP16" i="2"/>
  <c r="AP19" i="2"/>
  <c r="BT57" i="3"/>
  <c r="BL146" i="3"/>
  <c r="BL135" i="3"/>
  <c r="BL78" i="3"/>
  <c r="BL121" i="3"/>
  <c r="AO30" i="2"/>
  <c r="CB58" i="3"/>
  <c r="CC31" i="3"/>
  <c r="CC58" i="3" s="1"/>
  <c r="D33" i="9" s="1"/>
  <c r="BB51" i="3"/>
  <c r="BB27" i="2" s="1"/>
  <c r="BB27" i="3"/>
  <c r="BB26" i="3" s="1"/>
  <c r="BB48" i="3" s="1"/>
  <c r="AL146" i="3"/>
  <c r="AL147" i="3" s="1"/>
  <c r="AL135" i="3"/>
  <c r="AH115" i="2"/>
  <c r="AH117" i="2" s="1"/>
  <c r="BH132" i="3"/>
  <c r="AQ113" i="3"/>
  <c r="AY107" i="3"/>
  <c r="AY108" i="3" s="1"/>
  <c r="AX108" i="3"/>
  <c r="BD113" i="3"/>
  <c r="BG101" i="3"/>
  <c r="BG104" i="3" s="1"/>
  <c r="BG5" i="3"/>
  <c r="BG4" i="3" s="1"/>
  <c r="BG140" i="3" s="1"/>
  <c r="BB68" i="2"/>
  <c r="BB66" i="2" s="1"/>
  <c r="BC68" i="2"/>
  <c r="AL140" i="3"/>
  <c r="AL48" i="3"/>
  <c r="BR64" i="3"/>
  <c r="AG121" i="3"/>
  <c r="AG78" i="3"/>
  <c r="BV121" i="3"/>
  <c r="BV78" i="3"/>
  <c r="AU146" i="3"/>
  <c r="AU147" i="3" s="1"/>
  <c r="AU135" i="3"/>
  <c r="BQ146" i="3"/>
  <c r="BQ135" i="3"/>
  <c r="BU101" i="3"/>
  <c r="BU5" i="3"/>
  <c r="BU4" i="3" s="1"/>
  <c r="BU140" i="3" s="1"/>
  <c r="BP96" i="3"/>
  <c r="BP39" i="2" s="1"/>
  <c r="BX80" i="2"/>
  <c r="C24" i="9" s="1"/>
  <c r="AY80" i="2"/>
  <c r="AY15" i="2"/>
  <c r="AM60" i="2"/>
  <c r="AM61" i="2" s="1"/>
  <c r="AM12" i="2"/>
  <c r="AM113" i="2" s="1"/>
  <c r="AM79" i="2"/>
  <c r="BT59" i="2"/>
  <c r="BT41" i="2"/>
  <c r="BT19" i="2"/>
  <c r="BW15" i="2"/>
  <c r="BN27" i="3"/>
  <c r="BN26" i="3" s="1"/>
  <c r="BN51" i="3"/>
  <c r="AR93" i="3"/>
  <c r="AY60" i="3"/>
  <c r="AY61" i="3" s="1"/>
  <c r="AS27" i="3"/>
  <c r="AS26" i="3" s="1"/>
  <c r="BN14" i="4"/>
  <c r="BN33" i="4" s="1"/>
  <c r="BK57" i="3"/>
  <c r="BJ147" i="3"/>
  <c r="AG5" i="3"/>
  <c r="AG4" i="3" s="1"/>
  <c r="AG139" i="3" s="1"/>
  <c r="AR135" i="3"/>
  <c r="AR146" i="3"/>
  <c r="AR147" i="3" s="1"/>
  <c r="BS93" i="3"/>
  <c r="AT99" i="3"/>
  <c r="AT8" i="3"/>
  <c r="AL55" i="3"/>
  <c r="BX146" i="3"/>
  <c r="BX135" i="3"/>
  <c r="AP113" i="3"/>
  <c r="AU57" i="3"/>
  <c r="BP121" i="3"/>
  <c r="BP78" i="3"/>
  <c r="BW146" i="3"/>
  <c r="BW135" i="3"/>
  <c r="BF79" i="2"/>
  <c r="AX67" i="3"/>
  <c r="AF97" i="2"/>
  <c r="BW121" i="3"/>
  <c r="BW78" i="3"/>
  <c r="BW30" i="2"/>
  <c r="BT122" i="3"/>
  <c r="BT123" i="3"/>
  <c r="BV132" i="3"/>
  <c r="BJ8" i="2"/>
  <c r="BJ9" i="2"/>
  <c r="BN4" i="2"/>
  <c r="BU146" i="3"/>
  <c r="BU135" i="3"/>
  <c r="BM42" i="4"/>
  <c r="BN41" i="4"/>
  <c r="BD134" i="3"/>
  <c r="BD65" i="3"/>
  <c r="BT132" i="3"/>
  <c r="AQ30" i="2"/>
  <c r="AP123" i="3"/>
  <c r="AP122" i="3"/>
  <c r="BN15" i="2"/>
  <c r="BE59" i="2"/>
  <c r="BE41" i="2"/>
  <c r="BE22" i="2"/>
  <c r="BE19" i="2"/>
  <c r="AW41" i="2"/>
  <c r="AW19" i="2"/>
  <c r="AW59" i="2"/>
  <c r="BO36" i="4"/>
  <c r="BK61" i="2"/>
  <c r="BY46" i="4"/>
  <c r="BV113" i="3"/>
  <c r="AT113" i="3"/>
  <c r="AJ53" i="3"/>
  <c r="AP51" i="3"/>
  <c r="AP27" i="3"/>
  <c r="AP26" i="3" s="1"/>
  <c r="BH27" i="3"/>
  <c r="BH26" i="3" s="1"/>
  <c r="BD53" i="3"/>
  <c r="AT56" i="3"/>
  <c r="BB121" i="3"/>
  <c r="BB78" i="3"/>
  <c r="BX50" i="2"/>
  <c r="AO101" i="3"/>
  <c r="BG51" i="3"/>
  <c r="BH27" i="2" s="1"/>
  <c r="BG27" i="3"/>
  <c r="BG26" i="3" s="1"/>
  <c r="BC113" i="3"/>
  <c r="BF51" i="3"/>
  <c r="BW93" i="3"/>
  <c r="BY36" i="4"/>
  <c r="AX66" i="3"/>
  <c r="AR101" i="3"/>
  <c r="AR104" i="3" s="1"/>
  <c r="AR5" i="3"/>
  <c r="AR4" i="3" s="1"/>
  <c r="AR140" i="3" s="1"/>
  <c r="BN20" i="2"/>
  <c r="BE146" i="3"/>
  <c r="BE135" i="3"/>
  <c r="AT50" i="2"/>
  <c r="BC134" i="3"/>
  <c r="BC65" i="3"/>
  <c r="BC27" i="3"/>
  <c r="BC26" i="3" s="1"/>
  <c r="BT135" i="3"/>
  <c r="BT146" i="3"/>
  <c r="BM113" i="3"/>
  <c r="AS35" i="4"/>
  <c r="AT35" i="4" s="1"/>
  <c r="AS4" i="2"/>
  <c r="AM96" i="3"/>
  <c r="AM39" i="2" s="1"/>
  <c r="BG59" i="2"/>
  <c r="BG19" i="2"/>
  <c r="BG41" i="2"/>
  <c r="AN59" i="2"/>
  <c r="AN139" i="3" s="1"/>
  <c r="AN19" i="2"/>
  <c r="BU66" i="2"/>
  <c r="BA8" i="2"/>
  <c r="BA9" i="2"/>
  <c r="AH61" i="2"/>
  <c r="AQ94" i="3"/>
  <c r="AQ59" i="2"/>
  <c r="AQ139" i="3" s="1"/>
  <c r="AQ19" i="2"/>
  <c r="AQ16" i="2"/>
  <c r="AQ41" i="2"/>
  <c r="BI135" i="3"/>
  <c r="BI146" i="3"/>
  <c r="BH37" i="4"/>
  <c r="BH38" i="4" s="1"/>
  <c r="BR104" i="2"/>
  <c r="AR36" i="4"/>
  <c r="CB54" i="3"/>
  <c r="CC54" i="3" s="1"/>
  <c r="BY55" i="3"/>
  <c r="AS113" i="3"/>
  <c r="BU27" i="3"/>
  <c r="BU26" i="3" s="1"/>
  <c r="BU51" i="3"/>
  <c r="BV27" i="2" s="1"/>
  <c r="BL5" i="3"/>
  <c r="BL4" i="3" s="1"/>
  <c r="BL140" i="3" s="1"/>
  <c r="BH64" i="3"/>
  <c r="BH66" i="3"/>
  <c r="E20" i="2"/>
  <c r="AH93" i="3"/>
  <c r="AH96" i="3" s="1"/>
  <c r="AH39" i="2" s="1"/>
  <c r="BK147" i="3"/>
  <c r="AV132" i="3"/>
  <c r="BO82" i="3"/>
  <c r="AN104" i="3"/>
  <c r="AQ140" i="3"/>
  <c r="BY93" i="3"/>
  <c r="BZ96" i="3" s="1"/>
  <c r="BZ39" i="2" s="1"/>
  <c r="BF55" i="3"/>
  <c r="AW101" i="3"/>
  <c r="AS101" i="3"/>
  <c r="AT19" i="3"/>
  <c r="AT12" i="3"/>
  <c r="BU122" i="3"/>
  <c r="BU123" i="3"/>
  <c r="BF53" i="2"/>
  <c r="BV146" i="3"/>
  <c r="BV135" i="3"/>
  <c r="AY20" i="2"/>
  <c r="BJ17" i="2"/>
  <c r="AT5" i="2"/>
  <c r="BH101" i="3"/>
  <c r="BI12" i="3"/>
  <c r="BP9" i="2"/>
  <c r="AR51" i="3"/>
  <c r="AS27" i="2" s="1"/>
  <c r="AR27" i="3"/>
  <c r="AR26" i="3" s="1"/>
  <c r="AM146" i="3"/>
  <c r="AM147" i="3" s="1"/>
  <c r="AM135" i="3"/>
  <c r="AO71" i="2"/>
  <c r="BR104" i="3"/>
  <c r="BQ35" i="4"/>
  <c r="BQ4" i="2"/>
  <c r="AN102" i="2"/>
  <c r="AN98" i="2"/>
  <c r="AF37" i="4"/>
  <c r="AF111" i="2"/>
  <c r="AF113" i="2"/>
  <c r="AF114" i="2" s="1"/>
  <c r="AG20" i="4"/>
  <c r="BG93" i="3"/>
  <c r="BG96" i="3" s="1"/>
  <c r="BG39" i="2" s="1"/>
  <c r="AH51" i="3"/>
  <c r="AI27" i="2" s="1"/>
  <c r="AR104" i="2"/>
  <c r="AT20" i="2"/>
  <c r="BO97" i="2"/>
  <c r="AU33" i="4"/>
  <c r="AY14" i="4"/>
  <c r="AY33" i="4" s="1"/>
  <c r="BL113" i="3"/>
  <c r="BN53" i="3"/>
  <c r="BX27" i="3"/>
  <c r="BX26" i="3" s="1"/>
  <c r="BX51" i="3"/>
  <c r="C30" i="9" s="1"/>
  <c r="AK57" i="3"/>
  <c r="AW27" i="3"/>
  <c r="AW26" i="3" s="1"/>
  <c r="AW51" i="3"/>
  <c r="AW27" i="2" s="1"/>
  <c r="AV57" i="3"/>
  <c r="AX101" i="3"/>
  <c r="AX5" i="3"/>
  <c r="AX4" i="3" s="1"/>
  <c r="AY12" i="3"/>
  <c r="AZ79" i="3" s="1"/>
  <c r="BO51" i="3"/>
  <c r="BC108" i="3"/>
  <c r="BO112" i="2"/>
  <c r="BO55" i="3"/>
  <c r="BM101" i="3"/>
  <c r="BM104" i="3" s="1"/>
  <c r="BN12" i="3"/>
  <c r="BS79" i="3" s="1"/>
  <c r="BW101" i="3"/>
  <c r="BW104" i="3" s="1"/>
  <c r="BW5" i="3"/>
  <c r="BW4" i="3" s="1"/>
  <c r="BW140" i="3" s="1"/>
  <c r="BX12" i="3"/>
  <c r="BX79" i="3" s="1"/>
  <c r="AT63" i="3"/>
  <c r="AV135" i="3"/>
  <c r="AV146" i="3"/>
  <c r="AV147" i="3" s="1"/>
  <c r="BA93" i="3"/>
  <c r="BA96" i="3" s="1"/>
  <c r="BA39" i="2" s="1"/>
  <c r="BO122" i="3"/>
  <c r="BO123" i="3"/>
  <c r="BP51" i="3"/>
  <c r="BP27" i="3"/>
  <c r="BP26" i="3" s="1"/>
  <c r="BP48" i="3" s="1"/>
  <c r="BD56" i="3"/>
  <c r="BX93" i="3"/>
  <c r="AI20" i="4"/>
  <c r="BI93" i="3"/>
  <c r="AP94" i="3"/>
  <c r="AQ51" i="3"/>
  <c r="BI20" i="2"/>
  <c r="BC51" i="3"/>
  <c r="BC57" i="3" s="1"/>
  <c r="BT17" i="2"/>
  <c r="BQ41" i="4"/>
  <c r="BQ80" i="2"/>
  <c r="AI37" i="4"/>
  <c r="AI38" i="4" s="1"/>
  <c r="AI36" i="4"/>
  <c r="AV121" i="3"/>
  <c r="AV78" i="3"/>
  <c r="BD101" i="3"/>
  <c r="AV59" i="2"/>
  <c r="AV41" i="2"/>
  <c r="AV19" i="2"/>
  <c r="BH108" i="3"/>
  <c r="BI107" i="3"/>
  <c r="BI108" i="3" s="1"/>
  <c r="AN37" i="4"/>
  <c r="AN38" i="4" s="1"/>
  <c r="AN36" i="4"/>
  <c r="BP79" i="2"/>
  <c r="BD71" i="2"/>
  <c r="BA37" i="4"/>
  <c r="BA38" i="4" s="1"/>
  <c r="BM9" i="2"/>
  <c r="BM8" i="2"/>
  <c r="AZ17" i="2"/>
  <c r="CB61" i="3"/>
  <c r="CF61" i="3" s="1"/>
  <c r="CG61" i="3" s="1"/>
  <c r="CI61" i="3" s="1"/>
  <c r="CJ61" i="3" s="1"/>
  <c r="CK61" i="3" s="1"/>
  <c r="CL61" i="3" s="1"/>
  <c r="CN61" i="3" s="1"/>
  <c r="CO61" i="3" s="1"/>
  <c r="CP61" i="3" s="1"/>
  <c r="CQ61" i="3" s="1"/>
  <c r="CS61" i="3" s="1"/>
  <c r="CT61" i="3" s="1"/>
  <c r="CU61" i="3" s="1"/>
  <c r="CV61" i="3" s="1"/>
  <c r="CX61" i="3" s="1"/>
  <c r="CY61" i="3" s="1"/>
  <c r="CZ61" i="3" s="1"/>
  <c r="DA61" i="3" s="1"/>
  <c r="CZ20" i="2"/>
  <c r="BS102" i="2"/>
  <c r="AL17" i="2"/>
  <c r="BM102" i="2"/>
  <c r="AT67" i="2"/>
  <c r="AT66" i="2" s="1"/>
  <c r="AK104" i="2"/>
  <c r="BI68" i="2"/>
  <c r="CS20" i="2"/>
  <c r="BK104" i="2"/>
  <c r="BC67" i="2"/>
  <c r="BC23" i="2"/>
  <c r="BS67" i="2"/>
  <c r="AG67" i="2"/>
  <c r="AG66" i="2" s="1"/>
  <c r="AG23" i="2"/>
  <c r="AJ24" i="2"/>
  <c r="AJ25" i="2" s="1"/>
  <c r="BS23" i="2"/>
  <c r="BV46" i="4"/>
  <c r="BW102" i="2"/>
  <c r="BW103" i="2" s="1"/>
  <c r="BW98" i="2"/>
  <c r="BX68" i="2"/>
  <c r="C12" i="9" s="1"/>
  <c r="BH102" i="2"/>
  <c r="BH97" i="2"/>
  <c r="BH98" i="2"/>
  <c r="AG104" i="2"/>
  <c r="AY23" i="2"/>
  <c r="BX67" i="2"/>
  <c r="C11" i="9" s="1"/>
  <c r="BY26" i="4"/>
  <c r="BY108" i="3" s="1"/>
  <c r="BN68" i="2"/>
  <c r="BC102" i="2"/>
  <c r="BC98" i="2"/>
  <c r="BI23" i="2"/>
  <c r="BI67" i="2"/>
  <c r="CC28" i="4"/>
  <c r="AX102" i="2"/>
  <c r="AX103" i="2" s="1"/>
  <c r="AX97" i="2"/>
  <c r="AY95" i="2"/>
  <c r="AY96" i="2" s="1"/>
  <c r="BN67" i="2"/>
  <c r="AY67" i="2"/>
  <c r="BX98" i="2" l="1"/>
  <c r="BK35" i="2"/>
  <c r="BK37" i="2" s="1"/>
  <c r="CB98" i="3"/>
  <c r="CB95" i="3"/>
  <c r="CB100" i="3"/>
  <c r="BY111" i="2"/>
  <c r="BY112" i="2" s="1"/>
  <c r="BY4" i="3"/>
  <c r="M24" i="12"/>
  <c r="BX82" i="3"/>
  <c r="F17" i="12"/>
  <c r="BS132" i="3"/>
  <c r="E16" i="12"/>
  <c r="BS4" i="3"/>
  <c r="E24" i="12"/>
  <c r="AS42" i="4"/>
  <c r="C15" i="9"/>
  <c r="AU37" i="4"/>
  <c r="AU38" i="4" s="1"/>
  <c r="AL115" i="2"/>
  <c r="AL117" i="2" s="1"/>
  <c r="AV36" i="4"/>
  <c r="AT147" i="3"/>
  <c r="AT135" i="3"/>
  <c r="BX96" i="3"/>
  <c r="AT102" i="2"/>
  <c r="BI39" i="4"/>
  <c r="BI40" i="4" s="1"/>
  <c r="BE139" i="3"/>
  <c r="BL66" i="3"/>
  <c r="BK114" i="2"/>
  <c r="BK116" i="2" s="1"/>
  <c r="BK118" i="2" s="1"/>
  <c r="BD98" i="2"/>
  <c r="BI36" i="4"/>
  <c r="AT51" i="3"/>
  <c r="AU27" i="2" s="1"/>
  <c r="AV139" i="3"/>
  <c r="AO5" i="3"/>
  <c r="AO4" i="3" s="1"/>
  <c r="AO140" i="3" s="1"/>
  <c r="BV64" i="3"/>
  <c r="BE111" i="2"/>
  <c r="BJ111" i="2"/>
  <c r="BJ112" i="2" s="1"/>
  <c r="BT37" i="4"/>
  <c r="BT38" i="4" s="1"/>
  <c r="BJ37" i="4"/>
  <c r="AO36" i="4"/>
  <c r="AY39" i="4"/>
  <c r="AY40" i="4" s="1"/>
  <c r="BZ116" i="2"/>
  <c r="BZ118" i="2" s="1"/>
  <c r="BZ115" i="2"/>
  <c r="BZ117" i="2" s="1"/>
  <c r="BD39" i="4"/>
  <c r="BD40" i="4" s="1"/>
  <c r="AZ111" i="2"/>
  <c r="AZ112" i="2" s="1"/>
  <c r="BD112" i="2" s="1"/>
  <c r="BA36" i="4"/>
  <c r="AO42" i="4"/>
  <c r="BW132" i="3"/>
  <c r="BF36" i="4"/>
  <c r="AU83" i="3"/>
  <c r="AT39" i="4"/>
  <c r="AT40" i="4" s="1"/>
  <c r="BI66" i="2"/>
  <c r="AT27" i="3"/>
  <c r="AT26" i="3" s="1"/>
  <c r="AP37" i="4"/>
  <c r="AP38" i="4" s="1"/>
  <c r="AY66" i="2"/>
  <c r="BI98" i="2"/>
  <c r="AP113" i="2"/>
  <c r="AP114" i="2" s="1"/>
  <c r="AP116" i="2" s="1"/>
  <c r="AP118" i="2" s="1"/>
  <c r="Y116" i="2"/>
  <c r="Y118" i="2" s="1"/>
  <c r="J116" i="2"/>
  <c r="J118" i="2" s="1"/>
  <c r="BZ36" i="4"/>
  <c r="AT36" i="4"/>
  <c r="AQ36" i="4"/>
  <c r="CC63" i="3"/>
  <c r="AY83" i="3"/>
  <c r="BN36" i="4"/>
  <c r="BK36" i="4"/>
  <c r="BX121" i="3"/>
  <c r="BX122" i="3" s="1"/>
  <c r="BN132" i="3"/>
  <c r="AU103" i="2"/>
  <c r="AU104" i="2" s="1"/>
  <c r="AR27" i="2"/>
  <c r="BT139" i="3"/>
  <c r="AP139" i="3"/>
  <c r="BR39" i="2"/>
  <c r="E116" i="2"/>
  <c r="E118" i="2" s="1"/>
  <c r="BA27" i="2"/>
  <c r="BD27" i="2"/>
  <c r="BH103" i="2"/>
  <c r="BH104" i="2" s="1"/>
  <c r="BN8" i="2"/>
  <c r="AG81" i="3"/>
  <c r="AG82" i="3" s="1"/>
  <c r="BD35" i="4"/>
  <c r="BD36" i="4" s="1"/>
  <c r="BB104" i="3"/>
  <c r="AJ79" i="3"/>
  <c r="J20" i="4"/>
  <c r="K20" i="4"/>
  <c r="AR81" i="3"/>
  <c r="AR82" i="3" s="1"/>
  <c r="BI8" i="2"/>
  <c r="BD79" i="3"/>
  <c r="BP132" i="3"/>
  <c r="BQ27" i="2"/>
  <c r="Q48" i="4"/>
  <c r="Q31" i="4"/>
  <c r="Q44" i="4"/>
  <c r="Q142" i="3"/>
  <c r="Q70" i="3"/>
  <c r="Q3" i="4"/>
  <c r="Q23" i="4"/>
  <c r="Q92" i="3"/>
  <c r="Q50" i="3"/>
  <c r="Q131" i="3"/>
  <c r="Q106" i="2"/>
  <c r="Q3" i="3"/>
  <c r="Q58" i="2"/>
  <c r="Q3" i="2"/>
  <c r="Q47" i="2"/>
  <c r="Q93" i="2"/>
  <c r="Q76" i="2"/>
  <c r="BP27" i="2"/>
  <c r="BS27" i="2"/>
  <c r="BB81" i="3"/>
  <c r="BB82" i="3" s="1"/>
  <c r="BO27" i="2"/>
  <c r="BM132" i="3"/>
  <c r="BJ27" i="2"/>
  <c r="AM48" i="3"/>
  <c r="AM139" i="3"/>
  <c r="BF81" i="3"/>
  <c r="BF82" i="3" s="1"/>
  <c r="AJ96" i="2"/>
  <c r="AJ97" i="2" s="1"/>
  <c r="S44" i="4"/>
  <c r="S142" i="3"/>
  <c r="S70" i="3"/>
  <c r="S3" i="4"/>
  <c r="S23" i="4"/>
  <c r="S92" i="3"/>
  <c r="S50" i="3"/>
  <c r="S131" i="3"/>
  <c r="S48" i="4"/>
  <c r="S31" i="4"/>
  <c r="S3" i="3"/>
  <c r="S58" i="2"/>
  <c r="S3" i="2"/>
  <c r="S47" i="2"/>
  <c r="S93" i="2"/>
  <c r="S76" i="2"/>
  <c r="S106" i="2"/>
  <c r="AH140" i="3"/>
  <c r="AJ27" i="2"/>
  <c r="AT83" i="3"/>
  <c r="AK79" i="3"/>
  <c r="BL85" i="2"/>
  <c r="BG139" i="3"/>
  <c r="BI79" i="3"/>
  <c r="BJ79" i="3"/>
  <c r="BE132" i="3"/>
  <c r="BF27" i="2"/>
  <c r="BI27" i="2"/>
  <c r="BK27" i="2"/>
  <c r="BN27" i="2"/>
  <c r="BE27" i="2"/>
  <c r="BN96" i="2"/>
  <c r="BN97" i="2" s="1"/>
  <c r="AJ102" i="2"/>
  <c r="AI103" i="2"/>
  <c r="AI104" i="2" s="1"/>
  <c r="BM103" i="2"/>
  <c r="BM104" i="2" s="1"/>
  <c r="AN103" i="2"/>
  <c r="AN104" i="2" s="1"/>
  <c r="BP81" i="3"/>
  <c r="BP82" i="3" s="1"/>
  <c r="BL81" i="3"/>
  <c r="BL82" i="3" s="1"/>
  <c r="AY132" i="3"/>
  <c r="AZ27" i="2"/>
  <c r="AF48" i="3"/>
  <c r="AS81" i="3"/>
  <c r="AS82" i="3" s="1"/>
  <c r="AT98" i="2"/>
  <c r="AT96" i="2"/>
  <c r="AT97" i="2" s="1"/>
  <c r="CS8" i="4"/>
  <c r="BW27" i="2"/>
  <c r="BK85" i="2"/>
  <c r="BF139" i="3"/>
  <c r="AT103" i="2"/>
  <c r="AT104" i="2" s="1"/>
  <c r="AV81" i="3"/>
  <c r="AV82" i="3" s="1"/>
  <c r="AN81" i="3"/>
  <c r="AN82" i="3" s="1"/>
  <c r="AZ85" i="2"/>
  <c r="AU139" i="3"/>
  <c r="AO83" i="3"/>
  <c r="AP96" i="2"/>
  <c r="AP97" i="2" s="1"/>
  <c r="AO96" i="2"/>
  <c r="AO97" i="2" s="1"/>
  <c r="BS103" i="2"/>
  <c r="BS104" i="2" s="1"/>
  <c r="AW132" i="3"/>
  <c r="AX27" i="2"/>
  <c r="AR139" i="3"/>
  <c r="BY57" i="3"/>
  <c r="BY64" i="3" s="1"/>
  <c r="M15" i="12" s="1"/>
  <c r="BZ27" i="2"/>
  <c r="O131" i="3"/>
  <c r="O48" i="4"/>
  <c r="O31" i="4"/>
  <c r="O44" i="4"/>
  <c r="O142" i="3"/>
  <c r="O70" i="3"/>
  <c r="O3" i="4"/>
  <c r="O23" i="4"/>
  <c r="O92" i="3"/>
  <c r="O50" i="3"/>
  <c r="O47" i="2"/>
  <c r="O93" i="2"/>
  <c r="O76" i="2"/>
  <c r="O106" i="2"/>
  <c r="O3" i="3"/>
  <c r="O3" i="2"/>
  <c r="O58" i="2"/>
  <c r="T116" i="2"/>
  <c r="T118" i="2" s="1"/>
  <c r="BL139" i="3"/>
  <c r="AI139" i="3"/>
  <c r="BN79" i="3"/>
  <c r="BO79" i="3"/>
  <c r="AP48" i="3"/>
  <c r="BW81" i="3"/>
  <c r="BW82" i="3" s="1"/>
  <c r="P131" i="3"/>
  <c r="P48" i="4"/>
  <c r="P31" i="4"/>
  <c r="P44" i="4"/>
  <c r="P142" i="3"/>
  <c r="P70" i="3"/>
  <c r="P3" i="4"/>
  <c r="P23" i="4"/>
  <c r="P92" i="3"/>
  <c r="P50" i="3"/>
  <c r="P93" i="2"/>
  <c r="P76" i="2"/>
  <c r="P106" i="2"/>
  <c r="P3" i="3"/>
  <c r="P58" i="2"/>
  <c r="P3" i="2"/>
  <c r="P47" i="2"/>
  <c r="AP103" i="2"/>
  <c r="AP104" i="2" s="1"/>
  <c r="AH27" i="2"/>
  <c r="BY79" i="3"/>
  <c r="BQ8" i="2"/>
  <c r="BQ39" i="2"/>
  <c r="BG27" i="2"/>
  <c r="AG96" i="3"/>
  <c r="AG39" i="2" s="1"/>
  <c r="AQ27" i="2"/>
  <c r="AT27" i="2"/>
  <c r="BC27" i="2"/>
  <c r="BD4" i="2"/>
  <c r="BC39" i="2"/>
  <c r="BS96" i="2"/>
  <c r="BS97" i="2" s="1"/>
  <c r="BX27" i="2"/>
  <c r="BY139" i="3"/>
  <c r="BU27" i="2"/>
  <c r="BX132" i="3"/>
  <c r="BY27" i="2"/>
  <c r="BV81" i="3"/>
  <c r="BV82" i="3" s="1"/>
  <c r="BB96" i="3"/>
  <c r="BB39" i="2" s="1"/>
  <c r="BC103" i="2"/>
  <c r="BC104" i="2" s="1"/>
  <c r="AU79" i="3"/>
  <c r="AY79" i="3"/>
  <c r="AT82" i="3"/>
  <c r="M92" i="3"/>
  <c r="M50" i="3"/>
  <c r="M131" i="3"/>
  <c r="M48" i="4"/>
  <c r="M31" i="4"/>
  <c r="M44" i="4"/>
  <c r="M142" i="3"/>
  <c r="M70" i="3"/>
  <c r="M3" i="4"/>
  <c r="M23" i="4"/>
  <c r="M47" i="2"/>
  <c r="M93" i="2"/>
  <c r="M76" i="2"/>
  <c r="M106" i="2"/>
  <c r="M3" i="3"/>
  <c r="M58" i="2"/>
  <c r="M3" i="2"/>
  <c r="AO81" i="3"/>
  <c r="AO82" i="3" s="1"/>
  <c r="CI6" i="4"/>
  <c r="CI11" i="4" s="1"/>
  <c r="CG11" i="4"/>
  <c r="AY27" i="2"/>
  <c r="CF63" i="3"/>
  <c r="CG63" i="3" s="1"/>
  <c r="CI63" i="3" s="1"/>
  <c r="CG5" i="4"/>
  <c r="CF25" i="4"/>
  <c r="CO21" i="2"/>
  <c r="CT21" i="2" s="1"/>
  <c r="CY21" i="2" s="1"/>
  <c r="CP21" i="2"/>
  <c r="CU21" i="2" s="1"/>
  <c r="CZ21" i="2" s="1"/>
  <c r="CQ21" i="2"/>
  <c r="CV21" i="2" s="1"/>
  <c r="DA21" i="2" s="1"/>
  <c r="CC28" i="2"/>
  <c r="CC29" i="2" s="1"/>
  <c r="CN21" i="2"/>
  <c r="AQ132" i="3"/>
  <c r="AS104" i="3"/>
  <c r="P20" i="4"/>
  <c r="O20" i="4"/>
  <c r="AS5" i="3"/>
  <c r="AS4" i="3" s="1"/>
  <c r="AS140" i="3" s="1"/>
  <c r="T20" i="4"/>
  <c r="U20" i="4"/>
  <c r="AR48" i="3"/>
  <c r="AT79" i="2"/>
  <c r="AJ42" i="4"/>
  <c r="AH132" i="3"/>
  <c r="AG104" i="3"/>
  <c r="F115" i="2"/>
  <c r="F117" i="2" s="1"/>
  <c r="E117" i="2"/>
  <c r="G112" i="2"/>
  <c r="G115" i="2"/>
  <c r="G117" i="2" s="1"/>
  <c r="J117" i="2"/>
  <c r="K115" i="2"/>
  <c r="K117" i="2" s="1"/>
  <c r="Y117" i="2"/>
  <c r="Z115" i="2"/>
  <c r="Z117" i="2" s="1"/>
  <c r="O116" i="2"/>
  <c r="O118" i="2" s="1"/>
  <c r="L115" i="2"/>
  <c r="L117" i="2" s="1"/>
  <c r="L112" i="2"/>
  <c r="Q112" i="2"/>
  <c r="Q115" i="2"/>
  <c r="Q117" i="2" s="1"/>
  <c r="P115" i="2"/>
  <c r="P117" i="2" s="1"/>
  <c r="O117" i="2"/>
  <c r="T117" i="2"/>
  <c r="U115" i="2"/>
  <c r="U117" i="2" s="1"/>
  <c r="AD116" i="2"/>
  <c r="AD118" i="2" s="1"/>
  <c r="AA112" i="2"/>
  <c r="AA115" i="2"/>
  <c r="AA117" i="2" s="1"/>
  <c r="AE115" i="2"/>
  <c r="AE117" i="2" s="1"/>
  <c r="AD117" i="2"/>
  <c r="V115" i="2"/>
  <c r="V117" i="2" s="1"/>
  <c r="V112" i="2"/>
  <c r="CK11" i="3"/>
  <c r="CL11" i="3" s="1"/>
  <c r="CM11" i="3" s="1"/>
  <c r="CI46" i="3"/>
  <c r="CJ46" i="3" s="1"/>
  <c r="CK46" i="3" s="1"/>
  <c r="CL46" i="3" s="1"/>
  <c r="CN46" i="3" s="1"/>
  <c r="BK96" i="3"/>
  <c r="BK39" i="2" s="1"/>
  <c r="AO37" i="4"/>
  <c r="AO38" i="4" s="1"/>
  <c r="BO132" i="3"/>
  <c r="BM96" i="3"/>
  <c r="BM39" i="2" s="1"/>
  <c r="BT104" i="3"/>
  <c r="BH104" i="3"/>
  <c r="AY93" i="3"/>
  <c r="AZ96" i="3" s="1"/>
  <c r="AZ39" i="2" s="1"/>
  <c r="BC48" i="3"/>
  <c r="BL96" i="3"/>
  <c r="BL39" i="2" s="1"/>
  <c r="BM5" i="3"/>
  <c r="BM4" i="3" s="1"/>
  <c r="BM140" i="3" s="1"/>
  <c r="BE48" i="3"/>
  <c r="BV5" i="3"/>
  <c r="BV4" i="3" s="1"/>
  <c r="BV140" i="3" s="1"/>
  <c r="AX104" i="3"/>
  <c r="AW104" i="3"/>
  <c r="BS98" i="2"/>
  <c r="BN66" i="2"/>
  <c r="BX66" i="2"/>
  <c r="BS35" i="4"/>
  <c r="BS36" i="4" s="1"/>
  <c r="CM49" i="4"/>
  <c r="BN98" i="2"/>
  <c r="X3" i="1"/>
  <c r="AO98" i="2"/>
  <c r="V3" i="1"/>
  <c r="AJ98" i="2"/>
  <c r="T3" i="1"/>
  <c r="U3" i="1"/>
  <c r="R3" i="1"/>
  <c r="AO102" i="2"/>
  <c r="BN102" i="2"/>
  <c r="BA140" i="3"/>
  <c r="BA48" i="3"/>
  <c r="AP98" i="3"/>
  <c r="AP100" i="3"/>
  <c r="AP95" i="3"/>
  <c r="BS78" i="3"/>
  <c r="BK140" i="3"/>
  <c r="BK48" i="3"/>
  <c r="BT140" i="3"/>
  <c r="BT48" i="3"/>
  <c r="AG140" i="3"/>
  <c r="AG48" i="3"/>
  <c r="AX30" i="2"/>
  <c r="BS64" i="3"/>
  <c r="E15" i="12" s="1"/>
  <c r="BS66" i="3"/>
  <c r="AT42" i="4"/>
  <c r="AU140" i="3"/>
  <c r="AU48" i="3"/>
  <c r="AW121" i="3"/>
  <c r="AW78" i="3"/>
  <c r="BI57" i="3"/>
  <c r="BF123" i="3"/>
  <c r="BF122" i="3"/>
  <c r="AT30" i="2"/>
  <c r="AO51" i="3"/>
  <c r="AP27" i="2" s="1"/>
  <c r="AK112" i="2"/>
  <c r="AK115" i="2"/>
  <c r="AK117" i="2" s="1"/>
  <c r="BA67" i="3"/>
  <c r="BN146" i="3"/>
  <c r="BN135" i="3"/>
  <c r="AJ64" i="3"/>
  <c r="AJ66" i="3"/>
  <c r="AF115" i="2"/>
  <c r="AF117" i="2" s="1"/>
  <c r="AF112" i="2"/>
  <c r="BO146" i="3"/>
  <c r="BO135" i="3"/>
  <c r="AJ101" i="3"/>
  <c r="AJ5" i="3"/>
  <c r="AJ4" i="3" s="1"/>
  <c r="AT101" i="3"/>
  <c r="AT104" i="3" s="1"/>
  <c r="AT5" i="3"/>
  <c r="AT4" i="3" s="1"/>
  <c r="AT140" i="3" s="1"/>
  <c r="BB30" i="2"/>
  <c r="BC30" i="2"/>
  <c r="BP147" i="3"/>
  <c r="BV35" i="4"/>
  <c r="BV4" i="2"/>
  <c r="BV39" i="2" s="1"/>
  <c r="BV79" i="2"/>
  <c r="AR114" i="2"/>
  <c r="AR116" i="2" s="1"/>
  <c r="AR118" i="2" s="1"/>
  <c r="AR115" i="2"/>
  <c r="AR117" i="2" s="1"/>
  <c r="AH135" i="3"/>
  <c r="AH146" i="3"/>
  <c r="AH147" i="3" s="1"/>
  <c r="BX101" i="3"/>
  <c r="BX104" i="3" s="1"/>
  <c r="BX5" i="3"/>
  <c r="AV64" i="3"/>
  <c r="AV66" i="3"/>
  <c r="AK66" i="3"/>
  <c r="AK64" i="3"/>
  <c r="BM121" i="3"/>
  <c r="BN121" i="3" s="1"/>
  <c r="BN122" i="3" s="1"/>
  <c r="BM78" i="3"/>
  <c r="BN78" i="3"/>
  <c r="BI147" i="3"/>
  <c r="BC121" i="3"/>
  <c r="BD121" i="3" s="1"/>
  <c r="BD122" i="3" s="1"/>
  <c r="BC78" i="3"/>
  <c r="BW122" i="3"/>
  <c r="BW123" i="3"/>
  <c r="BP122" i="3"/>
  <c r="BP123" i="3"/>
  <c r="AT93" i="3"/>
  <c r="AT96" i="3" s="1"/>
  <c r="AM16" i="2"/>
  <c r="BL123" i="3"/>
  <c r="BL122" i="3"/>
  <c r="BI42" i="4"/>
  <c r="AR78" i="2"/>
  <c r="AR35" i="2"/>
  <c r="AR37" i="2" s="1"/>
  <c r="BH59" i="2"/>
  <c r="BH41" i="2"/>
  <c r="BH19" i="2"/>
  <c r="BN93" i="3"/>
  <c r="BS96" i="3" s="1"/>
  <c r="BW48" i="3"/>
  <c r="BU9" i="2"/>
  <c r="BU22" i="2" s="1"/>
  <c r="BU8" i="2"/>
  <c r="AF104" i="3"/>
  <c r="AI10" i="2"/>
  <c r="AM102" i="3" s="1"/>
  <c r="AI12" i="2"/>
  <c r="AI113" i="2" s="1"/>
  <c r="AI60" i="2"/>
  <c r="AI61" i="2" s="1"/>
  <c r="AI79" i="2"/>
  <c r="AJ11" i="2"/>
  <c r="BF61" i="2"/>
  <c r="BE147" i="3"/>
  <c r="BF57" i="3"/>
  <c r="BP30" i="2"/>
  <c r="AP62" i="2"/>
  <c r="AP17" i="2"/>
  <c r="AT21" i="2"/>
  <c r="AP22" i="2"/>
  <c r="BJ48" i="3"/>
  <c r="CC55" i="3"/>
  <c r="CF54" i="3"/>
  <c r="CG54" i="3" s="1"/>
  <c r="CH54" i="3" s="1"/>
  <c r="AG77" i="2"/>
  <c r="AG63" i="2"/>
  <c r="AI64" i="3"/>
  <c r="AI66" i="3"/>
  <c r="AX96" i="3"/>
  <c r="AX39" i="2" s="1"/>
  <c r="BN57" i="3"/>
  <c r="AP61" i="2"/>
  <c r="BM147" i="3"/>
  <c r="BW64" i="3"/>
  <c r="BW66" i="3"/>
  <c r="AQ57" i="3"/>
  <c r="AR57" i="3"/>
  <c r="BU57" i="3"/>
  <c r="AQ61" i="2"/>
  <c r="AT4" i="2"/>
  <c r="BG48" i="3"/>
  <c r="BD78" i="3"/>
  <c r="AQ62" i="2"/>
  <c r="AQ17" i="2"/>
  <c r="AQ35" i="2" s="1"/>
  <c r="AQ37" i="2" s="1"/>
  <c r="AQ22" i="2"/>
  <c r="AM114" i="2"/>
  <c r="AM116" i="2" s="1"/>
  <c r="AM118" i="2" s="1"/>
  <c r="AM115" i="2"/>
  <c r="AM117" i="2" s="1"/>
  <c r="AG122" i="3"/>
  <c r="AG123" i="3"/>
  <c r="AO62" i="2"/>
  <c r="BR9" i="2"/>
  <c r="AG64" i="3"/>
  <c r="AG66" i="3"/>
  <c r="AS123" i="3"/>
  <c r="AS122" i="3"/>
  <c r="BV67" i="3"/>
  <c r="BH147" i="3"/>
  <c r="BF27" i="3"/>
  <c r="BF26" i="3" s="1"/>
  <c r="BF48" i="3" s="1"/>
  <c r="BP114" i="2"/>
  <c r="BP116" i="2" s="1"/>
  <c r="BP118" i="2" s="1"/>
  <c r="BP115" i="2"/>
  <c r="BP117" i="2" s="1"/>
  <c r="BR27" i="3"/>
  <c r="BR26" i="3" s="1"/>
  <c r="BR48" i="3" s="1"/>
  <c r="AX140" i="3"/>
  <c r="AX48" i="3"/>
  <c r="BV123" i="3"/>
  <c r="BV122" i="3"/>
  <c r="BR135" i="3"/>
  <c r="BR146" i="3"/>
  <c r="AF38" i="4"/>
  <c r="AJ37" i="4"/>
  <c r="AJ38" i="4" s="1"/>
  <c r="AQ78" i="2"/>
  <c r="BQ42" i="4"/>
  <c r="BS41" i="4"/>
  <c r="BX57" i="3"/>
  <c r="C32" i="9" s="1"/>
  <c r="BP94" i="3"/>
  <c r="BP41" i="2"/>
  <c r="BP59" i="2"/>
  <c r="BP139" i="3" s="1"/>
  <c r="BP16" i="2"/>
  <c r="BP19" i="2"/>
  <c r="BU48" i="3"/>
  <c r="BC132" i="3"/>
  <c r="BG57" i="3"/>
  <c r="BK77" i="2"/>
  <c r="BK63" i="2"/>
  <c r="BW147" i="3"/>
  <c r="AU64" i="3"/>
  <c r="AU66" i="3"/>
  <c r="BK66" i="3"/>
  <c r="BK64" i="3"/>
  <c r="AM77" i="2"/>
  <c r="AM86" i="2"/>
  <c r="AM63" i="2"/>
  <c r="BR67" i="3"/>
  <c r="BE104" i="3"/>
  <c r="AF66" i="3"/>
  <c r="AF64" i="3"/>
  <c r="BU132" i="3"/>
  <c r="AZ147" i="3"/>
  <c r="BS4" i="2"/>
  <c r="BS8" i="2" s="1"/>
  <c r="BF114" i="2"/>
  <c r="BF115" i="2"/>
  <c r="BF117" i="2" s="1"/>
  <c r="BU36" i="4"/>
  <c r="BU42" i="4"/>
  <c r="BU37" i="4"/>
  <c r="BQ57" i="3"/>
  <c r="BK104" i="3"/>
  <c r="BL104" i="3"/>
  <c r="AV104" i="3"/>
  <c r="BW68" i="2"/>
  <c r="BW66" i="2" s="1"/>
  <c r="AI96" i="3"/>
  <c r="AI39" i="2" s="1"/>
  <c r="BS146" i="3"/>
  <c r="BS135" i="3"/>
  <c r="BQ36" i="4"/>
  <c r="BQ37" i="4"/>
  <c r="BQ38" i="4" s="1"/>
  <c r="BQ121" i="3"/>
  <c r="BQ78" i="3"/>
  <c r="BR30" i="2"/>
  <c r="BV30" i="2"/>
  <c r="BX30" i="2" s="1"/>
  <c r="BM59" i="2"/>
  <c r="BM19" i="2"/>
  <c r="BM41" i="2"/>
  <c r="AY101" i="3"/>
  <c r="BD104" i="3" s="1"/>
  <c r="AY5" i="3"/>
  <c r="AY4" i="3" s="1"/>
  <c r="AY140" i="3" s="1"/>
  <c r="AS67" i="3"/>
  <c r="AJ55" i="3"/>
  <c r="AF55" i="3"/>
  <c r="BH95" i="3"/>
  <c r="BH100" i="3"/>
  <c r="BH98" i="3"/>
  <c r="BD68" i="2"/>
  <c r="BQ60" i="2"/>
  <c r="BQ12" i="2"/>
  <c r="BQ113" i="2" s="1"/>
  <c r="BQ10" i="2"/>
  <c r="BX46" i="4"/>
  <c r="AT32" i="2"/>
  <c r="BE57" i="3"/>
  <c r="AW57" i="3"/>
  <c r="AW5" i="3"/>
  <c r="AW4" i="3" s="1"/>
  <c r="AW140" i="3" s="1"/>
  <c r="AH77" i="2"/>
  <c r="AH63" i="2"/>
  <c r="AS36" i="4"/>
  <c r="AS37" i="4"/>
  <c r="BC146" i="3"/>
  <c r="BC135" i="3"/>
  <c r="BR66" i="3"/>
  <c r="BL147" i="3"/>
  <c r="BD93" i="3"/>
  <c r="BI96" i="3" s="1"/>
  <c r="BI39" i="2" s="1"/>
  <c r="AY57" i="3"/>
  <c r="BM57" i="3"/>
  <c r="BI132" i="3"/>
  <c r="AY147" i="3"/>
  <c r="AV48" i="3"/>
  <c r="BF30" i="2"/>
  <c r="BR42" i="4"/>
  <c r="BR37" i="4"/>
  <c r="BR38" i="4" s="1"/>
  <c r="BR36" i="4"/>
  <c r="AN60" i="2"/>
  <c r="AN61" i="2" s="1"/>
  <c r="AN10" i="2"/>
  <c r="AR102" i="3" s="1"/>
  <c r="AN12" i="2"/>
  <c r="AN113" i="2" s="1"/>
  <c r="AN79" i="2"/>
  <c r="AO11" i="2"/>
  <c r="AM67" i="3"/>
  <c r="BU147" i="3"/>
  <c r="AT60" i="2"/>
  <c r="AT12" i="2"/>
  <c r="AK94" i="3"/>
  <c r="AN94" i="3"/>
  <c r="AK41" i="2"/>
  <c r="AK139" i="3"/>
  <c r="AK19" i="2"/>
  <c r="AK16" i="2"/>
  <c r="AO9" i="2"/>
  <c r="AK22" i="2"/>
  <c r="AV122" i="3"/>
  <c r="AV123" i="3"/>
  <c r="AH57" i="3"/>
  <c r="BY96" i="3"/>
  <c r="BY39" i="2" s="1"/>
  <c r="AP78" i="2"/>
  <c r="BF78" i="2"/>
  <c r="BK88" i="2" s="1"/>
  <c r="AP57" i="3"/>
  <c r="BO94" i="3"/>
  <c r="BO19" i="2"/>
  <c r="BO59" i="2"/>
  <c r="BO41" i="2"/>
  <c r="BS66" i="2"/>
  <c r="AQ95" i="3"/>
  <c r="AQ98" i="3"/>
  <c r="AQ100" i="3"/>
  <c r="AP132" i="3"/>
  <c r="BB123" i="3"/>
  <c r="BB122" i="3"/>
  <c r="AT112" i="2"/>
  <c r="BS80" i="2"/>
  <c r="BI37" i="4"/>
  <c r="BI38" i="4" s="1"/>
  <c r="AL94" i="3"/>
  <c r="AL19" i="2"/>
  <c r="AL16" i="2"/>
  <c r="AL78" i="2" s="1"/>
  <c r="AL88" i="2" s="1"/>
  <c r="AL41" i="2"/>
  <c r="AL59" i="2"/>
  <c r="AL139" i="3" s="1"/>
  <c r="AM94" i="3"/>
  <c r="BN101" i="3"/>
  <c r="BS104" i="3" s="1"/>
  <c r="BN5" i="3"/>
  <c r="AH35" i="2"/>
  <c r="AH37" i="2" s="1"/>
  <c r="BI101" i="3"/>
  <c r="BI5" i="3"/>
  <c r="AI48" i="3"/>
  <c r="BK42" i="2"/>
  <c r="BK70" i="2"/>
  <c r="BI9" i="2"/>
  <c r="BD146" i="3"/>
  <c r="BD135" i="3"/>
  <c r="BU62" i="2"/>
  <c r="BU17" i="2"/>
  <c r="AR132" i="3"/>
  <c r="AP96" i="3"/>
  <c r="AP39" i="2" s="1"/>
  <c r="CN143" i="3"/>
  <c r="CO143" i="3" s="1"/>
  <c r="CP143" i="3" s="1"/>
  <c r="CQ143" i="3" s="1"/>
  <c r="CM143" i="3"/>
  <c r="AR85" i="2"/>
  <c r="AR61" i="2"/>
  <c r="BC9" i="2"/>
  <c r="BD9" i="2" s="1"/>
  <c r="BC8" i="2"/>
  <c r="AO41" i="3"/>
  <c r="AO79" i="3" s="1"/>
  <c r="AN27" i="3"/>
  <c r="AN26" i="3" s="1"/>
  <c r="AN48" i="3" s="1"/>
  <c r="BG121" i="3"/>
  <c r="BG78" i="3"/>
  <c r="BX15" i="2"/>
  <c r="BF104" i="3"/>
  <c r="BG147" i="3"/>
  <c r="AN66" i="3"/>
  <c r="BJ96" i="3"/>
  <c r="BJ39" i="2" s="1"/>
  <c r="BE85" i="2"/>
  <c r="BH96" i="3"/>
  <c r="BH39" i="2" s="1"/>
  <c r="AW85" i="2"/>
  <c r="BX147" i="3"/>
  <c r="AX147" i="3"/>
  <c r="AK140" i="3"/>
  <c r="AK48" i="3"/>
  <c r="BT147" i="3"/>
  <c r="AH121" i="3"/>
  <c r="AH78" i="3"/>
  <c r="AJ64" i="2"/>
  <c r="AJ78" i="3" s="1"/>
  <c r="AU62" i="2"/>
  <c r="AU22" i="2"/>
  <c r="AU17" i="2"/>
  <c r="BD132" i="3"/>
  <c r="BO27" i="3"/>
  <c r="BO26" i="3" s="1"/>
  <c r="BO48" i="3" s="1"/>
  <c r="BQ9" i="2"/>
  <c r="BH5" i="3"/>
  <c r="BH4" i="3" s="1"/>
  <c r="BH140" i="3" s="1"/>
  <c r="BH67" i="3"/>
  <c r="BN42" i="4"/>
  <c r="AR96" i="3"/>
  <c r="AR39" i="2" s="1"/>
  <c r="AS96" i="3"/>
  <c r="AS39" i="2" s="1"/>
  <c r="AR95" i="3"/>
  <c r="AR98" i="3"/>
  <c r="AR100" i="3"/>
  <c r="AF94" i="3"/>
  <c r="AI94" i="3"/>
  <c r="AF59" i="2"/>
  <c r="AF139" i="3" s="1"/>
  <c r="AJ9" i="2"/>
  <c r="AF19" i="2"/>
  <c r="AF16" i="2"/>
  <c r="AF41" i="2"/>
  <c r="AH94" i="3"/>
  <c r="AF22" i="2"/>
  <c r="AG94" i="3"/>
  <c r="BE112" i="2"/>
  <c r="AL22" i="2"/>
  <c r="BU114" i="2"/>
  <c r="BU115" i="2"/>
  <c r="BU117" i="2" s="1"/>
  <c r="BF132" i="3"/>
  <c r="AO146" i="3"/>
  <c r="AO135" i="3"/>
  <c r="AM140" i="3"/>
  <c r="BD55" i="3"/>
  <c r="BI55" i="3"/>
  <c r="AN67" i="3"/>
  <c r="AN71" i="3"/>
  <c r="AN75" i="3" s="1"/>
  <c r="BC64" i="3"/>
  <c r="BC66" i="3"/>
  <c r="BT66" i="3"/>
  <c r="BT64" i="3"/>
  <c r="BB146" i="3"/>
  <c r="BB135" i="3"/>
  <c r="BB59" i="2"/>
  <c r="BB19" i="2"/>
  <c r="BB41" i="2"/>
  <c r="BB57" i="3"/>
  <c r="AU85" i="2"/>
  <c r="BT96" i="3"/>
  <c r="BT39" i="2" s="1"/>
  <c r="BV147" i="3"/>
  <c r="CF44" i="3"/>
  <c r="CF49" i="2" s="1"/>
  <c r="AI121" i="3"/>
  <c r="AI78" i="3"/>
  <c r="AQ135" i="3"/>
  <c r="AQ147" i="3"/>
  <c r="BW35" i="4"/>
  <c r="BW4" i="2"/>
  <c r="BJ57" i="3"/>
  <c r="BJ132" i="3"/>
  <c r="AS12" i="2"/>
  <c r="AS113" i="2" s="1"/>
  <c r="AS60" i="2"/>
  <c r="AS10" i="2"/>
  <c r="AX8" i="2"/>
  <c r="AX9" i="2"/>
  <c r="BA94" i="3" s="1"/>
  <c r="AY4" i="2"/>
  <c r="BD57" i="3"/>
  <c r="AH27" i="3"/>
  <c r="AH26" i="3" s="1"/>
  <c r="AH48" i="3" s="1"/>
  <c r="BM94" i="3"/>
  <c r="BJ94" i="3"/>
  <c r="BJ59" i="2"/>
  <c r="BJ139" i="3" s="1"/>
  <c r="BJ41" i="2"/>
  <c r="BJ19" i="2"/>
  <c r="BN9" i="2"/>
  <c r="BK94" i="3"/>
  <c r="BJ22" i="2"/>
  <c r="BL94" i="3"/>
  <c r="BU104" i="3"/>
  <c r="BV104" i="3"/>
  <c r="BL30" i="2"/>
  <c r="BM30" i="2"/>
  <c r="AZ57" i="3"/>
  <c r="AX36" i="4"/>
  <c r="AX37" i="4"/>
  <c r="AX38" i="4" s="1"/>
  <c r="AY35" i="4"/>
  <c r="AL64" i="3"/>
  <c r="AL66" i="3"/>
  <c r="BY48" i="3"/>
  <c r="CC6" i="4"/>
  <c r="BC66" i="2"/>
  <c r="BS112" i="2"/>
  <c r="AV85" i="2"/>
  <c r="AV30" i="2"/>
  <c r="BP57" i="3"/>
  <c r="BO57" i="3"/>
  <c r="AZ132" i="3"/>
  <c r="BQ79" i="2"/>
  <c r="BY85" i="2"/>
  <c r="BA59" i="2"/>
  <c r="BA139" i="3" s="1"/>
  <c r="BA41" i="2"/>
  <c r="BA19" i="2"/>
  <c r="BA22" i="2"/>
  <c r="AN85" i="2"/>
  <c r="BW96" i="3"/>
  <c r="AP104" i="3"/>
  <c r="BG132" i="3"/>
  <c r="BQ147" i="3"/>
  <c r="BC36" i="4"/>
  <c r="BC37" i="4"/>
  <c r="BC38" i="4" s="1"/>
  <c r="F20" i="2"/>
  <c r="BV12" i="2"/>
  <c r="BV113" i="2" s="1"/>
  <c r="BF135" i="3"/>
  <c r="BF146" i="3"/>
  <c r="AN123" i="3"/>
  <c r="AO123" i="3" s="1"/>
  <c r="AN122" i="3"/>
  <c r="AN146" i="3"/>
  <c r="AN147" i="3" s="1"/>
  <c r="AN135" i="3"/>
  <c r="BB132" i="3"/>
  <c r="BA147" i="3"/>
  <c r="AJ93" i="3"/>
  <c r="AJ96" i="3" s="1"/>
  <c r="AJ39" i="2" s="1"/>
  <c r="AR123" i="3"/>
  <c r="AT121" i="3"/>
  <c r="AT122" i="3" s="1"/>
  <c r="AR122" i="3"/>
  <c r="BL48" i="3"/>
  <c r="BZ132" i="3"/>
  <c r="AJ67" i="2"/>
  <c r="AJ66" i="2" s="1"/>
  <c r="AX104" i="2"/>
  <c r="AY102" i="2"/>
  <c r="BD23" i="2"/>
  <c r="CI125" i="3"/>
  <c r="BI102" i="2"/>
  <c r="BD67" i="2"/>
  <c r="CC15" i="4"/>
  <c r="CC16" i="4" s="1"/>
  <c r="AI23" i="2"/>
  <c r="AI17" i="2" s="1"/>
  <c r="AI67" i="2"/>
  <c r="AI66" i="2" s="1"/>
  <c r="BD102" i="2"/>
  <c r="AY97" i="2"/>
  <c r="AY98" i="2"/>
  <c r="AN67" i="2"/>
  <c r="AN66" i="2" s="1"/>
  <c r="AN23" i="2"/>
  <c r="AO24" i="2"/>
  <c r="AO25" i="2" s="1"/>
  <c r="AG17" i="2"/>
  <c r="BW104" i="2"/>
  <c r="BX102" i="2"/>
  <c r="CX20" i="2"/>
  <c r="CM46" i="3" l="1"/>
  <c r="BX4" i="3"/>
  <c r="F24" i="12"/>
  <c r="BS140" i="3"/>
  <c r="E21" i="12"/>
  <c r="BI4" i="3"/>
  <c r="C24" i="12"/>
  <c r="BN4" i="3"/>
  <c r="D24" i="12"/>
  <c r="BY140" i="3"/>
  <c r="M21" i="12"/>
  <c r="AO22" i="2"/>
  <c r="C10" i="9"/>
  <c r="CA46" i="4"/>
  <c r="AO147" i="3"/>
  <c r="BY66" i="3"/>
  <c r="AT132" i="3"/>
  <c r="AT57" i="3"/>
  <c r="BD66" i="2"/>
  <c r="BM139" i="3"/>
  <c r="AT123" i="3"/>
  <c r="BD42" i="4"/>
  <c r="BR94" i="3"/>
  <c r="BR100" i="3" s="1"/>
  <c r="BN37" i="4"/>
  <c r="BN38" i="4" s="1"/>
  <c r="BJ38" i="4"/>
  <c r="AP115" i="2"/>
  <c r="AP117" i="2" s="1"/>
  <c r="AT39" i="2"/>
  <c r="AJ121" i="3"/>
  <c r="AJ122" i="3" s="1"/>
  <c r="BY104" i="3"/>
  <c r="AO132" i="3"/>
  <c r="CG25" i="4"/>
  <c r="CH25" i="4" s="1"/>
  <c r="CH63" i="3"/>
  <c r="BW8" i="2"/>
  <c r="BW39" i="2"/>
  <c r="BC94" i="3"/>
  <c r="BC95" i="3" s="1"/>
  <c r="BT85" i="2"/>
  <c r="BO139" i="3"/>
  <c r="AS48" i="3"/>
  <c r="BN103" i="2"/>
  <c r="BN104" i="2" s="1"/>
  <c r="AT79" i="3"/>
  <c r="BX103" i="2"/>
  <c r="BX104" i="2" s="1"/>
  <c r="AO103" i="2"/>
  <c r="AO104" i="2" s="1"/>
  <c r="BS39" i="2"/>
  <c r="AQ85" i="2"/>
  <c r="CJ6" i="4"/>
  <c r="CJ11" i="4" s="1"/>
  <c r="AP79" i="3"/>
  <c r="CT8" i="4"/>
  <c r="BD103" i="2"/>
  <c r="BD104" i="2" s="1"/>
  <c r="BH139" i="3"/>
  <c r="AW81" i="3"/>
  <c r="AW82" i="3" s="1"/>
  <c r="BG81" i="3"/>
  <c r="BG82" i="3" s="1"/>
  <c r="X92" i="3"/>
  <c r="X50" i="3"/>
  <c r="X131" i="3"/>
  <c r="X48" i="4"/>
  <c r="X31" i="4"/>
  <c r="X44" i="4"/>
  <c r="X142" i="3"/>
  <c r="X70" i="3"/>
  <c r="X3" i="4"/>
  <c r="X23" i="4"/>
  <c r="X58" i="2"/>
  <c r="X3" i="2"/>
  <c r="X47" i="2"/>
  <c r="X93" i="2"/>
  <c r="X76" i="2"/>
  <c r="X106" i="2"/>
  <c r="X3" i="3"/>
  <c r="AY103" i="2"/>
  <c r="AY104" i="2" s="1"/>
  <c r="BS42" i="4"/>
  <c r="R48" i="4"/>
  <c r="R31" i="4"/>
  <c r="R44" i="4"/>
  <c r="R142" i="3"/>
  <c r="R70" i="3"/>
  <c r="R3" i="4"/>
  <c r="R23" i="4"/>
  <c r="R92" i="3"/>
  <c r="R50" i="3"/>
  <c r="R131" i="3"/>
  <c r="R3" i="3"/>
  <c r="R58" i="2"/>
  <c r="R3" i="2"/>
  <c r="R47" i="2"/>
  <c r="R93" i="2"/>
  <c r="R76" i="2"/>
  <c r="R106" i="2"/>
  <c r="CS13" i="4"/>
  <c r="AW139" i="3"/>
  <c r="BC81" i="3"/>
  <c r="BC82" i="3" s="1"/>
  <c r="U142" i="3"/>
  <c r="U70" i="3"/>
  <c r="U3" i="4"/>
  <c r="U23" i="4"/>
  <c r="U92" i="3"/>
  <c r="U50" i="3"/>
  <c r="U131" i="3"/>
  <c r="U48" i="4"/>
  <c r="U31" i="4"/>
  <c r="U44" i="4"/>
  <c r="U58" i="2"/>
  <c r="U3" i="2"/>
  <c r="U47" i="2"/>
  <c r="U93" i="2"/>
  <c r="U76" i="2"/>
  <c r="U106" i="2"/>
  <c r="U3" i="3"/>
  <c r="AI81" i="3"/>
  <c r="AI82" i="3" s="1"/>
  <c r="BS81" i="3"/>
  <c r="BD8" i="2"/>
  <c r="BI103" i="2"/>
  <c r="BI104" i="2" s="1"/>
  <c r="T44" i="4"/>
  <c r="T142" i="3"/>
  <c r="T70" i="3"/>
  <c r="T3" i="4"/>
  <c r="T23" i="4"/>
  <c r="T92" i="3"/>
  <c r="T50" i="3"/>
  <c r="T131" i="3"/>
  <c r="T48" i="4"/>
  <c r="T31" i="4"/>
  <c r="T58" i="2"/>
  <c r="T3" i="2"/>
  <c r="T47" i="2"/>
  <c r="T93" i="2"/>
  <c r="T76" i="2"/>
  <c r="T106" i="2"/>
  <c r="T3" i="3"/>
  <c r="BN81" i="3"/>
  <c r="AJ103" i="2"/>
  <c r="AJ104" i="2" s="1"/>
  <c r="BQ81" i="3"/>
  <c r="BQ82" i="3" s="1"/>
  <c r="BM81" i="3"/>
  <c r="BM82" i="3" s="1"/>
  <c r="V3" i="4"/>
  <c r="V23" i="4"/>
  <c r="V92" i="3"/>
  <c r="V50" i="3"/>
  <c r="V131" i="3"/>
  <c r="V48" i="4"/>
  <c r="V31" i="4"/>
  <c r="V44" i="4"/>
  <c r="V142" i="3"/>
  <c r="V70" i="3"/>
  <c r="V58" i="2"/>
  <c r="V3" i="2"/>
  <c r="V47" i="2"/>
  <c r="V93" i="2"/>
  <c r="V76" i="2"/>
  <c r="V106" i="2"/>
  <c r="V3" i="3"/>
  <c r="CJ63" i="3"/>
  <c r="CK63" i="3" s="1"/>
  <c r="CL63" i="3" s="1"/>
  <c r="CN63" i="3" s="1"/>
  <c r="AJ81" i="3"/>
  <c r="AJ82" i="3" s="1"/>
  <c r="BG85" i="2"/>
  <c r="BB139" i="3"/>
  <c r="AH81" i="3"/>
  <c r="AH82" i="3" s="1"/>
  <c r="BD81" i="3"/>
  <c r="BD82" i="3" s="1"/>
  <c r="BZ46" i="4"/>
  <c r="CM21" i="2"/>
  <c r="O41" i="9" s="1"/>
  <c r="Q41" i="9" s="1"/>
  <c r="CS21" i="2"/>
  <c r="CR21" i="2"/>
  <c r="R41" i="9" s="1"/>
  <c r="T41" i="9" s="1"/>
  <c r="AT48" i="3"/>
  <c r="AL35" i="2"/>
  <c r="AL37" i="2" s="1"/>
  <c r="L116" i="2"/>
  <c r="P112" i="2"/>
  <c r="AE112" i="2"/>
  <c r="AA116" i="2"/>
  <c r="G116" i="2"/>
  <c r="K112" i="2"/>
  <c r="Z112" i="2"/>
  <c r="V116" i="2"/>
  <c r="U112" i="2"/>
  <c r="Q116" i="2"/>
  <c r="CG15" i="4"/>
  <c r="CO46" i="3"/>
  <c r="CP46" i="3" s="1"/>
  <c r="CQ46" i="3" s="1"/>
  <c r="CR46" i="3" s="1"/>
  <c r="BM48" i="3"/>
  <c r="BX48" i="3"/>
  <c r="BV48" i="3"/>
  <c r="BX123" i="3"/>
  <c r="BD30" i="2"/>
  <c r="BS9" i="2"/>
  <c r="BS37" i="4"/>
  <c r="BS38" i="4" s="1"/>
  <c r="CQ49" i="4"/>
  <c r="CN49" i="4"/>
  <c r="CN11" i="3" s="1"/>
  <c r="CP49" i="4"/>
  <c r="CO49" i="4"/>
  <c r="CJ50" i="4"/>
  <c r="W3" i="1"/>
  <c r="AA3" i="1"/>
  <c r="Z3" i="1"/>
  <c r="Y3" i="1"/>
  <c r="AC3" i="1"/>
  <c r="CH4" i="4"/>
  <c r="CF5" i="4"/>
  <c r="CF15" i="4"/>
  <c r="AQ42" i="2"/>
  <c r="AQ70" i="2"/>
  <c r="AT62" i="2"/>
  <c r="BX62" i="2"/>
  <c r="C6" i="9" s="1"/>
  <c r="AR118" i="3"/>
  <c r="AR119" i="3" s="1"/>
  <c r="AR103" i="3"/>
  <c r="BK98" i="3"/>
  <c r="BK100" i="3"/>
  <c r="BK95" i="3"/>
  <c r="AM100" i="3"/>
  <c r="AM95" i="3"/>
  <c r="AM98" i="3"/>
  <c r="BM66" i="3"/>
  <c r="BM64" i="3"/>
  <c r="BQ64" i="3"/>
  <c r="BQ66" i="3"/>
  <c r="AJ140" i="3"/>
  <c r="AJ48" i="3"/>
  <c r="AL61" i="2"/>
  <c r="AQ86" i="2" s="1"/>
  <c r="AL85" i="2"/>
  <c r="BP85" i="2"/>
  <c r="BP61" i="2"/>
  <c r="AM103" i="3"/>
  <c r="AM118" i="3"/>
  <c r="AM119" i="3" s="1"/>
  <c r="AJ104" i="3"/>
  <c r="AK104" i="3"/>
  <c r="AF116" i="2"/>
  <c r="AJ112" i="2"/>
  <c r="AO104" i="3"/>
  <c r="BG123" i="3"/>
  <c r="BG122" i="3"/>
  <c r="AH70" i="2"/>
  <c r="AH42" i="2"/>
  <c r="AF67" i="3"/>
  <c r="BN64" i="3"/>
  <c r="D15" i="12" s="1"/>
  <c r="BN66" i="3"/>
  <c r="BF77" i="2"/>
  <c r="BK87" i="2" s="1"/>
  <c r="AK67" i="3"/>
  <c r="AK71" i="3"/>
  <c r="AK75" i="3" s="1"/>
  <c r="BD37" i="4"/>
  <c r="BD38" i="4" s="1"/>
  <c r="CS143" i="3"/>
  <c r="CT143" i="3" s="1"/>
  <c r="CU143" i="3" s="1"/>
  <c r="CV143" i="3" s="1"/>
  <c r="CR143" i="3"/>
  <c r="BV9" i="2"/>
  <c r="BV22" i="2" s="1"/>
  <c r="BV8" i="2"/>
  <c r="BJ85" i="2"/>
  <c r="AH100" i="3"/>
  <c r="AH98" i="3"/>
  <c r="AH95" i="3"/>
  <c r="BD147" i="3"/>
  <c r="BK44" i="2"/>
  <c r="BK45" i="2"/>
  <c r="AL95" i="3"/>
  <c r="AL100" i="3"/>
  <c r="AL98" i="3"/>
  <c r="AH64" i="3"/>
  <c r="AI71" i="3" s="1"/>
  <c r="AI75" i="3" s="1"/>
  <c r="AH66" i="3"/>
  <c r="AK95" i="3"/>
  <c r="AK100" i="3"/>
  <c r="AK98" i="3"/>
  <c r="BK86" i="2"/>
  <c r="BX66" i="3"/>
  <c r="BX64" i="3"/>
  <c r="F15" i="12" s="1"/>
  <c r="BD27" i="3"/>
  <c r="BD26" i="3" s="1"/>
  <c r="BD48" i="3" s="1"/>
  <c r="AX121" i="3"/>
  <c r="AY121" i="3" s="1"/>
  <c r="AY122" i="3" s="1"/>
  <c r="AX78" i="3"/>
  <c r="BN147" i="3"/>
  <c r="BI104" i="3"/>
  <c r="BJ104" i="3"/>
  <c r="BU38" i="4"/>
  <c r="AZ64" i="3"/>
  <c r="AZ66" i="3"/>
  <c r="AF71" i="3"/>
  <c r="AF75" i="3" s="1"/>
  <c r="AK61" i="2"/>
  <c r="AP86" i="2" s="1"/>
  <c r="AK85" i="2"/>
  <c r="AH133" i="3"/>
  <c r="AH82" i="2"/>
  <c r="AH65" i="2"/>
  <c r="BC67" i="3"/>
  <c r="BK133" i="3"/>
  <c r="BK65" i="2"/>
  <c r="BK82" i="2"/>
  <c r="BV36" i="4"/>
  <c r="BV42" i="4"/>
  <c r="BV37" i="4"/>
  <c r="BV38" i="4" s="1"/>
  <c r="BL62" i="2"/>
  <c r="BL17" i="2"/>
  <c r="BL22" i="2"/>
  <c r="BJ100" i="3"/>
  <c r="BJ95" i="3"/>
  <c r="BJ98" i="3"/>
  <c r="BW36" i="4"/>
  <c r="BW37" i="4"/>
  <c r="BW38" i="4" s="1"/>
  <c r="BI112" i="2"/>
  <c r="AT64" i="3"/>
  <c r="AU71" i="3" s="1"/>
  <c r="AU75" i="3" s="1"/>
  <c r="AT66" i="3"/>
  <c r="BC59" i="2"/>
  <c r="BC139" i="3" s="1"/>
  <c r="BC41" i="2"/>
  <c r="BC19" i="2"/>
  <c r="BF94" i="3"/>
  <c r="BE94" i="3"/>
  <c r="BG94" i="3"/>
  <c r="AP66" i="3"/>
  <c r="AP64" i="3"/>
  <c r="AM87" i="2"/>
  <c r="AG67" i="3"/>
  <c r="AG71" i="3"/>
  <c r="AG75" i="3" s="1"/>
  <c r="AO96" i="3"/>
  <c r="AO39" i="2" s="1"/>
  <c r="BN48" i="3"/>
  <c r="AT8" i="2"/>
  <c r="AR66" i="3"/>
  <c r="AR64" i="3"/>
  <c r="BW67" i="3"/>
  <c r="BW71" i="3"/>
  <c r="BW75" i="3" s="1"/>
  <c r="AR42" i="2"/>
  <c r="AR70" i="2"/>
  <c r="AV71" i="3"/>
  <c r="AV75" i="3" s="1"/>
  <c r="AV67" i="3"/>
  <c r="AY37" i="4"/>
  <c r="AY38" i="4" s="1"/>
  <c r="AF100" i="3"/>
  <c r="AF95" i="3"/>
  <c r="AF98" i="3"/>
  <c r="BW62" i="2"/>
  <c r="BW17" i="2"/>
  <c r="BV114" i="2"/>
  <c r="BV116" i="2" s="1"/>
  <c r="BV118" i="2" s="1"/>
  <c r="BV115" i="2"/>
  <c r="BV117" i="2" s="1"/>
  <c r="AY8" i="2"/>
  <c r="G20" i="2"/>
  <c r="AL71" i="3"/>
  <c r="AL75" i="3" s="1"/>
  <c r="AL67" i="3"/>
  <c r="BN30" i="2"/>
  <c r="BM98" i="3"/>
  <c r="BM95" i="3"/>
  <c r="BM100" i="3"/>
  <c r="AY48" i="3"/>
  <c r="AF78" i="2"/>
  <c r="AF88" i="2" s="1"/>
  <c r="AF35" i="2"/>
  <c r="AF37" i="2" s="1"/>
  <c r="AR86" i="2"/>
  <c r="AR63" i="2"/>
  <c r="AR77" i="2"/>
  <c r="AR87" i="2" s="1"/>
  <c r="AO60" i="2"/>
  <c r="AO12" i="2"/>
  <c r="AO79" i="2"/>
  <c r="AU96" i="3"/>
  <c r="AU39" i="2" s="1"/>
  <c r="BM85" i="2"/>
  <c r="BS147" i="3"/>
  <c r="BK67" i="3"/>
  <c r="BL71" i="3"/>
  <c r="BL75" i="3" s="1"/>
  <c r="BR147" i="3"/>
  <c r="AJ60" i="2"/>
  <c r="AJ12" i="2"/>
  <c r="AJ79" i="2"/>
  <c r="AS102" i="3"/>
  <c r="BN96" i="3"/>
  <c r="BN39" i="2" s="1"/>
  <c r="BO96" i="3"/>
  <c r="BO39" i="2" s="1"/>
  <c r="AK96" i="3"/>
  <c r="AK39" i="2" s="1"/>
  <c r="BP64" i="3"/>
  <c r="BP66" i="3"/>
  <c r="CG44" i="3"/>
  <c r="CG49" i="2" s="1"/>
  <c r="BG30" i="2"/>
  <c r="BO95" i="3"/>
  <c r="BO98" i="3"/>
  <c r="BO100" i="3"/>
  <c r="AW122" i="3"/>
  <c r="AW123" i="3"/>
  <c r="AN86" i="2"/>
  <c r="AN63" i="2"/>
  <c r="AN77" i="2"/>
  <c r="AG85" i="2"/>
  <c r="AN98" i="3"/>
  <c r="AN100" i="3"/>
  <c r="AN95" i="3"/>
  <c r="BI64" i="3"/>
  <c r="C15" i="12" s="1"/>
  <c r="BI66" i="3"/>
  <c r="BB85" i="2"/>
  <c r="BI94" i="3"/>
  <c r="BI59" i="2"/>
  <c r="BI41" i="2"/>
  <c r="BI19" i="2"/>
  <c r="BO85" i="2"/>
  <c r="BN112" i="2"/>
  <c r="BE66" i="3"/>
  <c r="BE64" i="3"/>
  <c r="BG64" i="3"/>
  <c r="BG66" i="3"/>
  <c r="BW42" i="4"/>
  <c r="AS59" i="2"/>
  <c r="AS139" i="3" s="1"/>
  <c r="AS16" i="2"/>
  <c r="AS41" i="2"/>
  <c r="AS19" i="2"/>
  <c r="AU94" i="3"/>
  <c r="AV94" i="3"/>
  <c r="AS94" i="3"/>
  <c r="AW94" i="3"/>
  <c r="AT9" i="2"/>
  <c r="CH55" i="3"/>
  <c r="CI54" i="3"/>
  <c r="CJ54" i="3" s="1"/>
  <c r="CK54" i="3" s="1"/>
  <c r="CL54" i="3" s="1"/>
  <c r="CM54" i="3" s="1"/>
  <c r="BP62" i="2"/>
  <c r="BP17" i="2"/>
  <c r="BP22" i="2"/>
  <c r="BM122" i="3"/>
  <c r="BM123" i="3"/>
  <c r="BN123" i="3" s="1"/>
  <c r="BO147" i="3"/>
  <c r="AS115" i="2"/>
  <c r="AS114" i="2"/>
  <c r="AT113" i="2"/>
  <c r="BB147" i="3"/>
  <c r="AK78" i="2"/>
  <c r="AK35" i="2"/>
  <c r="AK37" i="2" s="1"/>
  <c r="BP78" i="2"/>
  <c r="BP88" i="2" s="1"/>
  <c r="BJ64" i="3"/>
  <c r="BJ66" i="3"/>
  <c r="BB64" i="3"/>
  <c r="BB66" i="3"/>
  <c r="AG98" i="3"/>
  <c r="AG95" i="3"/>
  <c r="AG100" i="3"/>
  <c r="BD96" i="3"/>
  <c r="BD39" i="2" s="1"/>
  <c r="BE96" i="3"/>
  <c r="BE39" i="2" s="1"/>
  <c r="AX59" i="2"/>
  <c r="AX139" i="3" s="1"/>
  <c r="AX19" i="2"/>
  <c r="AX41" i="2"/>
  <c r="AZ94" i="3"/>
  <c r="AX94" i="3"/>
  <c r="AY9" i="2"/>
  <c r="AM133" i="3"/>
  <c r="AM65" i="2"/>
  <c r="AM82" i="2"/>
  <c r="CF31" i="3"/>
  <c r="BI48" i="3"/>
  <c r="BD94" i="3"/>
  <c r="BD59" i="2"/>
  <c r="BD139" i="3" s="1"/>
  <c r="BD19" i="2"/>
  <c r="BD41" i="2"/>
  <c r="AY36" i="4"/>
  <c r="AY42" i="4"/>
  <c r="BB94" i="3"/>
  <c r="BU116" i="2"/>
  <c r="AJ94" i="3"/>
  <c r="AJ59" i="2"/>
  <c r="AJ139" i="3" s="1"/>
  <c r="AJ19" i="2"/>
  <c r="AJ22" i="2"/>
  <c r="AJ41" i="2"/>
  <c r="AH122" i="3"/>
  <c r="AH123" i="3"/>
  <c r="BH48" i="3"/>
  <c r="AW48" i="3"/>
  <c r="AP35" i="2"/>
  <c r="AN115" i="2"/>
  <c r="AN114" i="2"/>
  <c r="AO113" i="2"/>
  <c r="BV62" i="2"/>
  <c r="BV17" i="2"/>
  <c r="AQ88" i="2"/>
  <c r="AP63" i="2"/>
  <c r="AP77" i="2"/>
  <c r="AI63" i="2"/>
  <c r="AI77" i="2"/>
  <c r="BX4" i="2"/>
  <c r="BX39" i="2" s="1"/>
  <c r="AK116" i="2"/>
  <c r="AO112" i="2"/>
  <c r="AO57" i="3"/>
  <c r="BH121" i="3"/>
  <c r="BH78" i="3"/>
  <c r="BQ122" i="3"/>
  <c r="BQ123" i="3"/>
  <c r="BN94" i="3"/>
  <c r="BN59" i="2"/>
  <c r="BN19" i="2"/>
  <c r="BN41" i="2"/>
  <c r="BA98" i="3"/>
  <c r="BA100" i="3"/>
  <c r="BA95" i="3"/>
  <c r="BD66" i="3"/>
  <c r="BD64" i="3"/>
  <c r="BQ114" i="2"/>
  <c r="BQ116" i="2" s="1"/>
  <c r="BQ118" i="2" s="1"/>
  <c r="BQ115" i="2"/>
  <c r="BQ117" i="2" s="1"/>
  <c r="AV62" i="2"/>
  <c r="AV22" i="2"/>
  <c r="AV17" i="2"/>
  <c r="BW9" i="2"/>
  <c r="BO64" i="3"/>
  <c r="BO66" i="3"/>
  <c r="BL100" i="3"/>
  <c r="BL95" i="3"/>
  <c r="BL98" i="3"/>
  <c r="AT10" i="2"/>
  <c r="AT102" i="3" s="1"/>
  <c r="AI122" i="3"/>
  <c r="AI123" i="3"/>
  <c r="AF85" i="2"/>
  <c r="AF61" i="2"/>
  <c r="AP102" i="3"/>
  <c r="AN16" i="2"/>
  <c r="AN78" i="2" s="1"/>
  <c r="AQ102" i="3"/>
  <c r="BF62" i="2"/>
  <c r="BF63" i="2" s="1"/>
  <c r="BF17" i="2"/>
  <c r="BF22" i="2"/>
  <c r="BC147" i="3"/>
  <c r="BQ30" i="2"/>
  <c r="BS30" i="2" s="1"/>
  <c r="BR59" i="2"/>
  <c r="BR139" i="3" s="1"/>
  <c r="BR19" i="2"/>
  <c r="BR41" i="2"/>
  <c r="BT94" i="3"/>
  <c r="AP85" i="2"/>
  <c r="AI67" i="3"/>
  <c r="BF66" i="3"/>
  <c r="BF64" i="3"/>
  <c r="AJ113" i="2"/>
  <c r="AI114" i="2"/>
  <c r="AI115" i="2"/>
  <c r="AO10" i="2"/>
  <c r="AO102" i="3" s="1"/>
  <c r="BY67" i="3"/>
  <c r="AO27" i="3"/>
  <c r="AO26" i="3" s="1"/>
  <c r="AO48" i="3" s="1"/>
  <c r="AY78" i="3"/>
  <c r="BS67" i="3"/>
  <c r="BF147" i="3"/>
  <c r="AW64" i="3"/>
  <c r="AW66" i="3"/>
  <c r="AM78" i="2"/>
  <c r="AM88" i="2" s="1"/>
  <c r="AM35" i="2"/>
  <c r="AM37" i="2" s="1"/>
  <c r="BA85" i="2"/>
  <c r="AS22" i="2"/>
  <c r="AS62" i="2"/>
  <c r="AS17" i="2"/>
  <c r="AT17" i="2" s="1"/>
  <c r="AG133" i="3"/>
  <c r="AG65" i="2"/>
  <c r="AG82" i="2"/>
  <c r="BB17" i="2"/>
  <c r="BB62" i="2"/>
  <c r="BB22" i="2"/>
  <c r="AJ71" i="3"/>
  <c r="AJ75" i="3" s="1"/>
  <c r="AJ67" i="3"/>
  <c r="AY64" i="3"/>
  <c r="AY66" i="3"/>
  <c r="AY104" i="3"/>
  <c r="AZ104" i="3"/>
  <c r="BP100" i="3"/>
  <c r="BP98" i="3"/>
  <c r="BP95" i="3"/>
  <c r="BU64" i="3"/>
  <c r="BU66" i="3"/>
  <c r="BF85" i="2"/>
  <c r="BR121" i="3"/>
  <c r="BS121" i="3" s="1"/>
  <c r="BS122" i="3" s="1"/>
  <c r="BR78" i="3"/>
  <c r="BT71" i="3"/>
  <c r="BT75" i="3" s="1"/>
  <c r="BT67" i="3"/>
  <c r="AI100" i="3"/>
  <c r="AI95" i="3"/>
  <c r="AI98" i="3"/>
  <c r="AY96" i="3"/>
  <c r="AY39" i="2" s="1"/>
  <c r="BQ94" i="3"/>
  <c r="BQ59" i="2"/>
  <c r="BQ139" i="3" s="1"/>
  <c r="BQ41" i="2"/>
  <c r="BQ16" i="2"/>
  <c r="BQ19" i="2"/>
  <c r="BI78" i="3"/>
  <c r="BN104" i="3"/>
  <c r="BO104" i="3"/>
  <c r="AO94" i="3"/>
  <c r="AO59" i="2"/>
  <c r="AO139" i="3" s="1"/>
  <c r="AO19" i="2"/>
  <c r="AO41" i="2"/>
  <c r="AM71" i="3"/>
  <c r="AM75" i="3" s="1"/>
  <c r="BH30" i="2"/>
  <c r="AH85" i="2"/>
  <c r="AS38" i="4"/>
  <c r="AT37" i="4"/>
  <c r="AT38" i="4" s="1"/>
  <c r="BF116" i="2"/>
  <c r="BF118" i="2" s="1"/>
  <c r="AU67" i="3"/>
  <c r="BS27" i="3"/>
  <c r="BS26" i="3" s="1"/>
  <c r="BS48" i="3" s="1"/>
  <c r="AU104" i="3"/>
  <c r="AQ63" i="2"/>
  <c r="AQ77" i="2"/>
  <c r="AQ66" i="3"/>
  <c r="AQ64" i="3"/>
  <c r="AI16" i="2"/>
  <c r="AI78" i="2" s="1"/>
  <c r="AK102" i="3"/>
  <c r="AL102" i="3"/>
  <c r="AI102" i="3"/>
  <c r="AJ10" i="2"/>
  <c r="AJ102" i="3" s="1"/>
  <c r="BU94" i="3"/>
  <c r="BU41" i="2"/>
  <c r="BU59" i="2"/>
  <c r="BU139" i="3" s="1"/>
  <c r="BU19" i="2"/>
  <c r="BU16" i="2"/>
  <c r="AN102" i="3"/>
  <c r="BC122" i="3"/>
  <c r="BC123" i="3"/>
  <c r="BD123" i="3" s="1"/>
  <c r="AW30" i="2"/>
  <c r="AY30" i="2" s="1"/>
  <c r="CF125" i="3"/>
  <c r="AJ23" i="2"/>
  <c r="AN17" i="2"/>
  <c r="AO23" i="2"/>
  <c r="CF97" i="3"/>
  <c r="AG35" i="2"/>
  <c r="AJ17" i="2"/>
  <c r="AO67" i="2"/>
  <c r="AO66" i="2" s="1"/>
  <c r="CJ125" i="3"/>
  <c r="CN125" i="3"/>
  <c r="CE46" i="4" l="1"/>
  <c r="CL25" i="4"/>
  <c r="CM25" i="4" s="1"/>
  <c r="CK25" i="4"/>
  <c r="CJ25" i="4"/>
  <c r="L33" i="9"/>
  <c r="N33" i="9" s="1"/>
  <c r="BN82" i="3"/>
  <c r="D17" i="12"/>
  <c r="BI139" i="3"/>
  <c r="C5" i="12"/>
  <c r="C6" i="12" s="1"/>
  <c r="BN140" i="3"/>
  <c r="D21" i="12"/>
  <c r="BR98" i="3"/>
  <c r="BI140" i="3"/>
  <c r="C21" i="12"/>
  <c r="BN139" i="3"/>
  <c r="D5" i="12"/>
  <c r="D6" i="12" s="1"/>
  <c r="BR95" i="3"/>
  <c r="BS82" i="3"/>
  <c r="E17" i="12"/>
  <c r="BX140" i="3"/>
  <c r="F21" i="12"/>
  <c r="AT22" i="2"/>
  <c r="BS94" i="3"/>
  <c r="C37" i="9"/>
  <c r="BS59" i="2"/>
  <c r="BS41" i="2"/>
  <c r="BS19" i="2"/>
  <c r="BC100" i="3"/>
  <c r="BC98" i="3"/>
  <c r="CS46" i="3"/>
  <c r="CT46" i="3" s="1"/>
  <c r="CU46" i="3" s="1"/>
  <c r="CV46" i="3" s="1"/>
  <c r="CW46" i="3" s="1"/>
  <c r="BY71" i="3"/>
  <c r="BY75" i="3" s="1"/>
  <c r="C35" i="9"/>
  <c r="AJ16" i="2"/>
  <c r="AJ78" i="2" s="1"/>
  <c r="Z131" i="3"/>
  <c r="Z48" i="4"/>
  <c r="Z31" i="4"/>
  <c r="Z44" i="4"/>
  <c r="Z142" i="3"/>
  <c r="Z70" i="3"/>
  <c r="Z3" i="4"/>
  <c r="Z23" i="4"/>
  <c r="Z92" i="3"/>
  <c r="Z50" i="3"/>
  <c r="Z47" i="2"/>
  <c r="Z93" i="2"/>
  <c r="Z76" i="2"/>
  <c r="Z106" i="2"/>
  <c r="Z3" i="3"/>
  <c r="Z58" i="2"/>
  <c r="Z3" i="2"/>
  <c r="CM63" i="3"/>
  <c r="CO63" i="3"/>
  <c r="CP63" i="3" s="1"/>
  <c r="CQ63" i="3" s="1"/>
  <c r="CS63" i="3" s="1"/>
  <c r="CU8" i="4"/>
  <c r="BI81" i="3"/>
  <c r="BR81" i="3"/>
  <c r="BR82" i="3" s="1"/>
  <c r="BH81" i="3"/>
  <c r="BH82" i="3" s="1"/>
  <c r="AX81" i="3"/>
  <c r="AX82" i="3" s="1"/>
  <c r="AA131" i="3"/>
  <c r="AA48" i="4"/>
  <c r="AA31" i="4"/>
  <c r="AA44" i="4"/>
  <c r="AA142" i="3"/>
  <c r="AA70" i="3"/>
  <c r="AA3" i="4"/>
  <c r="AA23" i="4"/>
  <c r="AA92" i="3"/>
  <c r="AA50" i="3"/>
  <c r="AA47" i="2"/>
  <c r="AA93" i="2"/>
  <c r="AA76" i="2"/>
  <c r="AA106" i="2"/>
  <c r="AA3" i="3"/>
  <c r="AA3" i="2"/>
  <c r="AA58" i="2"/>
  <c r="W23" i="4"/>
  <c r="W92" i="3"/>
  <c r="W50" i="3"/>
  <c r="W131" i="3"/>
  <c r="W48" i="4"/>
  <c r="W31" i="4"/>
  <c r="W44" i="4"/>
  <c r="W142" i="3"/>
  <c r="W70" i="3"/>
  <c r="W3" i="4"/>
  <c r="W58" i="2"/>
  <c r="W3" i="2"/>
  <c r="W47" i="2"/>
  <c r="W93" i="2"/>
  <c r="W76" i="2"/>
  <c r="W106" i="2"/>
  <c r="W3" i="3"/>
  <c r="CK6" i="4"/>
  <c r="BI30" i="2"/>
  <c r="AN88" i="2"/>
  <c r="BW22" i="2"/>
  <c r="BZ94" i="3"/>
  <c r="AC48" i="4"/>
  <c r="AC31" i="4"/>
  <c r="AC44" i="4"/>
  <c r="AC142" i="3"/>
  <c r="AC70" i="3"/>
  <c r="AC3" i="4"/>
  <c r="AC23" i="4"/>
  <c r="AC92" i="3"/>
  <c r="AC50" i="3"/>
  <c r="AC131" i="3"/>
  <c r="AC106" i="2"/>
  <c r="AC3" i="3"/>
  <c r="AC58" i="2"/>
  <c r="AC3" i="2"/>
  <c r="AC47" i="2"/>
  <c r="AC93" i="2"/>
  <c r="AC76" i="2"/>
  <c r="CT13" i="4"/>
  <c r="AY81" i="3"/>
  <c r="AY82" i="3" s="1"/>
  <c r="Y92" i="3"/>
  <c r="Y50" i="3"/>
  <c r="Y131" i="3"/>
  <c r="Y48" i="4"/>
  <c r="Y31" i="4"/>
  <c r="Y44" i="4"/>
  <c r="Y142" i="3"/>
  <c r="Y70" i="3"/>
  <c r="Y3" i="4"/>
  <c r="Y23" i="4"/>
  <c r="Y47" i="2"/>
  <c r="Y93" i="2"/>
  <c r="Y76" i="2"/>
  <c r="Y106" i="2"/>
  <c r="Y3" i="3"/>
  <c r="Y3" i="2"/>
  <c r="Y58" i="2"/>
  <c r="CF29" i="2"/>
  <c r="CF28" i="2" s="1"/>
  <c r="CX21" i="2"/>
  <c r="DB21" i="2" s="1"/>
  <c r="CW21" i="2"/>
  <c r="CI25" i="4"/>
  <c r="AJ123" i="3"/>
  <c r="Q118" i="2"/>
  <c r="U116" i="2"/>
  <c r="U118" i="2" s="1"/>
  <c r="Z116" i="2"/>
  <c r="Z118" i="2" s="1"/>
  <c r="V118" i="2"/>
  <c r="G118" i="2"/>
  <c r="K116" i="2"/>
  <c r="K118" i="2" s="1"/>
  <c r="AE116" i="2"/>
  <c r="AE118" i="2" s="1"/>
  <c r="AA118" i="2"/>
  <c r="L118" i="2"/>
  <c r="P116" i="2"/>
  <c r="P118" i="2" s="1"/>
  <c r="AK88" i="2"/>
  <c r="CO11" i="3"/>
  <c r="CP11" i="3" s="1"/>
  <c r="CQ11" i="3" s="1"/>
  <c r="CR11" i="3" s="1"/>
  <c r="BX9" i="2"/>
  <c r="BW94" i="3"/>
  <c r="BW95" i="3" s="1"/>
  <c r="BX17" i="2"/>
  <c r="CR49" i="4"/>
  <c r="CK50" i="4"/>
  <c r="AB3" i="1"/>
  <c r="CH5" i="4"/>
  <c r="AF3" i="1"/>
  <c r="AH3" i="1"/>
  <c r="AD3" i="1"/>
  <c r="AE3" i="1"/>
  <c r="CH15" i="4"/>
  <c r="CH16" i="4" s="1"/>
  <c r="BN22" i="2"/>
  <c r="BN62" i="2"/>
  <c r="AY22" i="2"/>
  <c r="AY62" i="2"/>
  <c r="BF133" i="3"/>
  <c r="BF82" i="2"/>
  <c r="BF65" i="2"/>
  <c r="BK89" i="2" s="1"/>
  <c r="AS78" i="2"/>
  <c r="AS88" i="2" s="1"/>
  <c r="AS35" i="2"/>
  <c r="AS37" i="2" s="1"/>
  <c r="AT16" i="2"/>
  <c r="AT78" i="2" s="1"/>
  <c r="BC85" i="2"/>
  <c r="AF70" i="2"/>
  <c r="AF42" i="2"/>
  <c r="AR45" i="2"/>
  <c r="AR44" i="2"/>
  <c r="AZ71" i="3"/>
  <c r="AZ75" i="3" s="1"/>
  <c r="AZ67" i="3"/>
  <c r="BA71" i="3"/>
  <c r="BA75" i="3" s="1"/>
  <c r="BN67" i="3"/>
  <c r="BN71" i="3"/>
  <c r="BN75" i="3" s="1"/>
  <c r="BT95" i="3"/>
  <c r="BT100" i="3"/>
  <c r="BT98" i="3"/>
  <c r="BU67" i="3"/>
  <c r="BU71" i="3"/>
  <c r="BU75" i="3" s="1"/>
  <c r="BV71" i="3"/>
  <c r="BV75" i="3" s="1"/>
  <c r="AI116" i="2"/>
  <c r="AI118" i="2" s="1"/>
  <c r="AJ114" i="2"/>
  <c r="AH88" i="2"/>
  <c r="BK77" i="3"/>
  <c r="BK84" i="3" s="1"/>
  <c r="BK73" i="2"/>
  <c r="BK56" i="2"/>
  <c r="BK151" i="3"/>
  <c r="CW143" i="3"/>
  <c r="CX143" i="3"/>
  <c r="CY143" i="3" s="1"/>
  <c r="CZ143" i="3" s="1"/>
  <c r="DA143" i="3" s="1"/>
  <c r="DB143" i="3" s="1"/>
  <c r="BH85" i="2"/>
  <c r="AN118" i="3"/>
  <c r="AN119" i="3" s="1"/>
  <c r="AN103" i="3"/>
  <c r="BS71" i="3"/>
  <c r="BS75" i="3" s="1"/>
  <c r="AT94" i="3"/>
  <c r="AT59" i="2"/>
  <c r="AT139" i="3" s="1"/>
  <c r="AT19" i="2"/>
  <c r="AT41" i="2"/>
  <c r="BK81" i="2"/>
  <c r="BK68" i="3"/>
  <c r="AK42" i="2"/>
  <c r="AK70" i="2"/>
  <c r="AS118" i="3"/>
  <c r="AS119" i="3" s="1"/>
  <c r="AS103" i="3"/>
  <c r="AI118" i="3"/>
  <c r="AI119" i="3" s="1"/>
  <c r="AI103" i="3"/>
  <c r="AO85" i="2"/>
  <c r="AO61" i="2"/>
  <c r="AN116" i="2"/>
  <c r="AN118" i="2" s="1"/>
  <c r="AO114" i="2"/>
  <c r="AG88" i="2"/>
  <c r="AG86" i="2"/>
  <c r="AK63" i="2"/>
  <c r="AK86" i="2"/>
  <c r="AK77" i="2"/>
  <c r="AP87" i="2" s="1"/>
  <c r="BR85" i="2"/>
  <c r="AF86" i="2"/>
  <c r="AF63" i="2"/>
  <c r="AF77" i="2"/>
  <c r="AF87" i="2" s="1"/>
  <c r="BX8" i="2"/>
  <c r="BU118" i="2"/>
  <c r="AW100" i="3"/>
  <c r="AW95" i="3"/>
  <c r="AW98" i="3"/>
  <c r="AN87" i="2"/>
  <c r="BG100" i="3"/>
  <c r="BG95" i="3"/>
  <c r="BG98" i="3"/>
  <c r="BV94" i="3"/>
  <c r="BV59" i="2"/>
  <c r="BV19" i="2"/>
  <c r="BV16" i="2"/>
  <c r="BV41" i="2"/>
  <c r="AY71" i="3"/>
  <c r="AY75" i="3" s="1"/>
  <c r="AY67" i="3"/>
  <c r="AG81" i="2"/>
  <c r="AG68" i="3"/>
  <c r="AT118" i="3"/>
  <c r="AT119" i="3" s="1"/>
  <c r="AT103" i="3"/>
  <c r="AK118" i="3"/>
  <c r="AK119" i="3" s="1"/>
  <c r="AK103" i="3"/>
  <c r="AP88" i="2"/>
  <c r="AH86" i="2"/>
  <c r="BR123" i="3"/>
  <c r="BS123" i="3" s="1"/>
  <c r="BR122" i="3"/>
  <c r="BF71" i="3"/>
  <c r="BF75" i="3" s="1"/>
  <c r="BF67" i="3"/>
  <c r="BD71" i="3"/>
  <c r="BD75" i="3" s="1"/>
  <c r="BD67" i="3"/>
  <c r="AP37" i="2"/>
  <c r="BB71" i="3"/>
  <c r="BB75" i="3" s="1"/>
  <c r="BB67" i="3"/>
  <c r="AS100" i="3"/>
  <c r="AS95" i="3"/>
  <c r="AS98" i="3"/>
  <c r="BE67" i="3"/>
  <c r="BE71" i="3"/>
  <c r="BE75" i="3" s="1"/>
  <c r="AN133" i="3"/>
  <c r="AN65" i="2"/>
  <c r="AN82" i="2"/>
  <c r="BE98" i="3"/>
  <c r="BE100" i="3"/>
  <c r="BE95" i="3"/>
  <c r="AJ85" i="2"/>
  <c r="BM71" i="3"/>
  <c r="BM75" i="3" s="1"/>
  <c r="BM67" i="3"/>
  <c r="AQ44" i="2"/>
  <c r="AQ45" i="2"/>
  <c r="AZ98" i="3"/>
  <c r="AZ100" i="3"/>
  <c r="AZ95" i="3"/>
  <c r="AJ118" i="3"/>
  <c r="AJ119" i="3" s="1"/>
  <c r="AJ103" i="3"/>
  <c r="BQ61" i="2"/>
  <c r="BQ85" i="2"/>
  <c r="AM42" i="2"/>
  <c r="AM70" i="2"/>
  <c r="AP118" i="3"/>
  <c r="AP119" i="3" s="1"/>
  <c r="AP103" i="3"/>
  <c r="AO16" i="2"/>
  <c r="AO78" i="2" s="1"/>
  <c r="BP71" i="3"/>
  <c r="BP75" i="3" s="1"/>
  <c r="BP67" i="3"/>
  <c r="AI117" i="2"/>
  <c r="AJ115" i="2"/>
  <c r="AJ117" i="2" s="1"/>
  <c r="CG31" i="3"/>
  <c r="CF58" i="3"/>
  <c r="BU78" i="2"/>
  <c r="BU88" i="2" s="1"/>
  <c r="BU35" i="2"/>
  <c r="AW67" i="3"/>
  <c r="AW71" i="3"/>
  <c r="AW75" i="3" s="1"/>
  <c r="AX71" i="3"/>
  <c r="AX75" i="3" s="1"/>
  <c r="BQ62" i="2"/>
  <c r="BQ22" i="2"/>
  <c r="BQ17" i="2"/>
  <c r="BQ35" i="2" s="1"/>
  <c r="BQ37" i="2" s="1"/>
  <c r="BW59" i="2"/>
  <c r="BY94" i="3"/>
  <c r="BW19" i="2"/>
  <c r="BW41" i="2"/>
  <c r="AO66" i="3"/>
  <c r="AO64" i="3"/>
  <c r="AP71" i="3" s="1"/>
  <c r="AP75" i="3" s="1"/>
  <c r="AI133" i="3"/>
  <c r="AI82" i="2"/>
  <c r="AI65" i="2"/>
  <c r="AM81" i="2"/>
  <c r="AM89" i="2"/>
  <c r="AM68" i="3"/>
  <c r="AV100" i="3"/>
  <c r="AV95" i="3"/>
  <c r="AV98" i="3"/>
  <c r="BG67" i="3"/>
  <c r="BG71" i="3"/>
  <c r="BG75" i="3" s="1"/>
  <c r="BH71" i="3"/>
  <c r="BH75" i="3" s="1"/>
  <c r="BF100" i="3"/>
  <c r="BF95" i="3"/>
  <c r="BF98" i="3"/>
  <c r="BS85" i="2"/>
  <c r="BU95" i="3"/>
  <c r="BU98" i="3"/>
  <c r="BU100" i="3"/>
  <c r="AF102" i="3"/>
  <c r="AH102" i="3"/>
  <c r="AG102" i="3"/>
  <c r="BQ71" i="3"/>
  <c r="BQ75" i="3" s="1"/>
  <c r="BQ67" i="3"/>
  <c r="BR71" i="3"/>
  <c r="BR75" i="3" s="1"/>
  <c r="AS61" i="2"/>
  <c r="AS85" i="2"/>
  <c r="AX22" i="2"/>
  <c r="AX62" i="2"/>
  <c r="AX17" i="2"/>
  <c r="BP86" i="2"/>
  <c r="BP63" i="2"/>
  <c r="BP77" i="2"/>
  <c r="BP87" i="2" s="1"/>
  <c r="AO115" i="2"/>
  <c r="AO117" i="2" s="1"/>
  <c r="AN117" i="2"/>
  <c r="AJ61" i="2"/>
  <c r="AX85" i="2"/>
  <c r="AT115" i="2"/>
  <c r="AT117" i="2" s="1"/>
  <c r="AS117" i="2"/>
  <c r="BI100" i="3"/>
  <c r="BI98" i="3"/>
  <c r="BI95" i="3"/>
  <c r="BI67" i="3"/>
  <c r="BI71" i="3"/>
  <c r="BI75" i="3" s="1"/>
  <c r="BD22" i="2"/>
  <c r="BD62" i="2"/>
  <c r="BF35" i="2"/>
  <c r="AI35" i="2"/>
  <c r="AI37" i="2" s="1"/>
  <c r="AU100" i="3"/>
  <c r="AU98" i="3"/>
  <c r="AU95" i="3"/>
  <c r="AR67" i="3"/>
  <c r="AR71" i="3"/>
  <c r="AR75" i="3" s="1"/>
  <c r="AS71" i="3"/>
  <c r="AS75" i="3" s="1"/>
  <c r="BC71" i="3"/>
  <c r="BC75" i="3" s="1"/>
  <c r="BX71" i="3"/>
  <c r="BX75" i="3" s="1"/>
  <c r="BX67" i="3"/>
  <c r="AL86" i="2"/>
  <c r="AL77" i="2"/>
  <c r="AL87" i="2" s="1"/>
  <c r="AL63" i="2"/>
  <c r="BS95" i="3"/>
  <c r="BS100" i="3"/>
  <c r="BS98" i="3"/>
  <c r="CH44" i="3"/>
  <c r="CI44" i="3" s="1"/>
  <c r="CI49" i="2" s="1"/>
  <c r="BQ98" i="3"/>
  <c r="BQ95" i="3"/>
  <c r="BQ100" i="3"/>
  <c r="AO103" i="3"/>
  <c r="AO118" i="3"/>
  <c r="AO119" i="3" s="1"/>
  <c r="AT114" i="2"/>
  <c r="AS116" i="2"/>
  <c r="CM55" i="3"/>
  <c r="CN54" i="3"/>
  <c r="CO54" i="3" s="1"/>
  <c r="CP54" i="3" s="1"/>
  <c r="CQ54" i="3" s="1"/>
  <c r="CR54" i="3" s="1"/>
  <c r="AF118" i="2"/>
  <c r="AJ116" i="2"/>
  <c r="AJ118" i="2" s="1"/>
  <c r="AJ100" i="3"/>
  <c r="AJ98" i="3"/>
  <c r="AJ95" i="3"/>
  <c r="BU61" i="2"/>
  <c r="BU85" i="2"/>
  <c r="BC22" i="2"/>
  <c r="BC62" i="2"/>
  <c r="BC17" i="2"/>
  <c r="BD17" i="2" s="1"/>
  <c r="BN85" i="2"/>
  <c r="BH123" i="3"/>
  <c r="BI123" i="3" s="1"/>
  <c r="BH122" i="3"/>
  <c r="BI121" i="3"/>
  <c r="BI122" i="3" s="1"/>
  <c r="AK118" i="2"/>
  <c r="BD98" i="3"/>
  <c r="BD95" i="3"/>
  <c r="BD100" i="3"/>
  <c r="AY94" i="3"/>
  <c r="AY59" i="2"/>
  <c r="AY41" i="2"/>
  <c r="AY19" i="2"/>
  <c r="BJ67" i="3"/>
  <c r="BJ71" i="3"/>
  <c r="BJ75" i="3" s="1"/>
  <c r="BP35" i="2"/>
  <c r="BG62" i="2"/>
  <c r="BG17" i="2"/>
  <c r="BG22" i="2"/>
  <c r="AR88" i="2"/>
  <c r="AR133" i="3"/>
  <c r="AR82" i="2"/>
  <c r="AR65" i="2"/>
  <c r="AI85" i="2"/>
  <c r="AH81" i="2"/>
  <c r="AH68" i="3"/>
  <c r="AQ133" i="3"/>
  <c r="AQ82" i="2"/>
  <c r="AQ65" i="2"/>
  <c r="BI85" i="2"/>
  <c r="AT67" i="3"/>
  <c r="AX123" i="3"/>
  <c r="AY123" i="3" s="1"/>
  <c r="AX122" i="3"/>
  <c r="AL118" i="3"/>
  <c r="AL119" i="3" s="1"/>
  <c r="AL103" i="3"/>
  <c r="AO100" i="3"/>
  <c r="AO98" i="3"/>
  <c r="AO95" i="3"/>
  <c r="AP67" i="3"/>
  <c r="BM22" i="2"/>
  <c r="BM17" i="2"/>
  <c r="BM62" i="2"/>
  <c r="AQ67" i="3"/>
  <c r="AQ71" i="3"/>
  <c r="AQ75" i="3" s="1"/>
  <c r="AW62" i="2"/>
  <c r="AW22" i="2"/>
  <c r="AW17" i="2"/>
  <c r="BQ78" i="2"/>
  <c r="AQ118" i="3"/>
  <c r="AQ119" i="3" s="1"/>
  <c r="AQ103" i="3"/>
  <c r="BO71" i="3"/>
  <c r="BO75" i="3" s="1"/>
  <c r="BO67" i="3"/>
  <c r="BN98" i="3"/>
  <c r="BN100" i="3"/>
  <c r="BN95" i="3"/>
  <c r="AP133" i="3"/>
  <c r="AP65" i="2"/>
  <c r="AP82" i="2"/>
  <c r="BB98" i="3"/>
  <c r="BB100" i="3"/>
  <c r="BB95" i="3"/>
  <c r="AX100" i="3"/>
  <c r="AX98" i="3"/>
  <c r="AX95" i="3"/>
  <c r="BK71" i="3"/>
  <c r="BK75" i="3" s="1"/>
  <c r="AH71" i="3"/>
  <c r="AH75" i="3" s="1"/>
  <c r="AH67" i="3"/>
  <c r="AH45" i="2"/>
  <c r="AH44" i="2"/>
  <c r="CB60" i="3"/>
  <c r="CB59" i="3" s="1"/>
  <c r="CC32" i="3" s="1"/>
  <c r="CC59" i="3" s="1"/>
  <c r="AL70" i="2"/>
  <c r="AL42" i="2"/>
  <c r="CF101" i="2"/>
  <c r="CF116" i="3"/>
  <c r="CH9" i="3"/>
  <c r="CG97" i="3"/>
  <c r="AN35" i="2"/>
  <c r="AO17" i="2"/>
  <c r="CF106" i="3"/>
  <c r="CG125" i="3"/>
  <c r="CC45" i="4"/>
  <c r="AG37" i="2"/>
  <c r="CK125" i="3"/>
  <c r="CF129" i="3"/>
  <c r="CS125" i="3"/>
  <c r="CO125" i="3"/>
  <c r="L34" i="9" l="1"/>
  <c r="N34" i="9" s="1"/>
  <c r="BW139" i="3"/>
  <c r="CB85" i="2"/>
  <c r="BS139" i="3"/>
  <c r="E5" i="12"/>
  <c r="E6" i="12" s="1"/>
  <c r="BI82" i="3"/>
  <c r="C17" i="12"/>
  <c r="BV139" i="3"/>
  <c r="CA85" i="2"/>
  <c r="BX19" i="2"/>
  <c r="CA94" i="3"/>
  <c r="D34" i="9"/>
  <c r="CC46" i="4"/>
  <c r="C38" i="9"/>
  <c r="CX46" i="3"/>
  <c r="CY46" i="3" s="1"/>
  <c r="CZ46" i="3" s="1"/>
  <c r="DA46" i="3" s="1"/>
  <c r="DB46" i="3" s="1"/>
  <c r="BW98" i="3"/>
  <c r="AO88" i="2"/>
  <c r="BX94" i="3"/>
  <c r="BX100" i="3" s="1"/>
  <c r="BX22" i="2"/>
  <c r="BW100" i="3"/>
  <c r="BX41" i="2"/>
  <c r="BX59" i="2"/>
  <c r="CR63" i="3"/>
  <c r="CV8" i="4"/>
  <c r="CX8" i="4" s="1"/>
  <c r="CY8" i="4" s="1"/>
  <c r="CZ8" i="4" s="1"/>
  <c r="DA8" i="4" s="1"/>
  <c r="AB131" i="3"/>
  <c r="AB48" i="4"/>
  <c r="AB31" i="4"/>
  <c r="AB44" i="4"/>
  <c r="AB142" i="3"/>
  <c r="AB70" i="3"/>
  <c r="AB3" i="4"/>
  <c r="AB23" i="4"/>
  <c r="AB92" i="3"/>
  <c r="AB50" i="3"/>
  <c r="AB93" i="2"/>
  <c r="AB76" i="2"/>
  <c r="AB106" i="2"/>
  <c r="AB3" i="3"/>
  <c r="AB58" i="2"/>
  <c r="AB3" i="2"/>
  <c r="AB47" i="2"/>
  <c r="CL6" i="4"/>
  <c r="CL5" i="4" s="1"/>
  <c r="CK11" i="4"/>
  <c r="CT63" i="3"/>
  <c r="CU63" i="3" s="1"/>
  <c r="CV63" i="3" s="1"/>
  <c r="CX63" i="3" s="1"/>
  <c r="AE44" i="4"/>
  <c r="AE142" i="3"/>
  <c r="AE70" i="3"/>
  <c r="AE3" i="4"/>
  <c r="AE23" i="4"/>
  <c r="AE92" i="3"/>
  <c r="AE50" i="3"/>
  <c r="AE131" i="3"/>
  <c r="AE48" i="4"/>
  <c r="AE31" i="4"/>
  <c r="AE3" i="3"/>
  <c r="AE58" i="2"/>
  <c r="AE3" i="2"/>
  <c r="AE47" i="2"/>
  <c r="AE93" i="2"/>
  <c r="AE76" i="2"/>
  <c r="AE106" i="2"/>
  <c r="AD48" i="4"/>
  <c r="AD31" i="4"/>
  <c r="AD44" i="4"/>
  <c r="AD142" i="3"/>
  <c r="AD70" i="3"/>
  <c r="AD3" i="4"/>
  <c r="AD23" i="4"/>
  <c r="AD92" i="3"/>
  <c r="AD50" i="3"/>
  <c r="AD131" i="3"/>
  <c r="AD3" i="3"/>
  <c r="AD58" i="2"/>
  <c r="AD3" i="2"/>
  <c r="AD47" i="2"/>
  <c r="AD93" i="2"/>
  <c r="AD76" i="2"/>
  <c r="AD106" i="2"/>
  <c r="CG29" i="2"/>
  <c r="CG28" i="2" s="1"/>
  <c r="CH28" i="2" s="1"/>
  <c r="CH29" i="2" s="1"/>
  <c r="BD85" i="2"/>
  <c r="AY139" i="3"/>
  <c r="BZ100" i="3"/>
  <c r="BZ98" i="3"/>
  <c r="BZ95" i="3"/>
  <c r="CU13" i="4"/>
  <c r="CM4" i="4"/>
  <c r="CI5" i="4"/>
  <c r="CI15" i="4"/>
  <c r="CT49" i="4"/>
  <c r="AT71" i="3"/>
  <c r="AT75" i="3" s="1"/>
  <c r="K20" i="2"/>
  <c r="CS49" i="4"/>
  <c r="CS11" i="3" s="1"/>
  <c r="AO116" i="2"/>
  <c r="AO118" i="2" s="1"/>
  <c r="AY17" i="2"/>
  <c r="CC60" i="3"/>
  <c r="CC61" i="3" s="1"/>
  <c r="CV49" i="4"/>
  <c r="CU49" i="4"/>
  <c r="CC7" i="4"/>
  <c r="CL50" i="4"/>
  <c r="CM50" i="4" s="1"/>
  <c r="CJ15" i="4"/>
  <c r="CJ5" i="4"/>
  <c r="CL15" i="4"/>
  <c r="CK15" i="4"/>
  <c r="CH6" i="4"/>
  <c r="CK5" i="4"/>
  <c r="AJ3" i="1"/>
  <c r="AI3" i="1"/>
  <c r="AM3" i="1"/>
  <c r="AK3" i="1"/>
  <c r="AG3" i="1"/>
  <c r="AG44" i="4" s="1"/>
  <c r="AF131" i="3"/>
  <c r="AF23" i="4"/>
  <c r="AF44" i="4"/>
  <c r="AF3" i="4"/>
  <c r="AF142" i="3"/>
  <c r="AF48" i="4"/>
  <c r="AF3" i="3"/>
  <c r="AF70" i="3"/>
  <c r="AF93" i="2"/>
  <c r="AF76" i="2"/>
  <c r="AF47" i="2"/>
  <c r="AF50" i="3"/>
  <c r="AF106" i="2"/>
  <c r="AF92" i="3"/>
  <c r="AF58" i="2"/>
  <c r="AF31" i="4"/>
  <c r="AF3" i="2"/>
  <c r="BU63" i="2"/>
  <c r="BU77" i="2"/>
  <c r="BU87" i="2" s="1"/>
  <c r="BU86" i="2"/>
  <c r="BW85" i="2"/>
  <c r="BR22" i="2"/>
  <c r="BR62" i="2"/>
  <c r="BR17" i="2"/>
  <c r="BS17" i="2" s="1"/>
  <c r="AT88" i="2"/>
  <c r="BQ42" i="2"/>
  <c r="BQ70" i="2"/>
  <c r="AI86" i="2"/>
  <c r="BU37" i="2"/>
  <c r="AQ81" i="2"/>
  <c r="AQ68" i="3"/>
  <c r="AR89" i="2"/>
  <c r="AR81" i="2"/>
  <c r="AR68" i="3"/>
  <c r="CJ44" i="3"/>
  <c r="CJ49" i="2" s="1"/>
  <c r="AO67" i="3"/>
  <c r="AO71" i="3"/>
  <c r="AO75" i="3" s="1"/>
  <c r="AQ87" i="2"/>
  <c r="BN17" i="2"/>
  <c r="BH22" i="2"/>
  <c r="BH62" i="2"/>
  <c r="BH17" i="2"/>
  <c r="AK44" i="2"/>
  <c r="AK45" i="2"/>
  <c r="AS42" i="2"/>
  <c r="AS70" i="2"/>
  <c r="AJ63" i="2"/>
  <c r="AJ77" i="2"/>
  <c r="BS22" i="2"/>
  <c r="BS62" i="2"/>
  <c r="BP37" i="2"/>
  <c r="AL133" i="3"/>
  <c r="AL65" i="2"/>
  <c r="AQ89" i="2" s="1"/>
  <c r="AL82" i="2"/>
  <c r="AG103" i="3"/>
  <c r="AG118" i="3"/>
  <c r="AG119" i="3" s="1"/>
  <c r="AO86" i="2"/>
  <c r="AO63" i="2"/>
  <c r="AO77" i="2"/>
  <c r="AR77" i="3"/>
  <c r="AR84" i="3" s="1"/>
  <c r="AR73" i="2"/>
  <c r="AR56" i="2"/>
  <c r="AR151" i="3"/>
  <c r="BF81" i="2"/>
  <c r="BF68" i="3"/>
  <c r="AP81" i="2"/>
  <c r="AP68" i="3"/>
  <c r="AQ77" i="3"/>
  <c r="AQ84" i="3" s="1"/>
  <c r="AQ73" i="2"/>
  <c r="AQ56" i="2"/>
  <c r="AQ151" i="3"/>
  <c r="AI42" i="2"/>
  <c r="AI70" i="2"/>
  <c r="AS77" i="2"/>
  <c r="AS87" i="2" s="1"/>
  <c r="AS86" i="2"/>
  <c r="AS63" i="2"/>
  <c r="AH103" i="3"/>
  <c r="AH118" i="3"/>
  <c r="AH119" i="3" s="1"/>
  <c r="BY100" i="3"/>
  <c r="BY98" i="3"/>
  <c r="BY95" i="3"/>
  <c r="AN81" i="2"/>
  <c r="AN89" i="2"/>
  <c r="AN68" i="3"/>
  <c r="AF118" i="3"/>
  <c r="AF119" i="3" s="1"/>
  <c r="AF103" i="3"/>
  <c r="AT35" i="2"/>
  <c r="BV78" i="2"/>
  <c r="BV35" i="2"/>
  <c r="BV37" i="2" s="1"/>
  <c r="AK87" i="2"/>
  <c r="AF45" i="2"/>
  <c r="AF44" i="2"/>
  <c r="BF37" i="2"/>
  <c r="AP70" i="2"/>
  <c r="AP42" i="2"/>
  <c r="AT37" i="2"/>
  <c r="AT70" i="2" s="1"/>
  <c r="AG87" i="2"/>
  <c r="AT85" i="2"/>
  <c r="AT61" i="2"/>
  <c r="BV61" i="2"/>
  <c r="CA86" i="2" s="1"/>
  <c r="BV85" i="2"/>
  <c r="AK133" i="3"/>
  <c r="AK82" i="2"/>
  <c r="AK65" i="2"/>
  <c r="AP89" i="2" s="1"/>
  <c r="AT98" i="3"/>
  <c r="AT100" i="3"/>
  <c r="AT95" i="3"/>
  <c r="BP133" i="3"/>
  <c r="BP82" i="2"/>
  <c r="BP65" i="2"/>
  <c r="AI81" i="2"/>
  <c r="AI68" i="3"/>
  <c r="AM44" i="2"/>
  <c r="AM45" i="2"/>
  <c r="BV100" i="3"/>
  <c r="BV95" i="3"/>
  <c r="BV98" i="3"/>
  <c r="AF133" i="3"/>
  <c r="AF82" i="2"/>
  <c r="AF65" i="2"/>
  <c r="AY100" i="3"/>
  <c r="AY98" i="3"/>
  <c r="AY95" i="3"/>
  <c r="BK74" i="2"/>
  <c r="BK51" i="2"/>
  <c r="CG58" i="3"/>
  <c r="CI31" i="3"/>
  <c r="CH31" i="3"/>
  <c r="CH58" i="3" s="1"/>
  <c r="E33" i="9" s="1"/>
  <c r="AY85" i="2"/>
  <c r="CR55" i="3"/>
  <c r="CS54" i="3"/>
  <c r="CT54" i="3" s="1"/>
  <c r="CU54" i="3" s="1"/>
  <c r="CV54" i="3" s="1"/>
  <c r="CW54" i="3" s="1"/>
  <c r="AH77" i="3"/>
  <c r="AH84" i="3" s="1"/>
  <c r="AH73" i="2"/>
  <c r="AH56" i="2"/>
  <c r="AH151" i="3"/>
  <c r="AJ35" i="2"/>
  <c r="AT116" i="2"/>
  <c r="AT118" i="2" s="1"/>
  <c r="AS118" i="2"/>
  <c r="BQ77" i="2"/>
  <c r="BQ63" i="2"/>
  <c r="AH87" i="2"/>
  <c r="BX85" i="2"/>
  <c r="BK85" i="3"/>
  <c r="BK80" i="3"/>
  <c r="CG106" i="3"/>
  <c r="CL125" i="3"/>
  <c r="CC105" i="3"/>
  <c r="CC106" i="3" s="1"/>
  <c r="AG70" i="2"/>
  <c r="AG42" i="2"/>
  <c r="AJ37" i="2"/>
  <c r="AJ70" i="2" s="1"/>
  <c r="CF127" i="3"/>
  <c r="AN37" i="2"/>
  <c r="AO35" i="2"/>
  <c r="CH97" i="3"/>
  <c r="CG116" i="3"/>
  <c r="AL45" i="2"/>
  <c r="AL44" i="2"/>
  <c r="CX125" i="3"/>
  <c r="CT125" i="3"/>
  <c r="CP125" i="3"/>
  <c r="CG129" i="3"/>
  <c r="CF100" i="2"/>
  <c r="CG101" i="2"/>
  <c r="O33" i="9" l="1"/>
  <c r="Q33" i="9" s="1"/>
  <c r="BX139" i="3"/>
  <c r="F5" i="12"/>
  <c r="F6" i="12" s="1"/>
  <c r="BX98" i="3"/>
  <c r="BX95" i="3"/>
  <c r="CT11" i="3"/>
  <c r="CU11" i="3" s="1"/>
  <c r="CV11" i="3" s="1"/>
  <c r="CW11" i="3" s="1"/>
  <c r="CA98" i="3"/>
  <c r="CA100" i="3"/>
  <c r="CA95" i="3"/>
  <c r="BV88" i="2"/>
  <c r="CA88" i="2"/>
  <c r="C3" i="9"/>
  <c r="CQ4" i="4"/>
  <c r="CQ25" i="4" s="1"/>
  <c r="CR25" i="4" s="1"/>
  <c r="CY13" i="4"/>
  <c r="CI29" i="2"/>
  <c r="CI28" i="2" s="1"/>
  <c r="CX13" i="4"/>
  <c r="DA13" i="4"/>
  <c r="CV13" i="4"/>
  <c r="AO87" i="2"/>
  <c r="CW63" i="3"/>
  <c r="CZ13" i="4"/>
  <c r="CN6" i="4"/>
  <c r="CN11" i="4" s="1"/>
  <c r="CY63" i="3"/>
  <c r="CZ63" i="3" s="1"/>
  <c r="DA63" i="3" s="1"/>
  <c r="CL11" i="4"/>
  <c r="CC8" i="4"/>
  <c r="CN4" i="4"/>
  <c r="CO4" i="4"/>
  <c r="CO25" i="4" s="1"/>
  <c r="CP4" i="4"/>
  <c r="CP25" i="4" s="1"/>
  <c r="CW49" i="4"/>
  <c r="BK86" i="3"/>
  <c r="BK90" i="3" s="1"/>
  <c r="CM15" i="4"/>
  <c r="CM16" i="4" s="1"/>
  <c r="CN50" i="4"/>
  <c r="AG106" i="2"/>
  <c r="AG50" i="3"/>
  <c r="CM5" i="4"/>
  <c r="AG76" i="2"/>
  <c r="AG23" i="4"/>
  <c r="AG131" i="3"/>
  <c r="AG92" i="3"/>
  <c r="AP3" i="1"/>
  <c r="AG93" i="2"/>
  <c r="AR3" i="1"/>
  <c r="AG70" i="3"/>
  <c r="AL3" i="1"/>
  <c r="AL31" i="4" s="1"/>
  <c r="AG3" i="3"/>
  <c r="AG3" i="2"/>
  <c r="AG31" i="4"/>
  <c r="AG3" i="4"/>
  <c r="AN3" i="1"/>
  <c r="AO3" i="1"/>
  <c r="AG48" i="4"/>
  <c r="AG47" i="2"/>
  <c r="AG142" i="3"/>
  <c r="AG58" i="2"/>
  <c r="AH23" i="4"/>
  <c r="AH44" i="4"/>
  <c r="AH3" i="4"/>
  <c r="AH142" i="3"/>
  <c r="AH48" i="4"/>
  <c r="AH70" i="3"/>
  <c r="AH131" i="3"/>
  <c r="AH93" i="2"/>
  <c r="AH92" i="3"/>
  <c r="AH50" i="3"/>
  <c r="AH106" i="2"/>
  <c r="AH58" i="2"/>
  <c r="AH76" i="2"/>
  <c r="AH31" i="4"/>
  <c r="AH3" i="3"/>
  <c r="AH47" i="2"/>
  <c r="AH3" i="2"/>
  <c r="AK48" i="4"/>
  <c r="AK31" i="4"/>
  <c r="AK92" i="3"/>
  <c r="AK3" i="4"/>
  <c r="AK131" i="3"/>
  <c r="AK93" i="2"/>
  <c r="AK106" i="2"/>
  <c r="AK44" i="4"/>
  <c r="AK50" i="3"/>
  <c r="AK58" i="2"/>
  <c r="AK142" i="3"/>
  <c r="AK70" i="3"/>
  <c r="AK23" i="4"/>
  <c r="AK3" i="3"/>
  <c r="AK3" i="2"/>
  <c r="AK76" i="2"/>
  <c r="AK47" i="2"/>
  <c r="AI44" i="4"/>
  <c r="AI3" i="4"/>
  <c r="AI142" i="3"/>
  <c r="AI48" i="4"/>
  <c r="AI31" i="4"/>
  <c r="AI92" i="3"/>
  <c r="AI70" i="3"/>
  <c r="AI131" i="3"/>
  <c r="AI93" i="2"/>
  <c r="AI58" i="2"/>
  <c r="AI23" i="4"/>
  <c r="AI3" i="3"/>
  <c r="AI47" i="2"/>
  <c r="AI3" i="2"/>
  <c r="AI106" i="2"/>
  <c r="AI50" i="3"/>
  <c r="AI76" i="2"/>
  <c r="AG89" i="2"/>
  <c r="AJ87" i="2"/>
  <c r="BQ133" i="3"/>
  <c r="BQ82" i="2"/>
  <c r="BQ65" i="2"/>
  <c r="AT86" i="2"/>
  <c r="AT63" i="2"/>
  <c r="AT77" i="2"/>
  <c r="BP42" i="2"/>
  <c r="BP70" i="2"/>
  <c r="AJ133" i="3"/>
  <c r="AJ82" i="2"/>
  <c r="AJ65" i="2"/>
  <c r="AK56" i="2"/>
  <c r="AK77" i="3"/>
  <c r="AK84" i="3" s="1"/>
  <c r="AK73" i="2"/>
  <c r="AK151" i="3"/>
  <c r="AI88" i="2"/>
  <c r="BF42" i="2"/>
  <c r="BF70" i="2"/>
  <c r="AO133" i="3"/>
  <c r="AO65" i="2"/>
  <c r="AO82" i="2"/>
  <c r="AJ88" i="2"/>
  <c r="AF151" i="3"/>
  <c r="AF73" i="2"/>
  <c r="AF90" i="2" s="1"/>
  <c r="AF56" i="2"/>
  <c r="AF77" i="3"/>
  <c r="AF84" i="3" s="1"/>
  <c r="AJ86" i="2"/>
  <c r="AH89" i="2"/>
  <c r="CI58" i="3"/>
  <c r="CJ31" i="3"/>
  <c r="AH90" i="2"/>
  <c r="AS44" i="2"/>
  <c r="AS45" i="2"/>
  <c r="BK83" i="2"/>
  <c r="BK52" i="2"/>
  <c r="BK136" i="3" s="1"/>
  <c r="BK137" i="3" s="1"/>
  <c r="BP89" i="2"/>
  <c r="BP81" i="2"/>
  <c r="BP68" i="3"/>
  <c r="AS133" i="3"/>
  <c r="AS82" i="2"/>
  <c r="AS65" i="2"/>
  <c r="AH85" i="3"/>
  <c r="AH80" i="3"/>
  <c r="AF89" i="2"/>
  <c r="AF81" i="2"/>
  <c r="AF68" i="3"/>
  <c r="CW55" i="3"/>
  <c r="CX54" i="3"/>
  <c r="CY54" i="3" s="1"/>
  <c r="CZ54" i="3" s="1"/>
  <c r="DA54" i="3" s="1"/>
  <c r="DB54" i="3" s="1"/>
  <c r="DB55" i="3" s="1"/>
  <c r="AK89" i="2"/>
  <c r="AK81" i="2"/>
  <c r="AK68" i="3"/>
  <c r="AI45" i="2"/>
  <c r="AI44" i="2"/>
  <c r="AQ74" i="2"/>
  <c r="AQ51" i="2"/>
  <c r="AR74" i="2"/>
  <c r="AR51" i="2"/>
  <c r="BQ45" i="2"/>
  <c r="BQ44" i="2"/>
  <c r="BU133" i="3"/>
  <c r="BU82" i="2"/>
  <c r="BU65" i="2"/>
  <c r="AH74" i="2"/>
  <c r="AH51" i="2"/>
  <c r="BI17" i="2"/>
  <c r="AM77" i="3"/>
  <c r="AM84" i="3" s="1"/>
  <c r="AM73" i="2"/>
  <c r="AM56" i="2"/>
  <c r="AM151" i="3"/>
  <c r="AP45" i="2"/>
  <c r="AP44" i="2"/>
  <c r="AT42" i="2"/>
  <c r="AT44" i="2" s="1"/>
  <c r="CK44" i="3"/>
  <c r="CK49" i="2" s="1"/>
  <c r="AI87" i="2"/>
  <c r="BV63" i="2"/>
  <c r="BV77" i="2"/>
  <c r="BV86" i="2"/>
  <c r="BV42" i="2"/>
  <c r="BV70" i="2"/>
  <c r="AQ80" i="3"/>
  <c r="AQ85" i="3"/>
  <c r="AR85" i="3"/>
  <c r="AR80" i="3"/>
  <c r="AL89" i="2"/>
  <c r="AL81" i="2"/>
  <c r="AL68" i="3"/>
  <c r="BI22" i="2"/>
  <c r="BI62" i="2"/>
  <c r="BU42" i="2"/>
  <c r="BU70" i="2"/>
  <c r="CI97" i="3"/>
  <c r="AL151" i="3"/>
  <c r="AL73" i="2"/>
  <c r="AL77" i="3"/>
  <c r="AL84" i="3" s="1"/>
  <c r="AL56" i="2"/>
  <c r="CF46" i="4"/>
  <c r="CF45" i="4" s="1"/>
  <c r="CG127" i="3"/>
  <c r="AN42" i="2"/>
  <c r="AN70" i="2"/>
  <c r="AO37" i="2"/>
  <c r="AO70" i="2" s="1"/>
  <c r="CC13" i="3"/>
  <c r="CY125" i="3"/>
  <c r="CF108" i="3"/>
  <c r="CG100" i="2"/>
  <c r="CI101" i="2"/>
  <c r="AG45" i="2"/>
  <c r="AG44" i="2"/>
  <c r="AJ42" i="2"/>
  <c r="AJ44" i="2" s="1"/>
  <c r="CI106" i="3"/>
  <c r="CI116" i="3"/>
  <c r="CI129" i="3"/>
  <c r="CQ125" i="3"/>
  <c r="CU125" i="3"/>
  <c r="BZ79" i="2"/>
  <c r="O34" i="9" l="1"/>
  <c r="Q34" i="9" s="1"/>
  <c r="CQ15" i="4"/>
  <c r="CJ29" i="2"/>
  <c r="CJ28" i="2" s="1"/>
  <c r="BV87" i="2"/>
  <c r="CA87" i="2"/>
  <c r="AT87" i="2"/>
  <c r="CM6" i="4"/>
  <c r="DB63" i="3"/>
  <c r="AH86" i="3"/>
  <c r="AH88" i="3" s="1"/>
  <c r="CO6" i="4"/>
  <c r="CO11" i="4" s="1"/>
  <c r="CR4" i="4"/>
  <c r="CN25" i="4"/>
  <c r="CN15" i="4"/>
  <c r="CN5" i="4"/>
  <c r="CX49" i="4"/>
  <c r="CX11" i="3" s="1"/>
  <c r="AR86" i="3"/>
  <c r="AR90" i="3" s="1"/>
  <c r="CZ49" i="4"/>
  <c r="BK88" i="3"/>
  <c r="BK89" i="3"/>
  <c r="CK29" i="2"/>
  <c r="CK28" i="2" s="1"/>
  <c r="DA49" i="4"/>
  <c r="CO15" i="4"/>
  <c r="CY49" i="4"/>
  <c r="CP15" i="4"/>
  <c r="CO50" i="4"/>
  <c r="AL48" i="4"/>
  <c r="AL47" i="2"/>
  <c r="AL3" i="4"/>
  <c r="AL3" i="2"/>
  <c r="AL50" i="3"/>
  <c r="AL131" i="3"/>
  <c r="AL23" i="4"/>
  <c r="AL142" i="3"/>
  <c r="AW3" i="1"/>
  <c r="AQ3" i="1"/>
  <c r="AQ131" i="3" s="1"/>
  <c r="AL58" i="2"/>
  <c r="AS3" i="1"/>
  <c r="AT3" i="1"/>
  <c r="AL76" i="2"/>
  <c r="AL44" i="4"/>
  <c r="AL70" i="3"/>
  <c r="AL92" i="3"/>
  <c r="AL3" i="3"/>
  <c r="AL106" i="2"/>
  <c r="AU3" i="1"/>
  <c r="AL93" i="2"/>
  <c r="AP131" i="3"/>
  <c r="AP23" i="4"/>
  <c r="AP44" i="4"/>
  <c r="AP3" i="4"/>
  <c r="AP50" i="3"/>
  <c r="AP92" i="3"/>
  <c r="AP3" i="3"/>
  <c r="AP142" i="3"/>
  <c r="AP31" i="4"/>
  <c r="AP70" i="3"/>
  <c r="AP3" i="2"/>
  <c r="AP76" i="2"/>
  <c r="AP47" i="2"/>
  <c r="AP48" i="4"/>
  <c r="AP106" i="2"/>
  <c r="AP93" i="2"/>
  <c r="AP58" i="2"/>
  <c r="AJ142" i="3"/>
  <c r="AJ48" i="4"/>
  <c r="AJ31" i="4"/>
  <c r="AJ92" i="3"/>
  <c r="AJ3" i="4"/>
  <c r="AJ131" i="3"/>
  <c r="AJ93" i="2"/>
  <c r="AJ106" i="2"/>
  <c r="AJ58" i="2"/>
  <c r="AJ3" i="3"/>
  <c r="AJ47" i="2"/>
  <c r="AJ3" i="2"/>
  <c r="AJ44" i="4"/>
  <c r="AJ50" i="3"/>
  <c r="AJ70" i="3"/>
  <c r="AJ23" i="4"/>
  <c r="AJ76" i="2"/>
  <c r="AN31" i="4"/>
  <c r="AN92" i="3"/>
  <c r="AN131" i="3"/>
  <c r="AN106" i="2"/>
  <c r="AN44" i="4"/>
  <c r="AN50" i="3"/>
  <c r="AN23" i="4"/>
  <c r="AN3" i="3"/>
  <c r="AN142" i="3"/>
  <c r="AN3" i="2"/>
  <c r="AN76" i="2"/>
  <c r="AN47" i="2"/>
  <c r="AN48" i="4"/>
  <c r="AN70" i="3"/>
  <c r="AN58" i="2"/>
  <c r="AN3" i="4"/>
  <c r="AN93" i="2"/>
  <c r="AM31" i="4"/>
  <c r="AM92" i="3"/>
  <c r="AM48" i="4"/>
  <c r="AM106" i="2"/>
  <c r="AM44" i="4"/>
  <c r="AM50" i="3"/>
  <c r="AM23" i="4"/>
  <c r="AM58" i="2"/>
  <c r="AM142" i="3"/>
  <c r="AM131" i="3"/>
  <c r="AM3" i="2"/>
  <c r="AM3" i="3"/>
  <c r="AM76" i="2"/>
  <c r="AM47" i="2"/>
  <c r="AM3" i="4"/>
  <c r="AM70" i="3"/>
  <c r="AM93" i="2"/>
  <c r="AK80" i="3"/>
  <c r="AK85" i="3"/>
  <c r="CL44" i="3"/>
  <c r="CL49" i="2" s="1"/>
  <c r="BQ77" i="3"/>
  <c r="BQ84" i="3" s="1"/>
  <c r="BQ73" i="2"/>
  <c r="BQ56" i="2"/>
  <c r="BQ151" i="3"/>
  <c r="AI56" i="2"/>
  <c r="AI73" i="2"/>
  <c r="AI77" i="3"/>
  <c r="AI84" i="3" s="1"/>
  <c r="AI151" i="3"/>
  <c r="AI89" i="2"/>
  <c r="AO81" i="2"/>
  <c r="AO89" i="2"/>
  <c r="AO68" i="3"/>
  <c r="AJ89" i="2"/>
  <c r="AJ81" i="2"/>
  <c r="AJ68" i="3"/>
  <c r="BU44" i="2"/>
  <c r="BU45" i="2"/>
  <c r="AP77" i="3"/>
  <c r="AP84" i="3" s="1"/>
  <c r="AP73" i="2"/>
  <c r="AP56" i="2"/>
  <c r="AP151" i="3"/>
  <c r="AT45" i="2"/>
  <c r="AS89" i="2"/>
  <c r="AS81" i="2"/>
  <c r="AS68" i="3"/>
  <c r="BP45" i="2"/>
  <c r="BP44" i="2"/>
  <c r="BV45" i="2"/>
  <c r="BV44" i="2"/>
  <c r="AF85" i="3"/>
  <c r="AF80" i="3"/>
  <c r="BQ81" i="2"/>
  <c r="BQ68" i="3"/>
  <c r="AT133" i="3"/>
  <c r="AT82" i="2"/>
  <c r="AT65" i="2"/>
  <c r="AH52" i="2"/>
  <c r="AH136" i="3" s="1"/>
  <c r="AH137" i="3" s="1"/>
  <c r="AH83" i="2"/>
  <c r="AQ83" i="2"/>
  <c r="AQ138" i="3" s="1"/>
  <c r="AQ141" i="3" s="1"/>
  <c r="AQ52" i="2"/>
  <c r="AQ136" i="3" s="1"/>
  <c r="AQ137" i="3" s="1"/>
  <c r="BK138" i="3"/>
  <c r="BK141" i="3" s="1"/>
  <c r="BU89" i="2"/>
  <c r="BU81" i="2"/>
  <c r="BU68" i="3"/>
  <c r="AS151" i="3"/>
  <c r="AS77" i="3"/>
  <c r="AS84" i="3" s="1"/>
  <c r="AS73" i="2"/>
  <c r="AS56" i="2"/>
  <c r="AM51" i="2"/>
  <c r="AM74" i="2"/>
  <c r="AM90" i="2"/>
  <c r="AM85" i="3"/>
  <c r="AM80" i="3"/>
  <c r="AR90" i="2"/>
  <c r="AF51" i="2"/>
  <c r="AF74" i="2"/>
  <c r="AQ86" i="3"/>
  <c r="BV133" i="3"/>
  <c r="BV82" i="2"/>
  <c r="BV65" i="2"/>
  <c r="CA89" i="2" s="1"/>
  <c r="AR83" i="2"/>
  <c r="AR52" i="2"/>
  <c r="AR136" i="3" s="1"/>
  <c r="AR137" i="3" s="1"/>
  <c r="CJ58" i="3"/>
  <c r="CK31" i="3"/>
  <c r="BF44" i="2"/>
  <c r="BF45" i="2"/>
  <c r="AK90" i="2"/>
  <c r="AK51" i="2"/>
  <c r="AK74" i="2"/>
  <c r="AL80" i="3"/>
  <c r="AL85" i="3"/>
  <c r="CZ125" i="3"/>
  <c r="BZ62" i="2"/>
  <c r="CG108" i="3"/>
  <c r="CJ106" i="3"/>
  <c r="AN44" i="2"/>
  <c r="AN45" i="2"/>
  <c r="AO42" i="2"/>
  <c r="AO44" i="2" s="1"/>
  <c r="CJ116" i="3"/>
  <c r="CI127" i="3"/>
  <c r="AG151" i="3"/>
  <c r="AG77" i="3"/>
  <c r="AG84" i="3" s="1"/>
  <c r="AG73" i="2"/>
  <c r="AL90" i="2" s="1"/>
  <c r="AG56" i="2"/>
  <c r="AJ45" i="2"/>
  <c r="CJ97" i="3"/>
  <c r="CI100" i="2"/>
  <c r="CJ101" i="2"/>
  <c r="CJ129" i="3"/>
  <c r="AL51" i="2"/>
  <c r="AQ90" i="2"/>
  <c r="AL74" i="2"/>
  <c r="CF7" i="4"/>
  <c r="CP50" i="4" s="1"/>
  <c r="CV125" i="3"/>
  <c r="CG46" i="4"/>
  <c r="CG45" i="4" s="1"/>
  <c r="CF105" i="3"/>
  <c r="R33" i="9" l="1"/>
  <c r="T33" i="9" s="1"/>
  <c r="AT151" i="3"/>
  <c r="AT152" i="3" s="1"/>
  <c r="AH89" i="3"/>
  <c r="AH90" i="3"/>
  <c r="CS4" i="4"/>
  <c r="CS25" i="4" s="1"/>
  <c r="AF86" i="3"/>
  <c r="CO5" i="4"/>
  <c r="AR88" i="3"/>
  <c r="CP6" i="4"/>
  <c r="CP11" i="4" s="1"/>
  <c r="CV4" i="4"/>
  <c r="CV25" i="4" s="1"/>
  <c r="CW25" i="4" s="1"/>
  <c r="CT4" i="4"/>
  <c r="CT25" i="4" s="1"/>
  <c r="CU4" i="4"/>
  <c r="CU25" i="4" s="1"/>
  <c r="AR89" i="3"/>
  <c r="AM86" i="3"/>
  <c r="AM90" i="3" s="1"/>
  <c r="CY11" i="3"/>
  <c r="CZ11" i="3" s="1"/>
  <c r="DA11" i="3" s="1"/>
  <c r="DB11" i="3" s="1"/>
  <c r="DB49" i="4"/>
  <c r="AJ151" i="3"/>
  <c r="AJ152" i="3" s="1"/>
  <c r="CL29" i="2"/>
  <c r="CL28" i="2" s="1"/>
  <c r="CR15" i="4"/>
  <c r="CR16" i="4" s="1"/>
  <c r="AQ50" i="3"/>
  <c r="AQ93" i="2"/>
  <c r="AQ142" i="3"/>
  <c r="AQ58" i="2"/>
  <c r="AQ44" i="4"/>
  <c r="AQ23" i="4"/>
  <c r="AQ3" i="4"/>
  <c r="AQ48" i="4"/>
  <c r="AQ76" i="2"/>
  <c r="AQ106" i="2"/>
  <c r="AQ3" i="2"/>
  <c r="AQ70" i="3"/>
  <c r="AQ31" i="4"/>
  <c r="AQ3" i="3"/>
  <c r="AQ92" i="3"/>
  <c r="AY3" i="1"/>
  <c r="AX3" i="1"/>
  <c r="AV3" i="1"/>
  <c r="AV131" i="3" s="1"/>
  <c r="AZ3" i="1"/>
  <c r="BB3" i="1"/>
  <c r="AQ47" i="2"/>
  <c r="AO131" i="3"/>
  <c r="AO23" i="4"/>
  <c r="AO106" i="2"/>
  <c r="AO44" i="4"/>
  <c r="AO50" i="3"/>
  <c r="AO92" i="3"/>
  <c r="AO3" i="3"/>
  <c r="AO142" i="3"/>
  <c r="AO3" i="2"/>
  <c r="AO76" i="2"/>
  <c r="AO47" i="2"/>
  <c r="AO48" i="4"/>
  <c r="AO70" i="3"/>
  <c r="AO31" i="4"/>
  <c r="AO3" i="4"/>
  <c r="AO93" i="2"/>
  <c r="AO58" i="2"/>
  <c r="AU44" i="4"/>
  <c r="AU3" i="4"/>
  <c r="AU142" i="3"/>
  <c r="AU70" i="3"/>
  <c r="AU48" i="4"/>
  <c r="AU31" i="4"/>
  <c r="AU92" i="3"/>
  <c r="AU93" i="2"/>
  <c r="AU23" i="4"/>
  <c r="AU131" i="3"/>
  <c r="AU3" i="3"/>
  <c r="AU58" i="2"/>
  <c r="AU50" i="3"/>
  <c r="AU106" i="2"/>
  <c r="AU47" i="2"/>
  <c r="AU3" i="2"/>
  <c r="AU76" i="2"/>
  <c r="AS131" i="3"/>
  <c r="AS23" i="4"/>
  <c r="AS44" i="4"/>
  <c r="AS3" i="4"/>
  <c r="AS142" i="3"/>
  <c r="AS70" i="3"/>
  <c r="AS48" i="4"/>
  <c r="AS3" i="3"/>
  <c r="AS31" i="4"/>
  <c r="AS93" i="2"/>
  <c r="AS92" i="3"/>
  <c r="AS58" i="2"/>
  <c r="AS50" i="3"/>
  <c r="AS76" i="2"/>
  <c r="AS3" i="2"/>
  <c r="AS106" i="2"/>
  <c r="AS47" i="2"/>
  <c r="AR131" i="3"/>
  <c r="AR23" i="4"/>
  <c r="AR44" i="4"/>
  <c r="AR3" i="4"/>
  <c r="AR142" i="3"/>
  <c r="AR92" i="3"/>
  <c r="AR3" i="3"/>
  <c r="AR31" i="4"/>
  <c r="AR70" i="3"/>
  <c r="AR93" i="2"/>
  <c r="AR76" i="2"/>
  <c r="AR47" i="2"/>
  <c r="AR48" i="4"/>
  <c r="AR50" i="3"/>
  <c r="AR3" i="2"/>
  <c r="AR106" i="2"/>
  <c r="AR58" i="2"/>
  <c r="AS80" i="3"/>
  <c r="AS85" i="3"/>
  <c r="BV77" i="3"/>
  <c r="BV84" i="3" s="1"/>
  <c r="BV73" i="2"/>
  <c r="CA90" i="2" s="1"/>
  <c r="BV56" i="2"/>
  <c r="BV151" i="3"/>
  <c r="AT77" i="3"/>
  <c r="AT84" i="3" s="1"/>
  <c r="AT73" i="2"/>
  <c r="AT56" i="2"/>
  <c r="CM44" i="3"/>
  <c r="CN44" i="3" s="1"/>
  <c r="CN49" i="2" s="1"/>
  <c r="AQ89" i="3"/>
  <c r="AQ88" i="3"/>
  <c r="AQ90" i="3"/>
  <c r="AM83" i="2"/>
  <c r="AR91" i="2" s="1"/>
  <c r="AM52" i="2"/>
  <c r="AM136" i="3" s="1"/>
  <c r="AM137" i="3" s="1"/>
  <c r="AK83" i="2"/>
  <c r="AK52" i="2"/>
  <c r="AK136" i="3" s="1"/>
  <c r="AK137" i="3" s="1"/>
  <c r="AH138" i="3"/>
  <c r="AH141" i="3" s="1"/>
  <c r="AH91" i="2"/>
  <c r="CK58" i="3"/>
  <c r="CL31" i="3"/>
  <c r="BQ80" i="3"/>
  <c r="BQ85" i="3"/>
  <c r="AK86" i="3"/>
  <c r="AL86" i="3"/>
  <c r="AL90" i="3" s="1"/>
  <c r="AF52" i="2"/>
  <c r="AF136" i="3" s="1"/>
  <c r="AF137" i="3" s="1"/>
  <c r="AF83" i="2"/>
  <c r="AF138" i="3" s="1"/>
  <c r="AF141" i="3" s="1"/>
  <c r="AT89" i="2"/>
  <c r="AT81" i="2"/>
  <c r="AT68" i="3"/>
  <c r="BQ51" i="2"/>
  <c r="BQ74" i="2"/>
  <c r="BP77" i="3"/>
  <c r="BP84" i="3" s="1"/>
  <c r="BP73" i="2"/>
  <c r="BP56" i="2"/>
  <c r="BP151" i="3"/>
  <c r="AI85" i="3"/>
  <c r="AI80" i="3"/>
  <c r="BV89" i="2"/>
  <c r="BV81" i="2"/>
  <c r="BV68" i="3"/>
  <c r="AF88" i="3"/>
  <c r="AF90" i="3"/>
  <c r="AF89" i="3"/>
  <c r="AP85" i="3"/>
  <c r="AP80" i="3"/>
  <c r="AI51" i="2"/>
  <c r="AI74" i="2"/>
  <c r="BF77" i="3"/>
  <c r="BF84" i="3" s="1"/>
  <c r="BF56" i="2"/>
  <c r="BF73" i="2"/>
  <c r="BF151" i="3"/>
  <c r="BU151" i="3"/>
  <c r="BU77" i="3"/>
  <c r="BU84" i="3" s="1"/>
  <c r="BU73" i="2"/>
  <c r="BU56" i="2"/>
  <c r="AR138" i="3"/>
  <c r="AR141" i="3" s="1"/>
  <c r="AP74" i="2"/>
  <c r="AP51" i="2"/>
  <c r="AP90" i="2"/>
  <c r="AS74" i="2"/>
  <c r="AS51" i="2"/>
  <c r="AG74" i="2"/>
  <c r="AG51" i="2"/>
  <c r="AG90" i="2"/>
  <c r="BZ80" i="2"/>
  <c r="CJ100" i="2"/>
  <c r="CK101" i="2"/>
  <c r="AL83" i="2"/>
  <c r="AL52" i="2"/>
  <c r="AL136" i="3" s="1"/>
  <c r="AL137" i="3" s="1"/>
  <c r="CK106" i="3"/>
  <c r="AN151" i="3"/>
  <c r="AO151" i="3" s="1"/>
  <c r="AO152" i="3" s="1"/>
  <c r="AN73" i="2"/>
  <c r="AN77" i="3"/>
  <c r="AN84" i="3" s="1"/>
  <c r="AN56" i="2"/>
  <c r="AO45" i="2"/>
  <c r="CJ100" i="3"/>
  <c r="BZ60" i="2"/>
  <c r="CI46" i="4"/>
  <c r="CI45" i="4" s="1"/>
  <c r="CH45" i="4"/>
  <c r="CG105" i="3"/>
  <c r="CK116" i="3"/>
  <c r="CJ127" i="3"/>
  <c r="CK129" i="3"/>
  <c r="DA125" i="3"/>
  <c r="CG7" i="4"/>
  <c r="AJ77" i="3"/>
  <c r="AJ84" i="3" s="1"/>
  <c r="AJ73" i="2"/>
  <c r="AJ56" i="2"/>
  <c r="AG85" i="3"/>
  <c r="AG80" i="3"/>
  <c r="CI108" i="3"/>
  <c r="CK97" i="3"/>
  <c r="CF13" i="3"/>
  <c r="CH46" i="4" l="1"/>
  <c r="CT15" i="4"/>
  <c r="CQ6" i="4"/>
  <c r="CQ11" i="4" s="1"/>
  <c r="CP5" i="4"/>
  <c r="CU15" i="4"/>
  <c r="CW4" i="4"/>
  <c r="AM89" i="3"/>
  <c r="AM88" i="3"/>
  <c r="AF91" i="2"/>
  <c r="AP86" i="3"/>
  <c r="AP88" i="3" s="1"/>
  <c r="BQ86" i="3"/>
  <c r="BQ90" i="3" s="1"/>
  <c r="CN29" i="2"/>
  <c r="CN28" i="2" s="1"/>
  <c r="CS15" i="4"/>
  <c r="CH7" i="4"/>
  <c r="CQ50" i="4"/>
  <c r="CR50" i="4" s="1"/>
  <c r="CV15" i="4"/>
  <c r="AV76" i="2"/>
  <c r="AV31" i="4"/>
  <c r="AV47" i="2"/>
  <c r="AV106" i="2"/>
  <c r="AV3" i="4"/>
  <c r="AV48" i="4"/>
  <c r="AV23" i="4"/>
  <c r="AV93" i="2"/>
  <c r="AV44" i="4"/>
  <c r="AV92" i="3"/>
  <c r="BE3" i="1"/>
  <c r="AV3" i="2"/>
  <c r="AV50" i="3"/>
  <c r="AV70" i="3"/>
  <c r="BA3" i="1"/>
  <c r="BA50" i="3" s="1"/>
  <c r="AV58" i="2"/>
  <c r="AV142" i="3"/>
  <c r="BC3" i="1"/>
  <c r="BD3" i="1"/>
  <c r="AV3" i="3"/>
  <c r="BG3" i="1"/>
  <c r="AT23" i="4"/>
  <c r="AT44" i="4"/>
  <c r="AT3" i="4"/>
  <c r="AT142" i="3"/>
  <c r="AT70" i="3"/>
  <c r="AT48" i="4"/>
  <c r="AT31" i="4"/>
  <c r="AT93" i="2"/>
  <c r="AT92" i="3"/>
  <c r="AT131" i="3"/>
  <c r="AT3" i="3"/>
  <c r="AT58" i="2"/>
  <c r="AT76" i="2"/>
  <c r="AT50" i="3"/>
  <c r="AT3" i="2"/>
  <c r="AT106" i="2"/>
  <c r="AT47" i="2"/>
  <c r="AX48" i="4"/>
  <c r="AX31" i="4"/>
  <c r="AX92" i="3"/>
  <c r="AX23" i="4"/>
  <c r="AX70" i="3"/>
  <c r="AX142" i="3"/>
  <c r="AX106" i="2"/>
  <c r="AX50" i="3"/>
  <c r="AX3" i="4"/>
  <c r="AX131" i="3"/>
  <c r="AX3" i="3"/>
  <c r="AX58" i="2"/>
  <c r="AX44" i="4"/>
  <c r="AX93" i="2"/>
  <c r="AX3" i="2"/>
  <c r="AX76" i="2"/>
  <c r="AX47" i="2"/>
  <c r="AW48" i="4"/>
  <c r="AW31" i="4"/>
  <c r="AW92" i="3"/>
  <c r="AW93" i="2"/>
  <c r="AW23" i="4"/>
  <c r="AW70" i="3"/>
  <c r="AW142" i="3"/>
  <c r="AW106" i="2"/>
  <c r="AW50" i="3"/>
  <c r="AW131" i="3"/>
  <c r="AW3" i="3"/>
  <c r="AW58" i="2"/>
  <c r="AW44" i="4"/>
  <c r="AW76" i="2"/>
  <c r="AW47" i="2"/>
  <c r="AW3" i="2"/>
  <c r="AW3" i="4"/>
  <c r="AZ31" i="4"/>
  <c r="AZ92" i="3"/>
  <c r="AZ131" i="3"/>
  <c r="AZ142" i="3"/>
  <c r="AZ106" i="2"/>
  <c r="AZ50" i="3"/>
  <c r="AZ3" i="4"/>
  <c r="AZ48" i="4"/>
  <c r="AZ3" i="3"/>
  <c r="AZ44" i="4"/>
  <c r="AZ23" i="4"/>
  <c r="AZ70" i="3"/>
  <c r="AZ93" i="2"/>
  <c r="AZ3" i="2"/>
  <c r="AZ76" i="2"/>
  <c r="AZ47" i="2"/>
  <c r="AZ58" i="2"/>
  <c r="BF51" i="2"/>
  <c r="BF74" i="2"/>
  <c r="BK90" i="2"/>
  <c r="BV80" i="3"/>
  <c r="BV85" i="3"/>
  <c r="AS86" i="3"/>
  <c r="AL88" i="3"/>
  <c r="AP83" i="2"/>
  <c r="AP52" i="2"/>
  <c r="AP136" i="3" s="1"/>
  <c r="AP137" i="3" s="1"/>
  <c r="BV90" i="2"/>
  <c r="BV74" i="2"/>
  <c r="BV51" i="2"/>
  <c r="AL89" i="3"/>
  <c r="BU90" i="2"/>
  <c r="BU74" i="2"/>
  <c r="BU51" i="2"/>
  <c r="CO44" i="3"/>
  <c r="CO49" i="2" s="1"/>
  <c r="AT74" i="2"/>
  <c r="AT51" i="2"/>
  <c r="BU80" i="3"/>
  <c r="BU85" i="3"/>
  <c r="BF80" i="3"/>
  <c r="BF85" i="3"/>
  <c r="BP90" i="2"/>
  <c r="BP74" i="2"/>
  <c r="BP51" i="2"/>
  <c r="AT85" i="3"/>
  <c r="AT80" i="3"/>
  <c r="AK138" i="3"/>
  <c r="AK141" i="3" s="1"/>
  <c r="AK91" i="2"/>
  <c r="AS52" i="2"/>
  <c r="AS136" i="3" s="1"/>
  <c r="AS137" i="3" s="1"/>
  <c r="AS83" i="2"/>
  <c r="AS138" i="3" s="1"/>
  <c r="AS141" i="3" s="1"/>
  <c r="AI52" i="2"/>
  <c r="AI136" i="3" s="1"/>
  <c r="AI137" i="3" s="1"/>
  <c r="AI83" i="2"/>
  <c r="AI138" i="3" s="1"/>
  <c r="AI141" i="3" s="1"/>
  <c r="BP80" i="3"/>
  <c r="BP85" i="3"/>
  <c r="AM138" i="3"/>
  <c r="AM141" i="3" s="1"/>
  <c r="AM91" i="2"/>
  <c r="AK88" i="3"/>
  <c r="AK90" i="3"/>
  <c r="AK89" i="3"/>
  <c r="CL58" i="3"/>
  <c r="CN31" i="3"/>
  <c r="CM31" i="3"/>
  <c r="CM58" i="3" s="1"/>
  <c r="F33" i="9" s="1"/>
  <c r="AI86" i="3"/>
  <c r="BQ83" i="2"/>
  <c r="BQ52" i="2"/>
  <c r="BQ136" i="3" s="1"/>
  <c r="BQ137" i="3" s="1"/>
  <c r="CF60" i="3"/>
  <c r="CJ46" i="4"/>
  <c r="CJ45" i="4" s="1"/>
  <c r="CI105" i="3"/>
  <c r="AL138" i="3"/>
  <c r="AL141" i="3" s="1"/>
  <c r="AQ91" i="2"/>
  <c r="CH105" i="3"/>
  <c r="CH106" i="3" s="1"/>
  <c r="CG13" i="3"/>
  <c r="CK100" i="3"/>
  <c r="CK127" i="3"/>
  <c r="AN85" i="3"/>
  <c r="AN80" i="3"/>
  <c r="AG86" i="3"/>
  <c r="AJ74" i="2"/>
  <c r="AJ51" i="2"/>
  <c r="AJ80" i="3"/>
  <c r="AJ85" i="3"/>
  <c r="AN90" i="2"/>
  <c r="AN51" i="2"/>
  <c r="AN74" i="2"/>
  <c r="AS90" i="2"/>
  <c r="CL116" i="3"/>
  <c r="CJ108" i="3"/>
  <c r="CL106" i="3"/>
  <c r="CL129" i="3"/>
  <c r="CI7" i="4"/>
  <c r="CL101" i="2"/>
  <c r="CK100" i="2"/>
  <c r="CL97" i="3"/>
  <c r="BZ59" i="2"/>
  <c r="AO77" i="3"/>
  <c r="AO84" i="3" s="1"/>
  <c r="AO73" i="2"/>
  <c r="AO56" i="2"/>
  <c r="AG83" i="2"/>
  <c r="AL91" i="2" s="1"/>
  <c r="AG52" i="2"/>
  <c r="AG136" i="3" s="1"/>
  <c r="AG137" i="3" s="1"/>
  <c r="BZ139" i="3" l="1"/>
  <c r="CA141" i="3" s="1"/>
  <c r="N5" i="12"/>
  <c r="N6" i="12" s="1"/>
  <c r="CS6" i="4"/>
  <c r="CQ5" i="4"/>
  <c r="CR5" i="4" s="1"/>
  <c r="CS11" i="4"/>
  <c r="CZ4" i="4"/>
  <c r="CZ25" i="4" s="1"/>
  <c r="DA4" i="4"/>
  <c r="DA25" i="4" s="1"/>
  <c r="DB25" i="4" s="1"/>
  <c r="CY4" i="4"/>
  <c r="CY25" i="4" s="1"/>
  <c r="CX4" i="4"/>
  <c r="CH8" i="4"/>
  <c r="CM28" i="2"/>
  <c r="CM29" i="2" s="1"/>
  <c r="AP90" i="3"/>
  <c r="AP89" i="3"/>
  <c r="BQ89" i="3"/>
  <c r="CW15" i="4"/>
  <c r="CW16" i="4" s="1"/>
  <c r="BQ88" i="3"/>
  <c r="AN86" i="3"/>
  <c r="AN89" i="3" s="1"/>
  <c r="CO29" i="2"/>
  <c r="CO28" i="2" s="1"/>
  <c r="BV86" i="3"/>
  <c r="BV89" i="3" s="1"/>
  <c r="BU86" i="3"/>
  <c r="BU90" i="3" s="1"/>
  <c r="BA3" i="3"/>
  <c r="CS50" i="4"/>
  <c r="BA106" i="2"/>
  <c r="BA31" i="4"/>
  <c r="BA58" i="2"/>
  <c r="BA70" i="3"/>
  <c r="BA93" i="2"/>
  <c r="BA92" i="3"/>
  <c r="BA3" i="4"/>
  <c r="BA44" i="4"/>
  <c r="BA23" i="4"/>
  <c r="BA47" i="2"/>
  <c r="BA131" i="3"/>
  <c r="BA76" i="2"/>
  <c r="BA3" i="2"/>
  <c r="BF3" i="1"/>
  <c r="BF70" i="3" s="1"/>
  <c r="BA48" i="4"/>
  <c r="BL3" i="1"/>
  <c r="BJ3" i="1"/>
  <c r="BI3" i="1"/>
  <c r="BH3" i="1"/>
  <c r="BA142" i="3"/>
  <c r="BB131" i="3"/>
  <c r="BB23" i="4"/>
  <c r="BB44" i="4"/>
  <c r="BB3" i="4"/>
  <c r="BB50" i="3"/>
  <c r="BB48" i="4"/>
  <c r="BB3" i="3"/>
  <c r="BB92" i="3"/>
  <c r="BB70" i="3"/>
  <c r="BB93" i="2"/>
  <c r="BB3" i="2"/>
  <c r="BB76" i="2"/>
  <c r="BB47" i="2"/>
  <c r="BB106" i="2"/>
  <c r="BB31" i="4"/>
  <c r="BB142" i="3"/>
  <c r="BB58" i="2"/>
  <c r="BE131" i="3"/>
  <c r="BE23" i="4"/>
  <c r="BE44" i="4"/>
  <c r="BE3" i="4"/>
  <c r="BE142" i="3"/>
  <c r="BE70" i="3"/>
  <c r="BE48" i="4"/>
  <c r="BE3" i="3"/>
  <c r="BE93" i="2"/>
  <c r="BE92" i="3"/>
  <c r="BE50" i="3"/>
  <c r="BE106" i="2"/>
  <c r="BE31" i="4"/>
  <c r="BE76" i="2"/>
  <c r="BE58" i="2"/>
  <c r="BE47" i="2"/>
  <c r="BE3" i="2"/>
  <c r="BC131" i="3"/>
  <c r="BC23" i="4"/>
  <c r="BC44" i="4"/>
  <c r="BC3" i="4"/>
  <c r="BC142" i="3"/>
  <c r="BC70" i="3"/>
  <c r="BC48" i="4"/>
  <c r="BC3" i="3"/>
  <c r="BC93" i="2"/>
  <c r="BC3" i="2"/>
  <c r="BC76" i="2"/>
  <c r="BC47" i="2"/>
  <c r="BC50" i="3"/>
  <c r="BC106" i="2"/>
  <c r="BC31" i="4"/>
  <c r="BC58" i="2"/>
  <c r="BC92" i="3"/>
  <c r="AY31" i="4"/>
  <c r="AY92" i="3"/>
  <c r="AY70" i="3"/>
  <c r="AY142" i="3"/>
  <c r="AY106" i="2"/>
  <c r="AY50" i="3"/>
  <c r="AY3" i="4"/>
  <c r="AY131" i="3"/>
  <c r="AY48" i="4"/>
  <c r="AY58" i="2"/>
  <c r="AY44" i="4"/>
  <c r="AY23" i="4"/>
  <c r="AY93" i="2"/>
  <c r="AY3" i="2"/>
  <c r="AY76" i="2"/>
  <c r="AY47" i="2"/>
  <c r="AY3" i="3"/>
  <c r="BU52" i="2"/>
  <c r="BU136" i="3" s="1"/>
  <c r="BU137" i="3" s="1"/>
  <c r="BU83" i="2"/>
  <c r="AI90" i="2"/>
  <c r="CN58" i="3"/>
  <c r="CO31" i="3"/>
  <c r="BP86" i="3"/>
  <c r="BF86" i="3"/>
  <c r="BV52" i="2"/>
  <c r="BV136" i="3" s="1"/>
  <c r="BV137" i="3" s="1"/>
  <c r="BV83" i="2"/>
  <c r="CA91" i="2" s="1"/>
  <c r="AP138" i="3"/>
  <c r="AP141" i="3" s="1"/>
  <c r="AP91" i="2"/>
  <c r="BF83" i="2"/>
  <c r="BF52" i="2"/>
  <c r="BF136" i="3" s="1"/>
  <c r="BF137" i="3" s="1"/>
  <c r="AS88" i="3"/>
  <c r="AS89" i="3"/>
  <c r="AS90" i="3"/>
  <c r="BQ138" i="3"/>
  <c r="BQ141" i="3" s="1"/>
  <c r="AT52" i="2"/>
  <c r="AT83" i="2"/>
  <c r="BP83" i="2"/>
  <c r="BP52" i="2"/>
  <c r="BP136" i="3" s="1"/>
  <c r="BP137" i="3" s="1"/>
  <c r="AI89" i="3"/>
  <c r="AI88" i="3"/>
  <c r="AI90" i="3"/>
  <c r="AT86" i="3"/>
  <c r="CP44" i="3"/>
  <c r="CP49" i="2" s="1"/>
  <c r="CF59" i="3"/>
  <c r="AJ83" i="2"/>
  <c r="AJ52" i="2"/>
  <c r="CN116" i="3"/>
  <c r="CL127" i="3"/>
  <c r="CL100" i="3"/>
  <c r="BZ85" i="2"/>
  <c r="BZ61" i="2"/>
  <c r="AO80" i="3"/>
  <c r="AO85" i="3"/>
  <c r="CN129" i="3"/>
  <c r="CN106" i="3"/>
  <c r="CH13" i="3"/>
  <c r="BZ78" i="2"/>
  <c r="BZ88" i="2" s="1"/>
  <c r="CI13" i="3"/>
  <c r="CJ7" i="4"/>
  <c r="AG138" i="3"/>
  <c r="AG141" i="3" s="1"/>
  <c r="AG91" i="2"/>
  <c r="CM97" i="3"/>
  <c r="CN101" i="2"/>
  <c r="CL100" i="2"/>
  <c r="AG88" i="3"/>
  <c r="AG89" i="3"/>
  <c r="AG90" i="3"/>
  <c r="CK46" i="4"/>
  <c r="CK45" i="4" s="1"/>
  <c r="CJ105" i="3"/>
  <c r="AO90" i="2"/>
  <c r="AO74" i="2"/>
  <c r="AO51" i="2"/>
  <c r="AT90" i="2"/>
  <c r="CK108" i="3"/>
  <c r="AJ86" i="3"/>
  <c r="AN83" i="2"/>
  <c r="AN52" i="2"/>
  <c r="AN136" i="3" s="1"/>
  <c r="AN137" i="3" s="1"/>
  <c r="R34" i="9" l="1"/>
  <c r="T34" i="9" s="1"/>
  <c r="AT138" i="3"/>
  <c r="AT141" i="3" s="1"/>
  <c r="CR6" i="4"/>
  <c r="CT6" i="4"/>
  <c r="CT11" i="4" s="1"/>
  <c r="CS5" i="4"/>
  <c r="DA15" i="4"/>
  <c r="CX25" i="4"/>
  <c r="DB4" i="4"/>
  <c r="AN90" i="3"/>
  <c r="AN88" i="3"/>
  <c r="CZ15" i="4"/>
  <c r="CX15" i="4"/>
  <c r="CY15" i="4"/>
  <c r="BV90" i="3"/>
  <c r="BV88" i="3"/>
  <c r="BU89" i="3"/>
  <c r="BU88" i="3"/>
  <c r="AT136" i="3"/>
  <c r="AT137" i="3" s="1"/>
  <c r="CP29" i="2"/>
  <c r="CP28" i="2" s="1"/>
  <c r="CT50" i="4"/>
  <c r="BF106" i="2"/>
  <c r="BF50" i="3"/>
  <c r="BF92" i="3"/>
  <c r="BF93" i="2"/>
  <c r="BF131" i="3"/>
  <c r="BF48" i="4"/>
  <c r="BF3" i="3"/>
  <c r="BF142" i="3"/>
  <c r="BF47" i="2"/>
  <c r="BF3" i="4"/>
  <c r="BF76" i="2"/>
  <c r="BF44" i="4"/>
  <c r="BF58" i="2"/>
  <c r="BF23" i="4"/>
  <c r="BF31" i="4"/>
  <c r="BO3" i="1"/>
  <c r="BT3" i="1"/>
  <c r="BM3" i="1"/>
  <c r="BN3" i="1"/>
  <c r="BQ3" i="1"/>
  <c r="BV3" i="1"/>
  <c r="BF3" i="2"/>
  <c r="BK3" i="1"/>
  <c r="BK50" i="3" s="1"/>
  <c r="BH142" i="3"/>
  <c r="BH70" i="3"/>
  <c r="BH48" i="4"/>
  <c r="BH31" i="4"/>
  <c r="BH92" i="3"/>
  <c r="BH3" i="4"/>
  <c r="BH131" i="3"/>
  <c r="BH93" i="2"/>
  <c r="BH106" i="2"/>
  <c r="BH44" i="4"/>
  <c r="BH23" i="4"/>
  <c r="BH58" i="2"/>
  <c r="BH50" i="3"/>
  <c r="BH47" i="2"/>
  <c r="BH3" i="2"/>
  <c r="BH3" i="3"/>
  <c r="BH76" i="2"/>
  <c r="BG44" i="4"/>
  <c r="BG3" i="4"/>
  <c r="BG142" i="3"/>
  <c r="BG70" i="3"/>
  <c r="BG48" i="4"/>
  <c r="BG31" i="4"/>
  <c r="BG92" i="3"/>
  <c r="BG131" i="3"/>
  <c r="BG93" i="2"/>
  <c r="BG23" i="4"/>
  <c r="BG58" i="2"/>
  <c r="BG50" i="3"/>
  <c r="BG47" i="2"/>
  <c r="BG3" i="2"/>
  <c r="BG3" i="3"/>
  <c r="BG106" i="2"/>
  <c r="BG76" i="2"/>
  <c r="BJ48" i="4"/>
  <c r="BJ31" i="4"/>
  <c r="BJ92" i="3"/>
  <c r="BJ106" i="2"/>
  <c r="BJ44" i="4"/>
  <c r="BJ50" i="3"/>
  <c r="BJ58" i="2"/>
  <c r="BJ3" i="4"/>
  <c r="BJ3" i="2"/>
  <c r="BJ93" i="2"/>
  <c r="BJ142" i="3"/>
  <c r="BJ70" i="3"/>
  <c r="BJ131" i="3"/>
  <c r="BJ3" i="3"/>
  <c r="BJ47" i="2"/>
  <c r="BJ23" i="4"/>
  <c r="BJ76" i="2"/>
  <c r="BD131" i="3"/>
  <c r="BD23" i="4"/>
  <c r="BD44" i="4"/>
  <c r="BD3" i="4"/>
  <c r="BD142" i="3"/>
  <c r="BD70" i="3"/>
  <c r="BD48" i="4"/>
  <c r="BD3" i="3"/>
  <c r="BD93" i="2"/>
  <c r="BD76" i="2"/>
  <c r="BD47" i="2"/>
  <c r="BD50" i="3"/>
  <c r="BD106" i="2"/>
  <c r="BD31" i="4"/>
  <c r="BD58" i="2"/>
  <c r="BD92" i="3"/>
  <c r="BD3" i="2"/>
  <c r="CQ44" i="3"/>
  <c r="CQ49" i="2" s="1"/>
  <c r="AT89" i="3"/>
  <c r="AT90" i="3"/>
  <c r="BP138" i="3"/>
  <c r="BP141" i="3" s="1"/>
  <c r="BP91" i="2"/>
  <c r="AJ90" i="2"/>
  <c r="BV138" i="3"/>
  <c r="BV141" i="3" s="1"/>
  <c r="BV91" i="2"/>
  <c r="BU138" i="3"/>
  <c r="BU141" i="3" s="1"/>
  <c r="BU91" i="2"/>
  <c r="BF89" i="3"/>
  <c r="BF88" i="3"/>
  <c r="BF90" i="3"/>
  <c r="BF138" i="3"/>
  <c r="BF141" i="3" s="1"/>
  <c r="BK91" i="2"/>
  <c r="BP88" i="3"/>
  <c r="BP89" i="3"/>
  <c r="BP90" i="3"/>
  <c r="CO58" i="3"/>
  <c r="CP31" i="3"/>
  <c r="CF32" i="3"/>
  <c r="CG60" i="3"/>
  <c r="CH60" i="3" s="1"/>
  <c r="CH61" i="3" s="1"/>
  <c r="CO106" i="3"/>
  <c r="CN100" i="3"/>
  <c r="AN138" i="3"/>
  <c r="AN141" i="3" s="1"/>
  <c r="AN91" i="2"/>
  <c r="AS91" i="2"/>
  <c r="AO83" i="2"/>
  <c r="AO52" i="2"/>
  <c r="CN127" i="3"/>
  <c r="CN97" i="3"/>
  <c r="CO116" i="3"/>
  <c r="AJ136" i="3"/>
  <c r="AJ137" i="3" s="1"/>
  <c r="AJ138" i="3"/>
  <c r="AJ141" i="3" s="1"/>
  <c r="BZ86" i="2"/>
  <c r="BZ63" i="2"/>
  <c r="N9" i="12" s="1"/>
  <c r="N10" i="12" s="1"/>
  <c r="BZ77" i="2"/>
  <c r="BZ87" i="2" s="1"/>
  <c r="CL46" i="4"/>
  <c r="CL45" i="4" s="1"/>
  <c r="CK105" i="3"/>
  <c r="AO86" i="3"/>
  <c r="CO129" i="3"/>
  <c r="AJ89" i="3"/>
  <c r="AJ90" i="3"/>
  <c r="CO101" i="2"/>
  <c r="CN100" i="2"/>
  <c r="CJ13" i="3"/>
  <c r="CK7" i="4"/>
  <c r="CL108" i="3"/>
  <c r="CU6" i="4" l="1"/>
  <c r="CT5" i="4"/>
  <c r="CU11" i="4"/>
  <c r="CF99" i="2"/>
  <c r="DB15" i="4"/>
  <c r="DB16" i="4" s="1"/>
  <c r="CQ29" i="2"/>
  <c r="CQ28" i="2" s="1"/>
  <c r="CU50" i="4"/>
  <c r="BK131" i="3"/>
  <c r="BK44" i="4"/>
  <c r="BK70" i="3"/>
  <c r="BK48" i="4"/>
  <c r="BK106" i="2"/>
  <c r="BK31" i="4"/>
  <c r="BK3" i="3"/>
  <c r="BK142" i="3"/>
  <c r="BK3" i="2"/>
  <c r="BK3" i="4"/>
  <c r="BK58" i="2"/>
  <c r="BK47" i="2"/>
  <c r="BK76" i="2"/>
  <c r="BP3" i="1"/>
  <c r="BP3" i="4" s="1"/>
  <c r="BU3" i="1"/>
  <c r="BK92" i="3"/>
  <c r="BS3" i="1"/>
  <c r="BR3" i="1"/>
  <c r="BK23" i="4"/>
  <c r="BK93" i="2"/>
  <c r="BO131" i="3"/>
  <c r="BO23" i="4"/>
  <c r="BO44" i="4"/>
  <c r="BO3" i="4"/>
  <c r="BO142" i="3"/>
  <c r="BO70" i="3"/>
  <c r="BO92" i="3"/>
  <c r="BO3" i="3"/>
  <c r="BO31" i="4"/>
  <c r="BO3" i="2"/>
  <c r="BO76" i="2"/>
  <c r="BO47" i="2"/>
  <c r="BO106" i="2"/>
  <c r="BO93" i="2"/>
  <c r="BO48" i="4"/>
  <c r="BO58" i="2"/>
  <c r="BO50" i="3"/>
  <c r="BL31" i="4"/>
  <c r="BL92" i="3"/>
  <c r="BL131" i="3"/>
  <c r="BL106" i="2"/>
  <c r="BL44" i="4"/>
  <c r="BL50" i="3"/>
  <c r="BL23" i="4"/>
  <c r="BL70" i="3"/>
  <c r="BL3" i="3"/>
  <c r="BL3" i="4"/>
  <c r="BL3" i="2"/>
  <c r="BL76" i="2"/>
  <c r="BL47" i="2"/>
  <c r="BL58" i="2"/>
  <c r="BL48" i="4"/>
  <c r="BL93" i="2"/>
  <c r="BL142" i="3"/>
  <c r="BM131" i="3"/>
  <c r="BM23" i="4"/>
  <c r="BM106" i="2"/>
  <c r="BM44" i="4"/>
  <c r="BM50" i="3"/>
  <c r="BM92" i="3"/>
  <c r="BM70" i="3"/>
  <c r="BM3" i="3"/>
  <c r="BM142" i="3"/>
  <c r="BM31" i="4"/>
  <c r="BM3" i="4"/>
  <c r="BM3" i="2"/>
  <c r="BM76" i="2"/>
  <c r="BM47" i="2"/>
  <c r="BM48" i="4"/>
  <c r="BM93" i="2"/>
  <c r="BM58" i="2"/>
  <c r="BI48" i="4"/>
  <c r="BI31" i="4"/>
  <c r="BI92" i="3"/>
  <c r="BI3" i="4"/>
  <c r="BI131" i="3"/>
  <c r="BI93" i="2"/>
  <c r="BI106" i="2"/>
  <c r="BI44" i="4"/>
  <c r="BI50" i="3"/>
  <c r="BI23" i="4"/>
  <c r="BI70" i="3"/>
  <c r="BI58" i="2"/>
  <c r="BI142" i="3"/>
  <c r="BI3" i="3"/>
  <c r="BI3" i="2"/>
  <c r="BI76" i="2"/>
  <c r="BI47" i="2"/>
  <c r="CQ31" i="3"/>
  <c r="CP58" i="3"/>
  <c r="CR44" i="3"/>
  <c r="CS44" i="3" s="1"/>
  <c r="CS49" i="2" s="1"/>
  <c r="AI91" i="2"/>
  <c r="CG59" i="3"/>
  <c r="CG32" i="3" s="1"/>
  <c r="CH32" i="3" s="1"/>
  <c r="CO100" i="3"/>
  <c r="CN108" i="3"/>
  <c r="CP106" i="3"/>
  <c r="CP116" i="3"/>
  <c r="AO136" i="3"/>
  <c r="AO137" i="3" s="1"/>
  <c r="CK13" i="3"/>
  <c r="CP129" i="3"/>
  <c r="CL7" i="4"/>
  <c r="AO138" i="3"/>
  <c r="AO141" i="3" s="1"/>
  <c r="AO91" i="2"/>
  <c r="AT91" i="2"/>
  <c r="BZ82" i="2"/>
  <c r="CO97" i="3"/>
  <c r="CO127" i="3"/>
  <c r="CM45" i="4"/>
  <c r="CN46" i="4"/>
  <c r="CN45" i="4" s="1"/>
  <c r="CL105" i="3"/>
  <c r="CP101" i="2"/>
  <c r="CO100" i="2"/>
  <c r="AO90" i="3"/>
  <c r="AO89" i="3"/>
  <c r="CM46" i="4" l="1"/>
  <c r="CV6" i="4"/>
  <c r="CU5" i="4"/>
  <c r="CV11" i="4"/>
  <c r="CG99" i="2"/>
  <c r="CS29" i="2"/>
  <c r="CS28" i="2" s="1"/>
  <c r="BP48" i="4"/>
  <c r="BP47" i="2"/>
  <c r="CV50" i="4"/>
  <c r="CW50" i="4" s="1"/>
  <c r="BP44" i="4"/>
  <c r="BP23" i="4"/>
  <c r="BP76" i="2"/>
  <c r="BP131" i="3"/>
  <c r="BP31" i="4"/>
  <c r="BP3" i="3"/>
  <c r="BP92" i="3"/>
  <c r="BP3" i="2"/>
  <c r="BP70" i="3"/>
  <c r="BP50" i="3"/>
  <c r="BZ3" i="1"/>
  <c r="BP93" i="2"/>
  <c r="BP58" i="2"/>
  <c r="BP142" i="3"/>
  <c r="BP106" i="2"/>
  <c r="BX3" i="1"/>
  <c r="BW3" i="1"/>
  <c r="BN131" i="3"/>
  <c r="BN23" i="4"/>
  <c r="BN44" i="4"/>
  <c r="BN3" i="4"/>
  <c r="BN50" i="3"/>
  <c r="BN92" i="3"/>
  <c r="BN70" i="3"/>
  <c r="BN3" i="3"/>
  <c r="BN142" i="3"/>
  <c r="BN31" i="4"/>
  <c r="BN3" i="2"/>
  <c r="BN76" i="2"/>
  <c r="BN47" i="2"/>
  <c r="BN48" i="4"/>
  <c r="BN106" i="2"/>
  <c r="BN58" i="2"/>
  <c r="BN93" i="2"/>
  <c r="BU48" i="4"/>
  <c r="BU31" i="4"/>
  <c r="BU92" i="3"/>
  <c r="BU93" i="2"/>
  <c r="BU23" i="4"/>
  <c r="BU70" i="3"/>
  <c r="BU142" i="3"/>
  <c r="BU106" i="2"/>
  <c r="BU50" i="3"/>
  <c r="BU3" i="4"/>
  <c r="BU3" i="3"/>
  <c r="BU58" i="2"/>
  <c r="BU76" i="2"/>
  <c r="BU44" i="4"/>
  <c r="BU47" i="2"/>
  <c r="BU3" i="2"/>
  <c r="BU131" i="3"/>
  <c r="CC3" i="1"/>
  <c r="BR23" i="4"/>
  <c r="BR44" i="4"/>
  <c r="BR3" i="4"/>
  <c r="BR142" i="3"/>
  <c r="BR70" i="3"/>
  <c r="BR48" i="4"/>
  <c r="BR31" i="4"/>
  <c r="BR93" i="2"/>
  <c r="BR3" i="3"/>
  <c r="BR58" i="2"/>
  <c r="BR76" i="2"/>
  <c r="BR92" i="3"/>
  <c r="BR131" i="3"/>
  <c r="BR106" i="2"/>
  <c r="BR3" i="2"/>
  <c r="BR50" i="3"/>
  <c r="BR47" i="2"/>
  <c r="BQ131" i="3"/>
  <c r="BQ23" i="4"/>
  <c r="BQ44" i="4"/>
  <c r="BQ3" i="4"/>
  <c r="BQ142" i="3"/>
  <c r="BQ70" i="3"/>
  <c r="BQ48" i="4"/>
  <c r="BQ3" i="3"/>
  <c r="BQ31" i="4"/>
  <c r="BQ93" i="2"/>
  <c r="BQ76" i="2"/>
  <c r="BQ58" i="2"/>
  <c r="BQ92" i="3"/>
  <c r="BQ106" i="2"/>
  <c r="BQ50" i="3"/>
  <c r="BQ3" i="2"/>
  <c r="BQ47" i="2"/>
  <c r="BY3" i="1"/>
  <c r="BT142" i="3"/>
  <c r="BT70" i="3"/>
  <c r="BT48" i="4"/>
  <c r="BT31" i="4"/>
  <c r="BT92" i="3"/>
  <c r="BT44" i="4"/>
  <c r="BT93" i="2"/>
  <c r="BT23" i="4"/>
  <c r="BT106" i="2"/>
  <c r="BT3" i="4"/>
  <c r="BT3" i="3"/>
  <c r="BT58" i="2"/>
  <c r="BT50" i="3"/>
  <c r="BT131" i="3"/>
  <c r="BT47" i="2"/>
  <c r="BT76" i="2"/>
  <c r="BT3" i="2"/>
  <c r="AJ91" i="2"/>
  <c r="CQ58" i="3"/>
  <c r="CS31" i="3"/>
  <c r="CR31" i="3"/>
  <c r="CR58" i="3" s="1"/>
  <c r="CT44" i="3"/>
  <c r="CT49" i="2" s="1"/>
  <c r="CH59" i="3"/>
  <c r="CP97" i="3"/>
  <c r="CO104" i="2"/>
  <c r="CN103" i="2"/>
  <c r="CQ129" i="3"/>
  <c r="CP100" i="3"/>
  <c r="CQ106" i="3"/>
  <c r="CM7" i="4"/>
  <c r="CN7" i="4"/>
  <c r="CM105" i="3"/>
  <c r="CM106" i="3" s="1"/>
  <c r="CL13" i="3"/>
  <c r="CQ116" i="3"/>
  <c r="CQ101" i="2"/>
  <c r="CP100" i="2"/>
  <c r="CO108" i="3"/>
  <c r="CO46" i="4"/>
  <c r="CO45" i="4" s="1"/>
  <c r="CN105" i="3"/>
  <c r="CP127" i="3"/>
  <c r="CM8" i="4" l="1"/>
  <c r="E34" i="9"/>
  <c r="BZ142" i="3"/>
  <c r="BZ131" i="3"/>
  <c r="BZ92" i="3"/>
  <c r="BZ3" i="3"/>
  <c r="BZ31" i="4"/>
  <c r="BZ3" i="2"/>
  <c r="BZ47" i="2"/>
  <c r="CX6" i="4"/>
  <c r="CX11" i="4" s="1"/>
  <c r="CV5" i="4"/>
  <c r="CW5" i="4" s="1"/>
  <c r="CR28" i="2"/>
  <c r="CR29" i="2" s="1"/>
  <c r="BZ48" i="4"/>
  <c r="BZ44" i="4"/>
  <c r="CT29" i="2"/>
  <c r="CT28" i="2" s="1"/>
  <c r="CX50" i="4"/>
  <c r="CJ3" i="1"/>
  <c r="CI3" i="1"/>
  <c r="BW31" i="4"/>
  <c r="BW92" i="3"/>
  <c r="BW70" i="3"/>
  <c r="BW142" i="3"/>
  <c r="BW106" i="2"/>
  <c r="BW50" i="3"/>
  <c r="BW3" i="4"/>
  <c r="BW131" i="3"/>
  <c r="BW58" i="2"/>
  <c r="BW93" i="2"/>
  <c r="BW3" i="2"/>
  <c r="BW76" i="2"/>
  <c r="BW47" i="2"/>
  <c r="BW44" i="4"/>
  <c r="BW3" i="3"/>
  <c r="BW48" i="4"/>
  <c r="BW23" i="4"/>
  <c r="CB3" i="1"/>
  <c r="CB31" i="4" s="1"/>
  <c r="BS44" i="4"/>
  <c r="BS3" i="4"/>
  <c r="BS142" i="3"/>
  <c r="BS70" i="3"/>
  <c r="BS48" i="4"/>
  <c r="BS31" i="4"/>
  <c r="BS92" i="3"/>
  <c r="BS93" i="2"/>
  <c r="BS23" i="4"/>
  <c r="BS3" i="3"/>
  <c r="BS58" i="2"/>
  <c r="BS50" i="3"/>
  <c r="BS106" i="2"/>
  <c r="BS47" i="2"/>
  <c r="BS131" i="3"/>
  <c r="BS3" i="2"/>
  <c r="BS76" i="2"/>
  <c r="BZ23" i="4"/>
  <c r="BZ3" i="4"/>
  <c r="BZ50" i="3"/>
  <c r="BZ93" i="2"/>
  <c r="BZ76" i="2"/>
  <c r="BZ106" i="2"/>
  <c r="BZ58" i="2"/>
  <c r="BZ70" i="3"/>
  <c r="BV48" i="4"/>
  <c r="BV31" i="4"/>
  <c r="BV92" i="3"/>
  <c r="BV23" i="4"/>
  <c r="BV70" i="3"/>
  <c r="BV142" i="3"/>
  <c r="BV106" i="2"/>
  <c r="BV50" i="3"/>
  <c r="BV3" i="4"/>
  <c r="BV131" i="3"/>
  <c r="BV3" i="3"/>
  <c r="BV58" i="2"/>
  <c r="BV93" i="2"/>
  <c r="BV3" i="2"/>
  <c r="BV76" i="2"/>
  <c r="BV44" i="4"/>
  <c r="BV47" i="2"/>
  <c r="CA3" i="1"/>
  <c r="BY131" i="3"/>
  <c r="BY23" i="4"/>
  <c r="BY31" i="4"/>
  <c r="BY106" i="2"/>
  <c r="BY50" i="3"/>
  <c r="BY3" i="4"/>
  <c r="BY48" i="4"/>
  <c r="BY3" i="3"/>
  <c r="BY93" i="2"/>
  <c r="BY3" i="2"/>
  <c r="BY76" i="2"/>
  <c r="BY47" i="2"/>
  <c r="BY142" i="3"/>
  <c r="BY44" i="4"/>
  <c r="BY92" i="3"/>
  <c r="BY70" i="3"/>
  <c r="BY58" i="2"/>
  <c r="CD3" i="1"/>
  <c r="CD142" i="3" s="1"/>
  <c r="CT31" i="3"/>
  <c r="CS58" i="3"/>
  <c r="CU44" i="3"/>
  <c r="CU49" i="2" s="1"/>
  <c r="CI60" i="3"/>
  <c r="CI59" i="3" s="1"/>
  <c r="CP108" i="3"/>
  <c r="CS116" i="3"/>
  <c r="CP104" i="2"/>
  <c r="CO103" i="2"/>
  <c r="BZ68" i="2"/>
  <c r="CS129" i="3"/>
  <c r="CQ97" i="3"/>
  <c r="CQ127" i="3"/>
  <c r="CM13" i="3"/>
  <c r="CN13" i="3"/>
  <c r="CQ100" i="3"/>
  <c r="CS101" i="2"/>
  <c r="CQ100" i="2"/>
  <c r="BZ71" i="2"/>
  <c r="CS106" i="3"/>
  <c r="CP46" i="4"/>
  <c r="CP45" i="4" s="1"/>
  <c r="CO105" i="3"/>
  <c r="CO7" i="4"/>
  <c r="CY50" i="4" s="1"/>
  <c r="BZ133" i="3" l="1"/>
  <c r="CA48" i="4"/>
  <c r="CA93" i="2"/>
  <c r="CA44" i="4"/>
  <c r="CA76" i="2"/>
  <c r="CA31" i="4"/>
  <c r="CA58" i="2"/>
  <c r="CA3" i="2"/>
  <c r="CA3" i="3"/>
  <c r="CA23" i="4"/>
  <c r="CA47" i="2"/>
  <c r="CA70" i="3"/>
  <c r="CA106" i="2"/>
  <c r="CA3" i="4"/>
  <c r="CA142" i="3"/>
  <c r="CA131" i="3"/>
  <c r="CA92" i="3"/>
  <c r="CA50" i="3"/>
  <c r="CW6" i="4"/>
  <c r="CY6" i="4"/>
  <c r="CY11" i="4" s="1"/>
  <c r="CX5" i="4"/>
  <c r="CU29" i="2"/>
  <c r="CU28" i="2" s="1"/>
  <c r="CE3" i="1"/>
  <c r="CN3" i="1"/>
  <c r="CK3" i="1"/>
  <c r="CH3" i="1"/>
  <c r="CH3" i="4" s="1"/>
  <c r="CO3" i="1"/>
  <c r="CF3" i="1"/>
  <c r="CG3" i="1"/>
  <c r="CD23" i="4"/>
  <c r="CD44" i="4"/>
  <c r="CD3" i="4"/>
  <c r="CD70" i="3"/>
  <c r="CD48" i="4"/>
  <c r="CD131" i="3"/>
  <c r="CD93" i="2"/>
  <c r="CD92" i="3"/>
  <c r="CD50" i="3"/>
  <c r="CD106" i="2"/>
  <c r="CD58" i="2"/>
  <c r="CD76" i="2"/>
  <c r="CD3" i="3"/>
  <c r="CD47" i="2"/>
  <c r="CD3" i="2"/>
  <c r="CD31" i="4"/>
  <c r="BX31" i="4"/>
  <c r="BX92" i="3"/>
  <c r="BX131" i="3"/>
  <c r="BX142" i="3"/>
  <c r="BX106" i="2"/>
  <c r="BX50" i="3"/>
  <c r="C29" i="9" s="1"/>
  <c r="BX3" i="4"/>
  <c r="BX48" i="4"/>
  <c r="BX3" i="3"/>
  <c r="BX93" i="2"/>
  <c r="BX3" i="2"/>
  <c r="BX76" i="2"/>
  <c r="C20" i="9" s="1"/>
  <c r="BX47" i="2"/>
  <c r="BX58" i="2"/>
  <c r="C2" i="9" s="1"/>
  <c r="BX44" i="4"/>
  <c r="BX70" i="3"/>
  <c r="BX23" i="4"/>
  <c r="CB131" i="3"/>
  <c r="CB23" i="4"/>
  <c r="CB44" i="4"/>
  <c r="CB3" i="4"/>
  <c r="CB142" i="3"/>
  <c r="CB70" i="3"/>
  <c r="CB48" i="4"/>
  <c r="CB3" i="3"/>
  <c r="CB93" i="2"/>
  <c r="CB76" i="2"/>
  <c r="CB47" i="2"/>
  <c r="CB50" i="3"/>
  <c r="CB106" i="2"/>
  <c r="CB92" i="3"/>
  <c r="CB58" i="2"/>
  <c r="CB3" i="2"/>
  <c r="CU31" i="3"/>
  <c r="CT58" i="3"/>
  <c r="CV44" i="3"/>
  <c r="CV49" i="2" s="1"/>
  <c r="CI32" i="3"/>
  <c r="CJ60" i="3"/>
  <c r="CJ59" i="3" s="1"/>
  <c r="CP103" i="2"/>
  <c r="CQ104" i="2"/>
  <c r="CT129" i="3"/>
  <c r="CP7" i="4"/>
  <c r="CZ50" i="4" s="1"/>
  <c r="CS100" i="2"/>
  <c r="CT101" i="2"/>
  <c r="CS127" i="3"/>
  <c r="CT116" i="3"/>
  <c r="CO13" i="3"/>
  <c r="CR97" i="3"/>
  <c r="CQ46" i="4"/>
  <c r="CQ45" i="4" s="1"/>
  <c r="CP105" i="3"/>
  <c r="CS100" i="3"/>
  <c r="CT106" i="3"/>
  <c r="CQ108" i="3"/>
  <c r="BZ149" i="3"/>
  <c r="CE76" i="2" l="1"/>
  <c r="CE142" i="3"/>
  <c r="CE3" i="4"/>
  <c r="CE48" i="4"/>
  <c r="CE23" i="4"/>
  <c r="CE47" i="2"/>
  <c r="CE3" i="3"/>
  <c r="CE58" i="2"/>
  <c r="CE93" i="2"/>
  <c r="CZ6" i="4"/>
  <c r="CY5" i="4"/>
  <c r="CZ11" i="4"/>
  <c r="CE131" i="3"/>
  <c r="CE70" i="3"/>
  <c r="CE44" i="4"/>
  <c r="CE92" i="3"/>
  <c r="CE31" i="4"/>
  <c r="CE50" i="3"/>
  <c r="CI99" i="2"/>
  <c r="CV29" i="2"/>
  <c r="CV28" i="2" s="1"/>
  <c r="CE106" i="2"/>
  <c r="CE3" i="2"/>
  <c r="CT3" i="1"/>
  <c r="CY3" i="1"/>
  <c r="CL3" i="1"/>
  <c r="CM3" i="1"/>
  <c r="CP3" i="1"/>
  <c r="CX3" i="1"/>
  <c r="CS3" i="1"/>
  <c r="CG48" i="4"/>
  <c r="CG31" i="4"/>
  <c r="CG92" i="3"/>
  <c r="CG3" i="4"/>
  <c r="CG131" i="3"/>
  <c r="CG93" i="2"/>
  <c r="CG106" i="2"/>
  <c r="CG44" i="4"/>
  <c r="CG50" i="3"/>
  <c r="CG58" i="2"/>
  <c r="CG142" i="3"/>
  <c r="CG23" i="4"/>
  <c r="CG3" i="2"/>
  <c r="CG70" i="3"/>
  <c r="CG76" i="2"/>
  <c r="CG47" i="2"/>
  <c r="CG3" i="3"/>
  <c r="CC131" i="3"/>
  <c r="CC23" i="4"/>
  <c r="CC44" i="4"/>
  <c r="CC3" i="4"/>
  <c r="CC142" i="3"/>
  <c r="CC70" i="3"/>
  <c r="CC48" i="4"/>
  <c r="CC3" i="3"/>
  <c r="CC93" i="2"/>
  <c r="CC92" i="3"/>
  <c r="CC50" i="3"/>
  <c r="D29" i="9" s="1"/>
  <c r="CC106" i="2"/>
  <c r="CC76" i="2"/>
  <c r="D20" i="9" s="1"/>
  <c r="CC58" i="2"/>
  <c r="D2" i="9" s="1"/>
  <c r="CC47" i="2"/>
  <c r="CC3" i="2"/>
  <c r="CC31" i="4"/>
  <c r="CF142" i="3"/>
  <c r="CF70" i="3"/>
  <c r="CF48" i="4"/>
  <c r="CF31" i="4"/>
  <c r="CF92" i="3"/>
  <c r="CF3" i="4"/>
  <c r="CF131" i="3"/>
  <c r="CF93" i="2"/>
  <c r="CF106" i="2"/>
  <c r="CF58" i="2"/>
  <c r="CF3" i="3"/>
  <c r="CF47" i="2"/>
  <c r="CF3" i="2"/>
  <c r="CF50" i="3"/>
  <c r="CF23" i="4"/>
  <c r="CF76" i="2"/>
  <c r="CF44" i="4"/>
  <c r="CJ31" i="4"/>
  <c r="CJ92" i="3"/>
  <c r="CJ131" i="3"/>
  <c r="CJ106" i="2"/>
  <c r="CJ44" i="4"/>
  <c r="CJ50" i="3"/>
  <c r="CJ23" i="4"/>
  <c r="CJ70" i="3"/>
  <c r="CJ3" i="3"/>
  <c r="CJ142" i="3"/>
  <c r="CJ3" i="2"/>
  <c r="CJ76" i="2"/>
  <c r="CJ47" i="2"/>
  <c r="CJ48" i="4"/>
  <c r="CJ58" i="2"/>
  <c r="CJ93" i="2"/>
  <c r="CJ3" i="4"/>
  <c r="CI31" i="4"/>
  <c r="CI92" i="3"/>
  <c r="CI48" i="4"/>
  <c r="CI106" i="2"/>
  <c r="CI44" i="4"/>
  <c r="CI50" i="3"/>
  <c r="CI23" i="4"/>
  <c r="CI58" i="2"/>
  <c r="CI142" i="3"/>
  <c r="CI131" i="3"/>
  <c r="CI70" i="3"/>
  <c r="CI3" i="2"/>
  <c r="CI3" i="3"/>
  <c r="CI76" i="2"/>
  <c r="CI47" i="2"/>
  <c r="CI93" i="2"/>
  <c r="CI3" i="4"/>
  <c r="CW44" i="3"/>
  <c r="CX44" i="3" s="1"/>
  <c r="CX49" i="2" s="1"/>
  <c r="CV31" i="3"/>
  <c r="CU58" i="3"/>
  <c r="CJ32" i="3"/>
  <c r="CK60" i="3"/>
  <c r="CR45" i="4"/>
  <c r="CS46" i="4"/>
  <c r="CS45" i="4" s="1"/>
  <c r="CQ105" i="3"/>
  <c r="CU129" i="3"/>
  <c r="CT100" i="3"/>
  <c r="CS97" i="3"/>
  <c r="CS108" i="3"/>
  <c r="CU116" i="3"/>
  <c r="CQ103" i="2"/>
  <c r="CS104" i="2"/>
  <c r="CP13" i="3"/>
  <c r="CT100" i="2"/>
  <c r="CU101" i="2"/>
  <c r="CQ7" i="4"/>
  <c r="CT127" i="3"/>
  <c r="CU106" i="3"/>
  <c r="CR46" i="4" l="1"/>
  <c r="DA6" i="4"/>
  <c r="DA5" i="4" s="1"/>
  <c r="CZ5" i="4"/>
  <c r="DA11" i="4"/>
  <c r="CJ99" i="2"/>
  <c r="CX29" i="2"/>
  <c r="CX28" i="2" s="1"/>
  <c r="CR7" i="4"/>
  <c r="CR8" i="4" s="1"/>
  <c r="DA50" i="4"/>
  <c r="DB50" i="4" s="1"/>
  <c r="CZ3" i="1"/>
  <c r="CU3" i="1"/>
  <c r="CR3" i="1"/>
  <c r="CQ3" i="1"/>
  <c r="CK131" i="3"/>
  <c r="CK23" i="4"/>
  <c r="CK106" i="2"/>
  <c r="CK44" i="4"/>
  <c r="CK50" i="3"/>
  <c r="CK92" i="3"/>
  <c r="CK70" i="3"/>
  <c r="CK3" i="3"/>
  <c r="CK142" i="3"/>
  <c r="CK3" i="2"/>
  <c r="CK76" i="2"/>
  <c r="CK47" i="2"/>
  <c r="CK48" i="4"/>
  <c r="CK93" i="2"/>
  <c r="CK31" i="4"/>
  <c r="CK3" i="4"/>
  <c r="CK58" i="2"/>
  <c r="CN131" i="3"/>
  <c r="CN23" i="4"/>
  <c r="CN44" i="4"/>
  <c r="CN3" i="4"/>
  <c r="CN142" i="3"/>
  <c r="CN70" i="3"/>
  <c r="CN92" i="3"/>
  <c r="CN3" i="3"/>
  <c r="CN31" i="4"/>
  <c r="CN93" i="2"/>
  <c r="CN76" i="2"/>
  <c r="CN47" i="2"/>
  <c r="CN48" i="4"/>
  <c r="CN50" i="3"/>
  <c r="CN106" i="2"/>
  <c r="CN58" i="2"/>
  <c r="CN3" i="2"/>
  <c r="CO131" i="3"/>
  <c r="CO23" i="4"/>
  <c r="CO44" i="4"/>
  <c r="CO3" i="4"/>
  <c r="CO142" i="3"/>
  <c r="CO70" i="3"/>
  <c r="CO48" i="4"/>
  <c r="CO3" i="3"/>
  <c r="CO31" i="4"/>
  <c r="CO93" i="2"/>
  <c r="CO92" i="3"/>
  <c r="CO76" i="2"/>
  <c r="CO50" i="3"/>
  <c r="CO58" i="2"/>
  <c r="CO47" i="2"/>
  <c r="CO106" i="2"/>
  <c r="CO3" i="2"/>
  <c r="CH48" i="4"/>
  <c r="CH31" i="4"/>
  <c r="CH92" i="3"/>
  <c r="CH106" i="2"/>
  <c r="CH44" i="4"/>
  <c r="CH50" i="3"/>
  <c r="E29" i="9" s="1"/>
  <c r="CH58" i="2"/>
  <c r="E2" i="9" s="1"/>
  <c r="CH142" i="3"/>
  <c r="CH23" i="4"/>
  <c r="CH131" i="3"/>
  <c r="CH70" i="3"/>
  <c r="CH3" i="2"/>
  <c r="CH93" i="2"/>
  <c r="CH47" i="2"/>
  <c r="CH76" i="2"/>
  <c r="E20" i="9" s="1"/>
  <c r="CH3" i="3"/>
  <c r="CL131" i="3"/>
  <c r="CL23" i="4"/>
  <c r="CL44" i="4"/>
  <c r="CL3" i="4"/>
  <c r="CL50" i="3"/>
  <c r="CL92" i="3"/>
  <c r="CL70" i="3"/>
  <c r="CL3" i="3"/>
  <c r="CL142" i="3"/>
  <c r="CL31" i="4"/>
  <c r="CL3" i="2"/>
  <c r="CL76" i="2"/>
  <c r="CL47" i="2"/>
  <c r="CL48" i="4"/>
  <c r="CL106" i="2"/>
  <c r="CL93" i="2"/>
  <c r="CL58" i="2"/>
  <c r="CV58" i="3"/>
  <c r="CX31" i="3"/>
  <c r="CW31" i="3"/>
  <c r="CW58" i="3" s="1"/>
  <c r="CY44" i="3"/>
  <c r="CY49" i="2" s="1"/>
  <c r="CK59" i="3"/>
  <c r="CU100" i="3"/>
  <c r="CS103" i="2"/>
  <c r="CT104" i="2"/>
  <c r="CU100" i="2"/>
  <c r="CV101" i="2"/>
  <c r="CV129" i="3"/>
  <c r="CT46" i="4"/>
  <c r="CT45" i="4" s="1"/>
  <c r="CS105" i="3"/>
  <c r="CV106" i="3"/>
  <c r="CV116" i="3"/>
  <c r="CT108" i="3"/>
  <c r="CT97" i="3"/>
  <c r="CR105" i="3"/>
  <c r="CR106" i="3" s="1"/>
  <c r="CQ13" i="3"/>
  <c r="CU127" i="3"/>
  <c r="CS7" i="4"/>
  <c r="DB5" i="4" l="1"/>
  <c r="CW28" i="2"/>
  <c r="CW29" i="2" s="1"/>
  <c r="CY29" i="2"/>
  <c r="CY28" i="2" s="1"/>
  <c r="CV3" i="1"/>
  <c r="CW3" i="1"/>
  <c r="CQ44" i="4"/>
  <c r="CQ3" i="4"/>
  <c r="CQ142" i="3"/>
  <c r="CQ70" i="3"/>
  <c r="CQ48" i="4"/>
  <c r="CQ31" i="4"/>
  <c r="CQ92" i="3"/>
  <c r="CQ93" i="2"/>
  <c r="CQ23" i="4"/>
  <c r="CQ131" i="3"/>
  <c r="CQ3" i="3"/>
  <c r="CQ58" i="2"/>
  <c r="CQ50" i="3"/>
  <c r="CQ106" i="2"/>
  <c r="CQ47" i="2"/>
  <c r="CQ76" i="2"/>
  <c r="CQ3" i="2"/>
  <c r="CT48" i="4"/>
  <c r="CT31" i="4"/>
  <c r="CT92" i="3"/>
  <c r="CT23" i="4"/>
  <c r="CT70" i="3"/>
  <c r="CT142" i="3"/>
  <c r="CT106" i="2"/>
  <c r="CT50" i="3"/>
  <c r="CT3" i="4"/>
  <c r="CT131" i="3"/>
  <c r="CT3" i="3"/>
  <c r="CT58" i="2"/>
  <c r="CT44" i="4"/>
  <c r="CT93" i="2"/>
  <c r="CT3" i="2"/>
  <c r="CT76" i="2"/>
  <c r="CT47" i="2"/>
  <c r="CY131" i="3"/>
  <c r="CY23" i="4"/>
  <c r="CY44" i="4"/>
  <c r="CY3" i="4"/>
  <c r="CY142" i="3"/>
  <c r="CY70" i="3"/>
  <c r="CY48" i="4"/>
  <c r="CY3" i="3"/>
  <c r="CY93" i="2"/>
  <c r="CY3" i="2"/>
  <c r="CY76" i="2"/>
  <c r="CY47" i="2"/>
  <c r="CY50" i="3"/>
  <c r="CY106" i="2"/>
  <c r="CY31" i="4"/>
  <c r="CY58" i="2"/>
  <c r="CY92" i="3"/>
  <c r="CX131" i="3"/>
  <c r="CX23" i="4"/>
  <c r="CX44" i="4"/>
  <c r="CX3" i="4"/>
  <c r="CX50" i="3"/>
  <c r="CX48" i="4"/>
  <c r="CX3" i="3"/>
  <c r="CX92" i="3"/>
  <c r="CX70" i="3"/>
  <c r="CX93" i="2"/>
  <c r="CX3" i="2"/>
  <c r="CX76" i="2"/>
  <c r="CX47" i="2"/>
  <c r="CX106" i="2"/>
  <c r="CX31" i="4"/>
  <c r="CX58" i="2"/>
  <c r="CX142" i="3"/>
  <c r="CP23" i="4"/>
  <c r="CP44" i="4"/>
  <c r="CP3" i="4"/>
  <c r="CP142" i="3"/>
  <c r="CP70" i="3"/>
  <c r="CP48" i="4"/>
  <c r="CP31" i="4"/>
  <c r="CP93" i="2"/>
  <c r="CP92" i="3"/>
  <c r="CP131" i="3"/>
  <c r="CP3" i="3"/>
  <c r="CP58" i="2"/>
  <c r="CP76" i="2"/>
  <c r="CP50" i="3"/>
  <c r="CP47" i="2"/>
  <c r="CP106" i="2"/>
  <c r="CP3" i="2"/>
  <c r="CS48" i="4"/>
  <c r="CS31" i="4"/>
  <c r="CS92" i="3"/>
  <c r="CS93" i="2"/>
  <c r="CS23" i="4"/>
  <c r="CS70" i="3"/>
  <c r="CS142" i="3"/>
  <c r="CS106" i="2"/>
  <c r="CS50" i="3"/>
  <c r="CS131" i="3"/>
  <c r="CS3" i="3"/>
  <c r="CS58" i="2"/>
  <c r="CS44" i="4"/>
  <c r="CS76" i="2"/>
  <c r="CS3" i="4"/>
  <c r="CS47" i="2"/>
  <c r="CS3" i="2"/>
  <c r="CM131" i="3"/>
  <c r="CM23" i="4"/>
  <c r="CM44" i="4"/>
  <c r="CM3" i="4"/>
  <c r="CM142" i="3"/>
  <c r="CM70" i="3"/>
  <c r="CM92" i="3"/>
  <c r="CM3" i="3"/>
  <c r="CM31" i="4"/>
  <c r="CM3" i="2"/>
  <c r="CM76" i="2"/>
  <c r="F20" i="9" s="1"/>
  <c r="CM47" i="2"/>
  <c r="CM48" i="4"/>
  <c r="CM106" i="2"/>
  <c r="CM93" i="2"/>
  <c r="CM50" i="3"/>
  <c r="F29" i="9" s="1"/>
  <c r="CM58" i="2"/>
  <c r="F2" i="9" s="1"/>
  <c r="CZ44" i="3"/>
  <c r="CZ49" i="2" s="1"/>
  <c r="CX58" i="3"/>
  <c r="CY31" i="3"/>
  <c r="CL60" i="3"/>
  <c r="CM60" i="3" s="1"/>
  <c r="CM61" i="3" s="1"/>
  <c r="CK32" i="3"/>
  <c r="CR13" i="3"/>
  <c r="CX116" i="3"/>
  <c r="CU104" i="2"/>
  <c r="CT103" i="2"/>
  <c r="CX106" i="3"/>
  <c r="CU46" i="4"/>
  <c r="CU45" i="4" s="1"/>
  <c r="CT105" i="3"/>
  <c r="CX129" i="3"/>
  <c r="CU108" i="3"/>
  <c r="CS13" i="3"/>
  <c r="CT7" i="4"/>
  <c r="CU97" i="3"/>
  <c r="CV100" i="3"/>
  <c r="CV127" i="3"/>
  <c r="CX101" i="2"/>
  <c r="CV100" i="2"/>
  <c r="DB6" i="4" l="1"/>
  <c r="CK99" i="2"/>
  <c r="CZ29" i="2"/>
  <c r="CZ28" i="2" s="1"/>
  <c r="DA3" i="1"/>
  <c r="DA3" i="4" s="1"/>
  <c r="CV31" i="4"/>
  <c r="CV92" i="3"/>
  <c r="CV131" i="3"/>
  <c r="CV142" i="3"/>
  <c r="CV106" i="2"/>
  <c r="CV50" i="3"/>
  <c r="CV3" i="4"/>
  <c r="CV48" i="4"/>
  <c r="CV3" i="3"/>
  <c r="CV44" i="4"/>
  <c r="CV23" i="4"/>
  <c r="CV70" i="3"/>
  <c r="CV93" i="2"/>
  <c r="CV3" i="2"/>
  <c r="CV76" i="2"/>
  <c r="CV47" i="2"/>
  <c r="CV58" i="2"/>
  <c r="DA131" i="3"/>
  <c r="DA23" i="4"/>
  <c r="CR142" i="3"/>
  <c r="CR70" i="3"/>
  <c r="CR48" i="4"/>
  <c r="CR31" i="4"/>
  <c r="CR92" i="3"/>
  <c r="CR44" i="4"/>
  <c r="CR93" i="2"/>
  <c r="CR23" i="4"/>
  <c r="CR106" i="2"/>
  <c r="CR131" i="3"/>
  <c r="CR3" i="3"/>
  <c r="CR58" i="2"/>
  <c r="CR50" i="3"/>
  <c r="CR3" i="4"/>
  <c r="CR3" i="2"/>
  <c r="CR47" i="2"/>
  <c r="CR76" i="2"/>
  <c r="CU31" i="4"/>
  <c r="CU92" i="3"/>
  <c r="CU70" i="3"/>
  <c r="CU142" i="3"/>
  <c r="CU106" i="2"/>
  <c r="CU50" i="3"/>
  <c r="CU3" i="4"/>
  <c r="CU131" i="3"/>
  <c r="CU48" i="4"/>
  <c r="CU58" i="2"/>
  <c r="CU44" i="4"/>
  <c r="CU23" i="4"/>
  <c r="CU93" i="2"/>
  <c r="CU3" i="2"/>
  <c r="CU76" i="2"/>
  <c r="CU47" i="2"/>
  <c r="CU3" i="3"/>
  <c r="CZ131" i="3"/>
  <c r="CZ23" i="4"/>
  <c r="CZ44" i="4"/>
  <c r="CZ3" i="4"/>
  <c r="CZ142" i="3"/>
  <c r="CZ70" i="3"/>
  <c r="CZ48" i="4"/>
  <c r="CZ3" i="3"/>
  <c r="CZ93" i="2"/>
  <c r="CZ76" i="2"/>
  <c r="CZ47" i="2"/>
  <c r="CZ50" i="3"/>
  <c r="CZ106" i="2"/>
  <c r="CZ31" i="4"/>
  <c r="CZ58" i="2"/>
  <c r="CZ3" i="2"/>
  <c r="CZ92" i="3"/>
  <c r="CY58" i="3"/>
  <c r="CZ31" i="3"/>
  <c r="DA44" i="3"/>
  <c r="DA49" i="2" s="1"/>
  <c r="CL59" i="3"/>
  <c r="CL32" i="3" s="1"/>
  <c r="CM32" i="3" s="1"/>
  <c r="CX100" i="3"/>
  <c r="CY129" i="3"/>
  <c r="CY101" i="2"/>
  <c r="CX100" i="2"/>
  <c r="CV97" i="3"/>
  <c r="CU103" i="2"/>
  <c r="CV104" i="2"/>
  <c r="CV108" i="3"/>
  <c r="CY116" i="3"/>
  <c r="CU7" i="4"/>
  <c r="CT13" i="3"/>
  <c r="CX127" i="3"/>
  <c r="CV46" i="4"/>
  <c r="CV45" i="4" s="1"/>
  <c r="CU105" i="3"/>
  <c r="CY106" i="3"/>
  <c r="DA44" i="4" l="1"/>
  <c r="DA3" i="2"/>
  <c r="DA76" i="2"/>
  <c r="DA142" i="3"/>
  <c r="CM59" i="3"/>
  <c r="CL99" i="2"/>
  <c r="DA29" i="2"/>
  <c r="DA28" i="2" s="1"/>
  <c r="DA47" i="2"/>
  <c r="DA31" i="4"/>
  <c r="DA106" i="2"/>
  <c r="DB3" i="1"/>
  <c r="DA50" i="3"/>
  <c r="DA92" i="3"/>
  <c r="DA3" i="3"/>
  <c r="DA48" i="4"/>
  <c r="DA93" i="2"/>
  <c r="DA70" i="3"/>
  <c r="DA58" i="2"/>
  <c r="CW131" i="3"/>
  <c r="CW23" i="4"/>
  <c r="CW31" i="4"/>
  <c r="CW106" i="2"/>
  <c r="CW50" i="3"/>
  <c r="CW3" i="4"/>
  <c r="CW48" i="4"/>
  <c r="CW3" i="3"/>
  <c r="CW44" i="4"/>
  <c r="CW92" i="3"/>
  <c r="CW70" i="3"/>
  <c r="CW93" i="2"/>
  <c r="CW3" i="2"/>
  <c r="CW76" i="2"/>
  <c r="CW47" i="2"/>
  <c r="CW58" i="2"/>
  <c r="CW142" i="3"/>
  <c r="DB44" i="3"/>
  <c r="CZ58" i="3"/>
  <c r="DA31" i="3"/>
  <c r="CV7" i="4"/>
  <c r="CW7" i="4" s="1"/>
  <c r="CW8" i="4" s="1"/>
  <c r="CZ106" i="3"/>
  <c r="CZ116" i="3"/>
  <c r="CZ101" i="2"/>
  <c r="CY100" i="2"/>
  <c r="CW97" i="3"/>
  <c r="CZ129" i="3"/>
  <c r="CU13" i="3"/>
  <c r="CX46" i="4"/>
  <c r="CX45" i="4" s="1"/>
  <c r="CW45" i="4"/>
  <c r="CV105" i="3"/>
  <c r="CX108" i="3"/>
  <c r="CX104" i="2"/>
  <c r="CV103" i="2"/>
  <c r="CY127" i="3"/>
  <c r="CY100" i="3"/>
  <c r="DB106" i="2" l="1"/>
  <c r="B10" i="6"/>
  <c r="B8" i="6" s="1"/>
  <c r="CW46" i="4"/>
  <c r="DB93" i="2"/>
  <c r="CN60" i="3"/>
  <c r="CN59" i="3" s="1"/>
  <c r="CN32" i="3" s="1"/>
  <c r="F34" i="9"/>
  <c r="DB92" i="3"/>
  <c r="DB131" i="3"/>
  <c r="DB48" i="4"/>
  <c r="DB3" i="4"/>
  <c r="DB70" i="3"/>
  <c r="DB47" i="2"/>
  <c r="DB142" i="3"/>
  <c r="DB3" i="3"/>
  <c r="DB3" i="2"/>
  <c r="DB76" i="2"/>
  <c r="DB50" i="3"/>
  <c r="DB28" i="2"/>
  <c r="DB29" i="2" s="1"/>
  <c r="DB58" i="2"/>
  <c r="DB44" i="4"/>
  <c r="DB31" i="4"/>
  <c r="DB23" i="4"/>
  <c r="DA58" i="3"/>
  <c r="DB31" i="3"/>
  <c r="DB58" i="3" s="1"/>
  <c r="CX97" i="3"/>
  <c r="DA116" i="3"/>
  <c r="CZ127" i="3"/>
  <c r="DA106" i="3"/>
  <c r="CY46" i="4"/>
  <c r="CY45" i="4" s="1"/>
  <c r="CX105" i="3"/>
  <c r="CZ100" i="3"/>
  <c r="CW105" i="3"/>
  <c r="CW106" i="3" s="1"/>
  <c r="CV13" i="3"/>
  <c r="CY104" i="2"/>
  <c r="CX103" i="2"/>
  <c r="DA129" i="3"/>
  <c r="CZ100" i="2"/>
  <c r="DA101" i="2"/>
  <c r="DA100" i="2" s="1"/>
  <c r="CX7" i="4"/>
  <c r="CY108" i="3"/>
  <c r="B11" i="6" l="1"/>
  <c r="B15" i="6" s="1"/>
  <c r="L2" i="12" s="1"/>
  <c r="K2" i="12"/>
  <c r="CO60" i="3"/>
  <c r="CO59" i="3" s="1"/>
  <c r="CP60" i="3" s="1"/>
  <c r="CP59" i="3" s="1"/>
  <c r="CN99" i="2"/>
  <c r="CO32" i="3"/>
  <c r="CZ46" i="4"/>
  <c r="CZ45" i="4" s="1"/>
  <c r="CY105" i="3"/>
  <c r="CY97" i="3"/>
  <c r="CX13" i="3"/>
  <c r="CZ108" i="3"/>
  <c r="CW13" i="3"/>
  <c r="DA100" i="3"/>
  <c r="CY7" i="4"/>
  <c r="CY103" i="2"/>
  <c r="CZ104" i="2"/>
  <c r="DA127" i="3"/>
  <c r="C78" i="6" l="1"/>
  <c r="D78" i="6" s="1"/>
  <c r="E78" i="6" s="1"/>
  <c r="F78" i="6" s="1"/>
  <c r="G78" i="6" s="1"/>
  <c r="C39" i="6"/>
  <c r="D39" i="6" s="1"/>
  <c r="E39" i="6" s="1"/>
  <c r="F39" i="6" s="1"/>
  <c r="G39" i="6" s="1"/>
  <c r="H39" i="6" s="1"/>
  <c r="I39" i="6" s="1"/>
  <c r="J39" i="6" s="1"/>
  <c r="K39" i="6" s="1"/>
  <c r="L39" i="6" s="1"/>
  <c r="M39" i="6" s="1"/>
  <c r="N39" i="6" s="1"/>
  <c r="CO99" i="2"/>
  <c r="CP32" i="3"/>
  <c r="CQ60" i="3"/>
  <c r="CR60" i="3" s="1"/>
  <c r="CR61" i="3" s="1"/>
  <c r="CY13" i="3"/>
  <c r="DA46" i="4"/>
  <c r="DA45" i="4" s="1"/>
  <c r="CZ105" i="3"/>
  <c r="CZ7" i="4"/>
  <c r="DA108" i="3"/>
  <c r="CZ97" i="3"/>
  <c r="DA104" i="2"/>
  <c r="DA103" i="2" s="1"/>
  <c r="CZ103" i="2"/>
  <c r="CQ59" i="3" l="1"/>
  <c r="CQ32" i="3" s="1"/>
  <c r="CR32" i="3" s="1"/>
  <c r="CR59" i="3" s="1"/>
  <c r="CP99" i="2"/>
  <c r="DA97" i="3"/>
  <c r="DA7" i="4"/>
  <c r="DB7" i="4" s="1"/>
  <c r="DB8" i="4" s="1"/>
  <c r="DB45" i="4"/>
  <c r="DA105" i="3"/>
  <c r="CZ13" i="3"/>
  <c r="DB46" i="4" l="1"/>
  <c r="CQ99" i="2"/>
  <c r="CS60" i="3"/>
  <c r="CS59" i="3" s="1"/>
  <c r="DB97" i="3"/>
  <c r="DB105" i="3"/>
  <c r="DB106" i="3" s="1"/>
  <c r="DA13" i="3"/>
  <c r="CS32" i="3" l="1"/>
  <c r="CT60" i="3"/>
  <c r="CT59" i="3" s="1"/>
  <c r="DB13" i="3"/>
  <c r="CS99" i="2" l="1"/>
  <c r="CT32" i="3"/>
  <c r="CU60" i="3"/>
  <c r="CT99" i="2" l="1"/>
  <c r="CU59" i="3"/>
  <c r="CU32" i="3" l="1"/>
  <c r="CV60" i="3"/>
  <c r="CW60" i="3" s="1"/>
  <c r="CW61" i="3" s="1"/>
  <c r="CU99" i="2" l="1"/>
  <c r="CV59" i="3"/>
  <c r="CV32" i="3" s="1"/>
  <c r="CW32" i="3" s="1"/>
  <c r="CV99" i="2" l="1"/>
  <c r="CW59" i="3"/>
  <c r="CX60" i="3" l="1"/>
  <c r="CX59" i="3" s="1"/>
  <c r="CY60" i="3" s="1"/>
  <c r="CY59" i="3" s="1"/>
  <c r="CX32" i="3" l="1"/>
  <c r="CX99" i="2"/>
  <c r="CZ60" i="3"/>
  <c r="CZ59" i="3" s="1"/>
  <c r="CY32" i="3"/>
  <c r="CY99" i="2" s="1"/>
  <c r="DA60" i="3" l="1"/>
  <c r="DB60" i="3" s="1"/>
  <c r="DB61" i="3" s="1"/>
  <c r="CZ32" i="3"/>
  <c r="DA59" i="3" l="1"/>
  <c r="DA32" i="3" s="1"/>
  <c r="DB32" i="3" s="1"/>
  <c r="DB59" i="3" s="1"/>
  <c r="CZ99" i="2"/>
  <c r="DA99" i="2" l="1"/>
  <c r="AU10" i="2" l="1"/>
  <c r="AV10" i="2"/>
  <c r="AX10" i="2"/>
  <c r="AX16" i="2" s="1"/>
  <c r="AX78" i="2" s="1"/>
  <c r="AX88" i="2" s="1"/>
  <c r="AY11" i="2"/>
  <c r="AY60" i="2" s="1"/>
  <c r="AY61" i="2" s="1"/>
  <c r="AU12" i="2"/>
  <c r="AU113" i="2" s="1"/>
  <c r="AU114" i="2" s="1"/>
  <c r="AU116" i="2" s="1"/>
  <c r="AU118" i="2" s="1"/>
  <c r="AV12" i="2"/>
  <c r="AV113" i="2" s="1"/>
  <c r="AV114" i="2" s="1"/>
  <c r="AV116" i="2" s="1"/>
  <c r="AW12" i="2"/>
  <c r="AW113" i="2" s="1"/>
  <c r="AW114" i="2" s="1"/>
  <c r="AW116" i="2" s="1"/>
  <c r="AW118" i="2" s="1"/>
  <c r="AX12" i="2"/>
  <c r="AX113" i="2" s="1"/>
  <c r="AX115" i="2" s="1"/>
  <c r="AY115" i="2" s="1"/>
  <c r="AY117" i="2" s="1"/>
  <c r="AY12" i="2"/>
  <c r="AV16" i="2"/>
  <c r="AW16" i="2"/>
  <c r="AW35" i="2" s="1"/>
  <c r="AW37" i="2" s="1"/>
  <c r="AU60" i="2"/>
  <c r="AU61" i="2" s="1"/>
  <c r="AU63" i="2" s="1"/>
  <c r="AV60" i="2"/>
  <c r="AV61" i="2" s="1"/>
  <c r="AW60" i="2"/>
  <c r="AW61" i="2" s="1"/>
  <c r="AX60" i="2"/>
  <c r="AX61" i="2" s="1"/>
  <c r="AU79" i="2"/>
  <c r="AV79" i="2"/>
  <c r="AW79" i="2"/>
  <c r="AX79" i="2"/>
  <c r="AY79" i="2"/>
  <c r="AW78" i="2" l="1"/>
  <c r="AW88" i="2" s="1"/>
  <c r="AW70" i="2"/>
  <c r="AW42" i="2"/>
  <c r="AU65" i="2"/>
  <c r="AU68" i="3" s="1"/>
  <c r="AU82" i="2"/>
  <c r="AX86" i="2"/>
  <c r="AX63" i="2"/>
  <c r="AX77" i="2"/>
  <c r="AX87" i="2" s="1"/>
  <c r="AW77" i="2"/>
  <c r="AW87" i="2" s="1"/>
  <c r="AW63" i="2"/>
  <c r="AW133" i="3" s="1"/>
  <c r="AW86" i="2"/>
  <c r="AV77" i="2"/>
  <c r="AV87" i="2" s="1"/>
  <c r="AV63" i="2"/>
  <c r="AV86" i="2"/>
  <c r="AU77" i="2"/>
  <c r="AU87" i="2" s="1"/>
  <c r="AX35" i="2"/>
  <c r="AX37" i="2" s="1"/>
  <c r="AU86" i="2"/>
  <c r="AX117" i="2"/>
  <c r="AU115" i="2"/>
  <c r="AU117" i="2" s="1"/>
  <c r="AV115" i="2"/>
  <c r="AV117" i="2" s="1"/>
  <c r="AW115" i="2"/>
  <c r="AW117" i="2" s="1"/>
  <c r="AU89" i="2"/>
  <c r="AU133" i="3"/>
  <c r="AV118" i="2"/>
  <c r="AV35" i="2"/>
  <c r="AV37" i="2" s="1"/>
  <c r="AV78" i="2"/>
  <c r="AV88" i="2" s="1"/>
  <c r="AV102" i="3"/>
  <c r="AW102" i="3"/>
  <c r="AU16" i="2"/>
  <c r="AU102" i="3"/>
  <c r="AY10" i="2"/>
  <c r="AY102" i="3" s="1"/>
  <c r="AX102" i="3"/>
  <c r="AY77" i="2"/>
  <c r="AY63" i="2"/>
  <c r="AY86" i="2"/>
  <c r="AY113" i="2"/>
  <c r="AX114" i="2"/>
  <c r="AX116" i="2" s="1"/>
  <c r="AX118" i="2" s="1"/>
  <c r="AY87" i="2" l="1"/>
  <c r="AY116" i="2"/>
  <c r="AY118" i="2" s="1"/>
  <c r="AW65" i="2"/>
  <c r="AV65" i="2"/>
  <c r="AV82" i="2"/>
  <c r="AX133" i="3"/>
  <c r="AX82" i="2"/>
  <c r="AX65" i="2"/>
  <c r="AX70" i="2"/>
  <c r="AX42" i="2"/>
  <c r="AU81" i="2"/>
  <c r="AW45" i="2"/>
  <c r="AW44" i="2"/>
  <c r="AW82" i="2"/>
  <c r="AV133" i="3"/>
  <c r="AW68" i="3"/>
  <c r="AW89" i="2"/>
  <c r="AW81" i="2"/>
  <c r="AV118" i="3"/>
  <c r="AV119" i="3" s="1"/>
  <c r="AV103" i="3"/>
  <c r="AX118" i="3"/>
  <c r="AX119" i="3" s="1"/>
  <c r="AX103" i="3"/>
  <c r="AW118" i="3"/>
  <c r="AW119" i="3" s="1"/>
  <c r="AW103" i="3"/>
  <c r="AY133" i="3"/>
  <c r="AY82" i="2"/>
  <c r="AY65" i="2"/>
  <c r="AV42" i="2"/>
  <c r="AV70" i="2"/>
  <c r="AY118" i="3"/>
  <c r="AY119" i="3" s="1"/>
  <c r="AY103" i="3"/>
  <c r="AU103" i="3"/>
  <c r="AU118" i="3"/>
  <c r="AU119" i="3" s="1"/>
  <c r="AY16" i="2"/>
  <c r="AY78" i="2" s="1"/>
  <c r="AU78" i="2"/>
  <c r="AU88" i="2" s="1"/>
  <c r="AU35" i="2"/>
  <c r="AY114" i="2"/>
  <c r="AY88" i="2" l="1"/>
  <c r="AX45" i="2"/>
  <c r="AX44" i="2"/>
  <c r="AX68" i="3"/>
  <c r="AX89" i="2"/>
  <c r="AX81" i="2"/>
  <c r="AV68" i="3"/>
  <c r="AV81" i="2"/>
  <c r="AV89" i="2"/>
  <c r="AW151" i="3"/>
  <c r="AW77" i="3"/>
  <c r="AW56" i="2"/>
  <c r="AW73" i="2"/>
  <c r="AY68" i="3"/>
  <c r="AY81" i="2"/>
  <c r="AY89" i="2"/>
  <c r="AY35" i="2"/>
  <c r="AU37" i="2"/>
  <c r="AV45" i="2"/>
  <c r="AV44" i="2"/>
  <c r="AW84" i="3" l="1"/>
  <c r="AW85" i="3" s="1"/>
  <c r="AW80" i="3"/>
  <c r="AW90" i="2"/>
  <c r="AW51" i="2"/>
  <c r="AW74" i="2"/>
  <c r="AX73" i="2"/>
  <c r="AX151" i="3"/>
  <c r="AX56" i="2"/>
  <c r="AX77" i="3"/>
  <c r="AV77" i="3"/>
  <c r="AV84" i="3" s="1"/>
  <c r="AV73" i="2"/>
  <c r="AV151" i="3"/>
  <c r="AV56" i="2"/>
  <c r="AY37" i="2"/>
  <c r="AY70" i="2" s="1"/>
  <c r="AU42" i="2"/>
  <c r="AU70" i="2"/>
  <c r="AW86" i="3" l="1"/>
  <c r="AX84" i="3"/>
  <c r="AX85" i="3" s="1"/>
  <c r="AX80" i="3"/>
  <c r="AX90" i="2"/>
  <c r="AX74" i="2"/>
  <c r="AX51" i="2"/>
  <c r="AW52" i="2"/>
  <c r="AW136" i="3" s="1"/>
  <c r="AW137" i="3" s="1"/>
  <c r="AW83" i="2"/>
  <c r="AY42" i="2"/>
  <c r="AY44" i="2" s="1"/>
  <c r="AU45" i="2"/>
  <c r="AU44" i="2"/>
  <c r="AV90" i="2"/>
  <c r="AV74" i="2"/>
  <c r="AV51" i="2"/>
  <c r="AV80" i="3"/>
  <c r="AV85" i="3"/>
  <c r="AW88" i="3" l="1"/>
  <c r="AW89" i="3"/>
  <c r="AW90" i="3"/>
  <c r="AX83" i="2"/>
  <c r="AX52" i="2"/>
  <c r="AX136" i="3" s="1"/>
  <c r="AX137" i="3" s="1"/>
  <c r="AW91" i="2"/>
  <c r="AW138" i="3"/>
  <c r="AW141" i="3" s="1"/>
  <c r="AX86" i="3"/>
  <c r="AV86" i="3"/>
  <c r="AV52" i="2"/>
  <c r="AV136" i="3" s="1"/>
  <c r="AV137" i="3" s="1"/>
  <c r="AV83" i="2"/>
  <c r="AU77" i="3"/>
  <c r="AU84" i="3" s="1"/>
  <c r="AU151" i="3"/>
  <c r="AY151" i="3" s="1"/>
  <c r="AY152" i="3" s="1"/>
  <c r="AY45" i="2"/>
  <c r="AU56" i="2"/>
  <c r="AU73" i="2"/>
  <c r="AX90" i="3" l="1"/>
  <c r="AX88" i="3"/>
  <c r="AX89" i="3"/>
  <c r="AX91" i="2"/>
  <c r="AX138" i="3"/>
  <c r="AX141" i="3" s="1"/>
  <c r="AY77" i="3"/>
  <c r="AY84" i="3" s="1"/>
  <c r="AY56" i="2"/>
  <c r="AY73" i="2"/>
  <c r="AU74" i="2"/>
  <c r="AU90" i="2"/>
  <c r="AU51" i="2"/>
  <c r="AU80" i="3"/>
  <c r="AU85" i="3"/>
  <c r="AV138" i="3"/>
  <c r="AV141" i="3" s="1"/>
  <c r="AV91" i="2"/>
  <c r="AV90" i="3"/>
  <c r="AV88" i="3"/>
  <c r="AV89" i="3"/>
  <c r="AU86" i="3" l="1"/>
  <c r="AU83" i="2"/>
  <c r="AU52" i="2"/>
  <c r="AU136" i="3" s="1"/>
  <c r="AU137" i="3" s="1"/>
  <c r="AY74" i="2"/>
  <c r="AY51" i="2"/>
  <c r="AY90" i="2"/>
  <c r="AY85" i="3"/>
  <c r="AY80" i="3"/>
  <c r="AY86" i="3" l="1"/>
  <c r="AY90" i="3" s="1"/>
  <c r="AY83" i="2"/>
  <c r="AY52" i="2"/>
  <c r="AU138" i="3"/>
  <c r="AU141" i="3" s="1"/>
  <c r="AU91" i="2"/>
  <c r="AU88" i="3"/>
  <c r="AU89" i="3"/>
  <c r="AU90" i="3"/>
  <c r="AY136" i="3" l="1"/>
  <c r="AY137" i="3" s="1"/>
  <c r="AY89" i="3"/>
  <c r="AY138" i="3"/>
  <c r="AY141" i="3" s="1"/>
  <c r="AY91" i="2"/>
  <c r="AZ10" i="2"/>
  <c r="BA10" i="2"/>
  <c r="BB10" i="2"/>
  <c r="BB102" i="3" s="1"/>
  <c r="BC10" i="2"/>
  <c r="BC16" i="2" s="1"/>
  <c r="BD11" i="2"/>
  <c r="BD79" i="2" s="1"/>
  <c r="AZ12" i="2"/>
  <c r="AZ113" i="2" s="1"/>
  <c r="AZ115" i="2" s="1"/>
  <c r="AZ117" i="2" s="1"/>
  <c r="BA12" i="2"/>
  <c r="BA113" i="2" s="1"/>
  <c r="BA115" i="2" s="1"/>
  <c r="BA117" i="2" s="1"/>
  <c r="BB12" i="2"/>
  <c r="BB113" i="2" s="1"/>
  <c r="BB115" i="2" s="1"/>
  <c r="BB117" i="2" s="1"/>
  <c r="BC12" i="2"/>
  <c r="BC113" i="2" s="1"/>
  <c r="BC114" i="2" s="1"/>
  <c r="BC116" i="2" s="1"/>
  <c r="BC118" i="2" s="1"/>
  <c r="AZ60" i="2"/>
  <c r="AZ61" i="2" s="1"/>
  <c r="BA60" i="2"/>
  <c r="BA61" i="2" s="1"/>
  <c r="BB60" i="2"/>
  <c r="BB61" i="2" s="1"/>
  <c r="BC60" i="2"/>
  <c r="BC61" i="2" s="1"/>
  <c r="AZ79" i="2"/>
  <c r="BA79" i="2"/>
  <c r="BB79" i="2"/>
  <c r="BC79" i="2"/>
  <c r="BA102" i="3" l="1"/>
  <c r="BC63" i="2"/>
  <c r="BC82" i="2" s="1"/>
  <c r="BC86" i="2"/>
  <c r="BD10" i="2"/>
  <c r="BD102" i="3" s="1"/>
  <c r="BA103" i="3"/>
  <c r="BA118" i="3"/>
  <c r="BA119" i="3" s="1"/>
  <c r="BB63" i="2"/>
  <c r="BB133" i="3" s="1"/>
  <c r="BB86" i="2"/>
  <c r="BB77" i="2"/>
  <c r="BB87" i="2" s="1"/>
  <c r="BA63" i="2"/>
  <c r="BA86" i="2"/>
  <c r="BA77" i="2"/>
  <c r="BA87" i="2" s="1"/>
  <c r="BF86" i="2"/>
  <c r="AZ63" i="2"/>
  <c r="AZ65" i="2" s="1"/>
  <c r="AZ81" i="2" s="1"/>
  <c r="AZ86" i="2"/>
  <c r="AZ77" i="2"/>
  <c r="AZ87" i="2" s="1"/>
  <c r="BA16" i="2"/>
  <c r="BA35" i="2" s="1"/>
  <c r="BA37" i="2" s="1"/>
  <c r="AZ102" i="3"/>
  <c r="BB16" i="2"/>
  <c r="BB35" i="2" s="1"/>
  <c r="BB37" i="2" s="1"/>
  <c r="AZ16" i="2"/>
  <c r="AZ78" i="2" s="1"/>
  <c r="AZ88" i="2" s="1"/>
  <c r="BD113" i="2"/>
  <c r="BC115" i="2"/>
  <c r="BD115" i="2" s="1"/>
  <c r="BD117" i="2" s="1"/>
  <c r="BA114" i="2"/>
  <c r="BA116" i="2" s="1"/>
  <c r="BA118" i="2" s="1"/>
  <c r="AZ114" i="2"/>
  <c r="AZ116" i="2" s="1"/>
  <c r="AZ118" i="2" s="1"/>
  <c r="BC35" i="2"/>
  <c r="BC37" i="2" s="1"/>
  <c r="BC78" i="2"/>
  <c r="BC88" i="2" s="1"/>
  <c r="BB114" i="2"/>
  <c r="BB116" i="2" s="1"/>
  <c r="BB118" i="2" s="1"/>
  <c r="BC65" i="2"/>
  <c r="BC133" i="3"/>
  <c r="BC77" i="2"/>
  <c r="BC87" i="2" s="1"/>
  <c r="BB118" i="3"/>
  <c r="BB119" i="3" s="1"/>
  <c r="BB103" i="3"/>
  <c r="BD60" i="2"/>
  <c r="BD61" i="2" s="1"/>
  <c r="BD12" i="2"/>
  <c r="BC102" i="3"/>
  <c r="AZ68" i="3" l="1"/>
  <c r="BB82" i="2"/>
  <c r="AZ35" i="2"/>
  <c r="BA78" i="2"/>
  <c r="BB65" i="2"/>
  <c r="BB89" i="2" s="1"/>
  <c r="BB68" i="3"/>
  <c r="BF87" i="2"/>
  <c r="BA133" i="3"/>
  <c r="BA82" i="2"/>
  <c r="BA65" i="2"/>
  <c r="BC117" i="2"/>
  <c r="AZ82" i="2"/>
  <c r="AZ103" i="3"/>
  <c r="AZ118" i="3"/>
  <c r="AZ119" i="3" s="1"/>
  <c r="AZ133" i="3"/>
  <c r="BB78" i="2"/>
  <c r="BB88" i="2" s="1"/>
  <c r="AZ89" i="2"/>
  <c r="BD16" i="2"/>
  <c r="BD78" i="2" s="1"/>
  <c r="BC68" i="3"/>
  <c r="BC81" i="2"/>
  <c r="BC89" i="2"/>
  <c r="BD118" i="3"/>
  <c r="BD119" i="3" s="1"/>
  <c r="BD103" i="3"/>
  <c r="BD77" i="2"/>
  <c r="BD63" i="2"/>
  <c r="BD86" i="2"/>
  <c r="BC118" i="3"/>
  <c r="BC119" i="3" s="1"/>
  <c r="BC103" i="3"/>
  <c r="BA88" i="2"/>
  <c r="BF88" i="2"/>
  <c r="BB42" i="2"/>
  <c r="BB70" i="2"/>
  <c r="AZ37" i="2"/>
  <c r="BD35" i="2"/>
  <c r="BC42" i="2"/>
  <c r="BC70" i="2"/>
  <c r="BD114" i="2"/>
  <c r="BA42" i="2"/>
  <c r="BA70" i="2"/>
  <c r="BD116" i="2"/>
  <c r="BD118" i="2" s="1"/>
  <c r="BD87" i="2" l="1"/>
  <c r="BD88" i="2"/>
  <c r="BB81" i="2"/>
  <c r="BF89" i="2"/>
  <c r="BA89" i="2"/>
  <c r="BA81" i="2"/>
  <c r="BA68" i="3"/>
  <c r="BA44" i="2"/>
  <c r="BA45" i="2"/>
  <c r="BD65" i="2"/>
  <c r="BD133" i="3"/>
  <c r="BD82" i="2"/>
  <c r="BC45" i="2"/>
  <c r="BC44" i="2"/>
  <c r="AZ42" i="2"/>
  <c r="BD37" i="2"/>
  <c r="BD70" i="2" s="1"/>
  <c r="AZ70" i="2"/>
  <c r="BB44" i="2"/>
  <c r="BB45" i="2"/>
  <c r="BB77" i="3" l="1"/>
  <c r="BB84" i="3" s="1"/>
  <c r="BB151" i="3"/>
  <c r="BB56" i="2"/>
  <c r="BB73" i="2"/>
  <c r="AZ44" i="2"/>
  <c r="BD42" i="2"/>
  <c r="BD44" i="2" s="1"/>
  <c r="AZ45" i="2"/>
  <c r="BC77" i="3"/>
  <c r="BC84" i="3" s="1"/>
  <c r="BC151" i="3"/>
  <c r="BC56" i="2"/>
  <c r="BC73" i="2"/>
  <c r="BD68" i="3"/>
  <c r="BD81" i="2"/>
  <c r="BD89" i="2"/>
  <c r="BA77" i="3"/>
  <c r="BA84" i="3" s="1"/>
  <c r="BA151" i="3"/>
  <c r="BA56" i="2"/>
  <c r="BA73" i="2"/>
  <c r="BC90" i="2" l="1"/>
  <c r="BC74" i="2"/>
  <c r="BC51" i="2"/>
  <c r="BC80" i="3"/>
  <c r="BC85" i="3"/>
  <c r="AZ77" i="3"/>
  <c r="AZ84" i="3" s="1"/>
  <c r="BD45" i="2"/>
  <c r="AZ151" i="3"/>
  <c r="BD151" i="3" s="1"/>
  <c r="BD152" i="3" s="1"/>
  <c r="AZ73" i="2"/>
  <c r="AZ56" i="2"/>
  <c r="BA51" i="2"/>
  <c r="BA90" i="2"/>
  <c r="BA74" i="2"/>
  <c r="BF90" i="2"/>
  <c r="BB51" i="2"/>
  <c r="BB74" i="2"/>
  <c r="BB90" i="2"/>
  <c r="BA80" i="3"/>
  <c r="BA85" i="3"/>
  <c r="BB80" i="3"/>
  <c r="BB85" i="3"/>
  <c r="BA86" i="3" l="1"/>
  <c r="BA89" i="3" s="1"/>
  <c r="BB86" i="3"/>
  <c r="BB52" i="2"/>
  <c r="BB136" i="3" s="1"/>
  <c r="BB137" i="3" s="1"/>
  <c r="BB83" i="2"/>
  <c r="AZ51" i="2"/>
  <c r="AZ90" i="2"/>
  <c r="AZ74" i="2"/>
  <c r="BD77" i="3"/>
  <c r="BD84" i="3" s="1"/>
  <c r="BD56" i="2"/>
  <c r="BD73" i="2"/>
  <c r="AZ85" i="3"/>
  <c r="AZ80" i="3"/>
  <c r="BC86" i="3"/>
  <c r="BC52" i="2"/>
  <c r="BC136" i="3" s="1"/>
  <c r="BC137" i="3" s="1"/>
  <c r="BC83" i="2"/>
  <c r="BA83" i="2"/>
  <c r="BA52" i="2"/>
  <c r="BA136" i="3" s="1"/>
  <c r="BA137" i="3" s="1"/>
  <c r="BA88" i="3" l="1"/>
  <c r="AZ86" i="3"/>
  <c r="BA90" i="3"/>
  <c r="BC91" i="2"/>
  <c r="BC138" i="3"/>
  <c r="BC141" i="3" s="1"/>
  <c r="BD51" i="2"/>
  <c r="BD90" i="2"/>
  <c r="BD74" i="2"/>
  <c r="BD85" i="3"/>
  <c r="BD80" i="3"/>
  <c r="AZ52" i="2"/>
  <c r="AZ136" i="3" s="1"/>
  <c r="AZ137" i="3" s="1"/>
  <c r="AZ83" i="2"/>
  <c r="BA91" i="2"/>
  <c r="BA138" i="3"/>
  <c r="BA141" i="3" s="1"/>
  <c r="BF91" i="2"/>
  <c r="BB91" i="2"/>
  <c r="BB138" i="3"/>
  <c r="BB141" i="3" s="1"/>
  <c r="BC89" i="3"/>
  <c r="BC90" i="3"/>
  <c r="BC88" i="3"/>
  <c r="AZ88" i="3"/>
  <c r="AZ90" i="3"/>
  <c r="AZ89" i="3"/>
  <c r="BB90" i="3"/>
  <c r="BB89" i="3"/>
  <c r="BB88" i="3"/>
  <c r="AZ91" i="2" l="1"/>
  <c r="AZ138" i="3"/>
  <c r="AZ141" i="3" s="1"/>
  <c r="BD86" i="3"/>
  <c r="BD52" i="2"/>
  <c r="BD83" i="2"/>
  <c r="BD136" i="3" l="1"/>
  <c r="BD137" i="3" s="1"/>
  <c r="BD91" i="2"/>
  <c r="BD138" i="3"/>
  <c r="BD141" i="3" s="1"/>
  <c r="BD89" i="3"/>
  <c r="BD90" i="3"/>
  <c r="BE10" i="2"/>
  <c r="BG10" i="2"/>
  <c r="BG16" i="2" s="1"/>
  <c r="BH10" i="2"/>
  <c r="BH16" i="2" s="1"/>
  <c r="BI11" i="2"/>
  <c r="BI60" i="2" s="1"/>
  <c r="BI61" i="2" s="1"/>
  <c r="BE12" i="2"/>
  <c r="BE113" i="2" s="1"/>
  <c r="BE114" i="2" s="1"/>
  <c r="BG12" i="2"/>
  <c r="BG113" i="2" s="1"/>
  <c r="BG115" i="2" s="1"/>
  <c r="BG117" i="2" s="1"/>
  <c r="BH12" i="2"/>
  <c r="BH113" i="2" s="1"/>
  <c r="BE60" i="2"/>
  <c r="BE61" i="2" s="1"/>
  <c r="BG60" i="2"/>
  <c r="BG61" i="2" s="1"/>
  <c r="BG77" i="2" s="1"/>
  <c r="BG87" i="2" s="1"/>
  <c r="BH60" i="2"/>
  <c r="BH61" i="2" s="1"/>
  <c r="BE79" i="2"/>
  <c r="BG79" i="2"/>
  <c r="BH79" i="2"/>
  <c r="BI12" i="2" l="1"/>
  <c r="BI79" i="2"/>
  <c r="BH115" i="2"/>
  <c r="BI113" i="2"/>
  <c r="BH114" i="2"/>
  <c r="BH116" i="2" s="1"/>
  <c r="BH118" i="2" s="1"/>
  <c r="BE116" i="2"/>
  <c r="BE115" i="2"/>
  <c r="BE117" i="2" s="1"/>
  <c r="BG114" i="2"/>
  <c r="BG116" i="2" s="1"/>
  <c r="BG118" i="2" s="1"/>
  <c r="BH35" i="2"/>
  <c r="BH37" i="2" s="1"/>
  <c r="BH78" i="2"/>
  <c r="BH88" i="2" s="1"/>
  <c r="BG78" i="2"/>
  <c r="BG88" i="2" s="1"/>
  <c r="BG35" i="2"/>
  <c r="BG37" i="2" s="1"/>
  <c r="BH77" i="2"/>
  <c r="BH87" i="2" s="1"/>
  <c r="BH63" i="2"/>
  <c r="BH86" i="2"/>
  <c r="BE86" i="2"/>
  <c r="BE77" i="2"/>
  <c r="BE87" i="2" s="1"/>
  <c r="BE63" i="2"/>
  <c r="BI77" i="2"/>
  <c r="BI86" i="2"/>
  <c r="BE118" i="2"/>
  <c r="BI63" i="2"/>
  <c r="C9" i="12" s="1"/>
  <c r="C10" i="12" s="1"/>
  <c r="BG86" i="2"/>
  <c r="BF102" i="3"/>
  <c r="BH102" i="3"/>
  <c r="BI10" i="2"/>
  <c r="BG102" i="3"/>
  <c r="BE102" i="3"/>
  <c r="BE16" i="2"/>
  <c r="BG63" i="2"/>
  <c r="BI87" i="2" l="1"/>
  <c r="BI116" i="2"/>
  <c r="BI118" i="2" s="1"/>
  <c r="BI115" i="2"/>
  <c r="BI117" i="2" s="1"/>
  <c r="BH117" i="2"/>
  <c r="BI114" i="2"/>
  <c r="BE78" i="2"/>
  <c r="BE88" i="2" s="1"/>
  <c r="BI16" i="2"/>
  <c r="BE35" i="2"/>
  <c r="BE103" i="3"/>
  <c r="BE118" i="3"/>
  <c r="BE119" i="3" s="1"/>
  <c r="BH118" i="3"/>
  <c r="BH119" i="3" s="1"/>
  <c r="BH103" i="3"/>
  <c r="BH65" i="2"/>
  <c r="BH82" i="2"/>
  <c r="BH133" i="3"/>
  <c r="BG65" i="2"/>
  <c r="BG82" i="2"/>
  <c r="BG133" i="3"/>
  <c r="BE133" i="3"/>
  <c r="BE82" i="2"/>
  <c r="BE65" i="2"/>
  <c r="BG103" i="3"/>
  <c r="BG118" i="3"/>
  <c r="BG119" i="3" s="1"/>
  <c r="BI102" i="3"/>
  <c r="BF118" i="3"/>
  <c r="BF119" i="3" s="1"/>
  <c r="BF103" i="3"/>
  <c r="BG42" i="2"/>
  <c r="BG70" i="2"/>
  <c r="BI65" i="2"/>
  <c r="C7" i="12" s="1"/>
  <c r="C8" i="12" s="1"/>
  <c r="BI133" i="3"/>
  <c r="BI82" i="2"/>
  <c r="BH70" i="2"/>
  <c r="BH42" i="2"/>
  <c r="BI78" i="2" l="1"/>
  <c r="C22" i="12"/>
  <c r="BI88" i="2"/>
  <c r="BG45" i="2"/>
  <c r="BG44" i="2"/>
  <c r="BH45" i="2"/>
  <c r="BH44" i="2"/>
  <c r="BG68" i="3"/>
  <c r="BG81" i="2"/>
  <c r="BG89" i="2"/>
  <c r="BI103" i="3"/>
  <c r="BI118" i="3"/>
  <c r="BI119" i="3" s="1"/>
  <c r="BH81" i="2"/>
  <c r="BH68" i="3"/>
  <c r="BH89" i="2"/>
  <c r="BE89" i="2"/>
  <c r="BE81" i="2"/>
  <c r="BE68" i="3"/>
  <c r="BE37" i="2"/>
  <c r="BI35" i="2"/>
  <c r="BI81" i="2"/>
  <c r="BI68" i="3"/>
  <c r="BI89" i="2"/>
  <c r="BE70" i="2" l="1"/>
  <c r="BI37" i="2"/>
  <c r="BI70" i="2" s="1"/>
  <c r="C13" i="12" s="1"/>
  <c r="BE42" i="2"/>
  <c r="BH151" i="3"/>
  <c r="BH77" i="3"/>
  <c r="BH84" i="3" s="1"/>
  <c r="BH56" i="2"/>
  <c r="BH73" i="2"/>
  <c r="BG151" i="3"/>
  <c r="BG77" i="3"/>
  <c r="BG84" i="3" s="1"/>
  <c r="BG56" i="2"/>
  <c r="BG73" i="2"/>
  <c r="BG51" i="2" l="1"/>
  <c r="BG90" i="2"/>
  <c r="BG74" i="2"/>
  <c r="BG80" i="3"/>
  <c r="BG85" i="3"/>
  <c r="BH90" i="2"/>
  <c r="BH74" i="2"/>
  <c r="BH51" i="2"/>
  <c r="BH80" i="3"/>
  <c r="BH85" i="3"/>
  <c r="BI42" i="2"/>
  <c r="BI44" i="2" s="1"/>
  <c r="BE44" i="2"/>
  <c r="BE45" i="2"/>
  <c r="BH86" i="3" l="1"/>
  <c r="BH83" i="2"/>
  <c r="BH52" i="2"/>
  <c r="BH136" i="3" s="1"/>
  <c r="BH137" i="3" s="1"/>
  <c r="BG86" i="3"/>
  <c r="BG83" i="2"/>
  <c r="BG52" i="2"/>
  <c r="BG136" i="3" s="1"/>
  <c r="BG137" i="3" s="1"/>
  <c r="BE151" i="3"/>
  <c r="BI151" i="3" s="1"/>
  <c r="BI152" i="3" s="1"/>
  <c r="BE77" i="3"/>
  <c r="BE84" i="3" s="1"/>
  <c r="BE56" i="2"/>
  <c r="BI45" i="2"/>
  <c r="BE73" i="2"/>
  <c r="BE74" i="2" l="1"/>
  <c r="BE90" i="2"/>
  <c r="BE51" i="2"/>
  <c r="BE85" i="3"/>
  <c r="BE80" i="3"/>
  <c r="BI77" i="3"/>
  <c r="BI84" i="3" s="1"/>
  <c r="BI56" i="2"/>
  <c r="BI73" i="2"/>
  <c r="C11" i="12" s="1"/>
  <c r="BG138" i="3"/>
  <c r="BG141" i="3" s="1"/>
  <c r="BG91" i="2"/>
  <c r="BG90" i="3"/>
  <c r="BG89" i="3"/>
  <c r="BG88" i="3"/>
  <c r="BH138" i="3"/>
  <c r="BH141" i="3" s="1"/>
  <c r="BH91" i="2"/>
  <c r="BH90" i="3"/>
  <c r="BH89" i="3"/>
  <c r="BH88" i="3"/>
  <c r="BE86" i="3" l="1"/>
  <c r="BI51" i="2"/>
  <c r="BI90" i="2"/>
  <c r="BI74" i="2"/>
  <c r="C12" i="12" s="1"/>
  <c r="BI80" i="3"/>
  <c r="BI85" i="3"/>
  <c r="BE90" i="3"/>
  <c r="BE89" i="3"/>
  <c r="BE88" i="3"/>
  <c r="BE83" i="2"/>
  <c r="BE52" i="2"/>
  <c r="BE136" i="3" s="1"/>
  <c r="BE137" i="3" s="1"/>
  <c r="BE138" i="3" l="1"/>
  <c r="BE141" i="3" s="1"/>
  <c r="BE91" i="2"/>
  <c r="BI86" i="3"/>
  <c r="BI52" i="2"/>
  <c r="BI83" i="2"/>
  <c r="BI136" i="3" l="1"/>
  <c r="BI137" i="3" s="1"/>
  <c r="BI91" i="2"/>
  <c r="BI138" i="3"/>
  <c r="BI141" i="3" s="1"/>
  <c r="BI89" i="3"/>
  <c r="C18" i="12" s="1"/>
  <c r="BI90" i="3"/>
  <c r="C19" i="12" s="1"/>
  <c r="BJ10" i="2"/>
  <c r="BJ16" i="2" s="1"/>
  <c r="BL10" i="2"/>
  <c r="BM10" i="2"/>
  <c r="BM16" i="2" s="1"/>
  <c r="BM35" i="2" s="1"/>
  <c r="BM37" i="2" s="1"/>
  <c r="BN11" i="2"/>
  <c r="BN79" i="2" s="1"/>
  <c r="BJ12" i="2"/>
  <c r="BJ113" i="2" s="1"/>
  <c r="BJ114" i="2" s="1"/>
  <c r="BJ116" i="2" s="1"/>
  <c r="BL12" i="2"/>
  <c r="BL113" i="2" s="1"/>
  <c r="BL115" i="2" s="1"/>
  <c r="BL117" i="2" s="1"/>
  <c r="BM12" i="2"/>
  <c r="BM113" i="2" s="1"/>
  <c r="BN113" i="2" s="1"/>
  <c r="BJ60" i="2"/>
  <c r="BJ61" i="2" s="1"/>
  <c r="BJ77" i="2" s="1"/>
  <c r="BJ87" i="2" s="1"/>
  <c r="BL60" i="2"/>
  <c r="BL61" i="2" s="1"/>
  <c r="BL63" i="2" s="1"/>
  <c r="BM60" i="2"/>
  <c r="BM61" i="2" s="1"/>
  <c r="BJ79" i="2"/>
  <c r="BL79" i="2"/>
  <c r="BM79" i="2"/>
  <c r="BN10" i="2" l="1"/>
  <c r="BM114" i="2"/>
  <c r="BM116" i="2" s="1"/>
  <c r="BM118" i="2" s="1"/>
  <c r="BM115" i="2"/>
  <c r="BJ35" i="2"/>
  <c r="BJ37" i="2" s="1"/>
  <c r="BJ70" i="2" s="1"/>
  <c r="BJ78" i="2"/>
  <c r="BJ88" i="2" s="1"/>
  <c r="BM86" i="2"/>
  <c r="BM77" i="2"/>
  <c r="BM87" i="2" s="1"/>
  <c r="BM63" i="2"/>
  <c r="BL82" i="2"/>
  <c r="BL65" i="2"/>
  <c r="BL68" i="3" s="1"/>
  <c r="BM78" i="2"/>
  <c r="BM88" i="2" s="1"/>
  <c r="BM102" i="3"/>
  <c r="BM103" i="3" s="1"/>
  <c r="BL16" i="2"/>
  <c r="BL78" i="2" s="1"/>
  <c r="BJ102" i="3"/>
  <c r="BJ118" i="3" s="1"/>
  <c r="BJ119" i="3" s="1"/>
  <c r="BK102" i="3"/>
  <c r="BK103" i="3" s="1"/>
  <c r="BJ63" i="2"/>
  <c r="BJ82" i="2" s="1"/>
  <c r="BJ86" i="2"/>
  <c r="BM42" i="2"/>
  <c r="BM70" i="2"/>
  <c r="BJ118" i="2"/>
  <c r="BJ103" i="3"/>
  <c r="BJ115" i="2"/>
  <c r="BJ117" i="2" s="1"/>
  <c r="BQ89" i="2"/>
  <c r="BN60" i="2"/>
  <c r="BN61" i="2" s="1"/>
  <c r="BL114" i="2"/>
  <c r="BL116" i="2" s="1"/>
  <c r="BL118" i="2" s="1"/>
  <c r="BN12" i="2"/>
  <c r="BL77" i="2"/>
  <c r="BL86" i="2"/>
  <c r="BQ86" i="2"/>
  <c r="BL133" i="3"/>
  <c r="BN102" i="3"/>
  <c r="BL102" i="3"/>
  <c r="BJ42" i="2" l="1"/>
  <c r="BM117" i="2"/>
  <c r="BN115" i="2"/>
  <c r="BN117" i="2" s="1"/>
  <c r="BM118" i="3"/>
  <c r="BM119" i="3" s="1"/>
  <c r="BL35" i="2"/>
  <c r="BJ65" i="2"/>
  <c r="BJ68" i="3" s="1"/>
  <c r="BJ133" i="3"/>
  <c r="BK118" i="3"/>
  <c r="BK119" i="3" s="1"/>
  <c r="BL81" i="2"/>
  <c r="BM82" i="2"/>
  <c r="BM65" i="2"/>
  <c r="BM133" i="3"/>
  <c r="BL89" i="2"/>
  <c r="BN16" i="2"/>
  <c r="BN114" i="2"/>
  <c r="BL88" i="2"/>
  <c r="BQ88" i="2"/>
  <c r="BN35" i="2"/>
  <c r="BL37" i="2"/>
  <c r="BQ87" i="2"/>
  <c r="BL87" i="2"/>
  <c r="BJ45" i="2"/>
  <c r="BJ44" i="2"/>
  <c r="BL118" i="3"/>
  <c r="BL119" i="3" s="1"/>
  <c r="BL103" i="3"/>
  <c r="BN103" i="3"/>
  <c r="BN118" i="3"/>
  <c r="BN119" i="3" s="1"/>
  <c r="BN77" i="2"/>
  <c r="BN63" i="2"/>
  <c r="D9" i="12" s="1"/>
  <c r="D10" i="12" s="1"/>
  <c r="BN86" i="2"/>
  <c r="BN116" i="2"/>
  <c r="BN118" i="2" s="1"/>
  <c r="BM44" i="2"/>
  <c r="BM45" i="2"/>
  <c r="BN78" i="2" l="1"/>
  <c r="BN88" i="2" s="1"/>
  <c r="D22" i="12"/>
  <c r="BN87" i="2"/>
  <c r="BJ81" i="2"/>
  <c r="BJ89" i="2"/>
  <c r="BM81" i="2"/>
  <c r="BM89" i="2"/>
  <c r="BM68" i="3"/>
  <c r="BM77" i="3"/>
  <c r="BM84" i="3" s="1"/>
  <c r="BM151" i="3"/>
  <c r="BM73" i="2"/>
  <c r="BM56" i="2"/>
  <c r="BJ77" i="3"/>
  <c r="BJ84" i="3" s="1"/>
  <c r="BJ151" i="3"/>
  <c r="BJ56" i="2"/>
  <c r="BJ73" i="2"/>
  <c r="BN133" i="3"/>
  <c r="BN82" i="2"/>
  <c r="BN65" i="2"/>
  <c r="D7" i="12" s="1"/>
  <c r="D8" i="12" s="1"/>
  <c r="BL42" i="2"/>
  <c r="BL70" i="2"/>
  <c r="BN37" i="2"/>
  <c r="BN70" i="2" s="1"/>
  <c r="D13" i="12" s="1"/>
  <c r="BJ90" i="2" l="1"/>
  <c r="BJ74" i="2"/>
  <c r="BJ51" i="2"/>
  <c r="BN68" i="3"/>
  <c r="BN81" i="2"/>
  <c r="BN89" i="2"/>
  <c r="BJ85" i="3"/>
  <c r="BJ80" i="3"/>
  <c r="BM51" i="2"/>
  <c r="BM74" i="2"/>
  <c r="BM90" i="2"/>
  <c r="BL44" i="2"/>
  <c r="BL45" i="2"/>
  <c r="BN42" i="2"/>
  <c r="BN44" i="2" s="1"/>
  <c r="BM85" i="3"/>
  <c r="BM80" i="3"/>
  <c r="BM86" i="3" l="1"/>
  <c r="BM88" i="3" s="1"/>
  <c r="BM83" i="2"/>
  <c r="BM52" i="2"/>
  <c r="BM136" i="3" s="1"/>
  <c r="BM137" i="3" s="1"/>
  <c r="BJ86" i="3"/>
  <c r="BL151" i="3"/>
  <c r="BN151" i="3" s="1"/>
  <c r="BN152" i="3" s="1"/>
  <c r="BL56" i="2"/>
  <c r="BL73" i="2"/>
  <c r="BL77" i="3"/>
  <c r="BL84" i="3" s="1"/>
  <c r="BN45" i="2"/>
  <c r="BJ52" i="2"/>
  <c r="BJ136" i="3" s="1"/>
  <c r="BJ137" i="3" s="1"/>
  <c r="BJ83" i="2"/>
  <c r="BM89" i="3" l="1"/>
  <c r="BM90" i="3"/>
  <c r="BQ90" i="2"/>
  <c r="BL90" i="2"/>
  <c r="BL74" i="2"/>
  <c r="BL51" i="2"/>
  <c r="BN77" i="3"/>
  <c r="BN84" i="3" s="1"/>
  <c r="BN56" i="2"/>
  <c r="BN73" i="2"/>
  <c r="D11" i="12" s="1"/>
  <c r="BL85" i="3"/>
  <c r="BL80" i="3"/>
  <c r="BJ90" i="3"/>
  <c r="BJ89" i="3"/>
  <c r="BJ88" i="3"/>
  <c r="BJ138" i="3"/>
  <c r="BJ141" i="3" s="1"/>
  <c r="BJ91" i="2"/>
  <c r="BM138" i="3"/>
  <c r="BM141" i="3" s="1"/>
  <c r="BM91" i="2"/>
  <c r="BL86" i="3" l="1"/>
  <c r="BL90" i="3" s="1"/>
  <c r="BN74" i="2"/>
  <c r="D12" i="12" s="1"/>
  <c r="BN90" i="2"/>
  <c r="BN51" i="2"/>
  <c r="BL89" i="3"/>
  <c r="BL88" i="3"/>
  <c r="BN80" i="3"/>
  <c r="BN85" i="3"/>
  <c r="BL52" i="2"/>
  <c r="BL136" i="3" s="1"/>
  <c r="BL137" i="3" s="1"/>
  <c r="BL83" i="2"/>
  <c r="BL138" i="3" l="1"/>
  <c r="BL141" i="3" s="1"/>
  <c r="BQ91" i="2"/>
  <c r="BL91" i="2"/>
  <c r="BN86" i="3"/>
  <c r="BN52" i="2"/>
  <c r="BN83" i="2"/>
  <c r="BN136" i="3" l="1"/>
  <c r="BN137" i="3" s="1"/>
  <c r="BN138" i="3"/>
  <c r="BN141" i="3" s="1"/>
  <c r="BN91" i="2"/>
  <c r="BN90" i="3"/>
  <c r="D19" i="12" s="1"/>
  <c r="BN89" i="3"/>
  <c r="D18" i="12" s="1"/>
  <c r="BO10" i="2"/>
  <c r="BR10" i="2"/>
  <c r="BR16" i="2" s="1"/>
  <c r="BS11" i="2"/>
  <c r="BS12" i="2" s="1"/>
  <c r="BO12" i="2"/>
  <c r="BO113" i="2" s="1"/>
  <c r="BR12" i="2"/>
  <c r="BR113" i="2" s="1"/>
  <c r="BR114" i="2" s="1"/>
  <c r="BR116" i="2" s="1"/>
  <c r="BR118" i="2" s="1"/>
  <c r="BO60" i="2"/>
  <c r="BO61" i="2" s="1"/>
  <c r="BO77" i="2" s="1"/>
  <c r="BO87" i="2" s="1"/>
  <c r="BR60" i="2"/>
  <c r="BR61" i="2" s="1"/>
  <c r="BO79" i="2"/>
  <c r="BR79" i="2"/>
  <c r="BS10" i="2" l="1"/>
  <c r="BS102" i="3" s="1"/>
  <c r="BO114" i="2"/>
  <c r="BO115" i="2"/>
  <c r="BO117" i="2" s="1"/>
  <c r="BS79" i="2"/>
  <c r="BR86" i="2"/>
  <c r="BR77" i="2"/>
  <c r="BR87" i="2" s="1"/>
  <c r="BR63" i="2"/>
  <c r="BR82" i="2" s="1"/>
  <c r="BS60" i="2"/>
  <c r="BS61" i="2" s="1"/>
  <c r="BS63" i="2" s="1"/>
  <c r="BR115" i="2"/>
  <c r="BR65" i="2"/>
  <c r="BS118" i="3"/>
  <c r="BS119" i="3" s="1"/>
  <c r="BS103" i="3"/>
  <c r="BR35" i="2"/>
  <c r="BR37" i="2" s="1"/>
  <c r="BR78" i="2"/>
  <c r="BR88" i="2" s="1"/>
  <c r="BS113" i="2"/>
  <c r="BO63" i="2"/>
  <c r="BO86" i="2"/>
  <c r="BS114" i="2"/>
  <c r="BO116" i="2"/>
  <c r="BO102" i="3"/>
  <c r="BP102" i="3"/>
  <c r="BQ102" i="3"/>
  <c r="BR102" i="3"/>
  <c r="BO16" i="2"/>
  <c r="BS65" i="2" l="1"/>
  <c r="E7" i="12" s="1"/>
  <c r="E8" i="12" s="1"/>
  <c r="E9" i="12"/>
  <c r="E10" i="12" s="1"/>
  <c r="BR133" i="3"/>
  <c r="BS133" i="3"/>
  <c r="BS82" i="2"/>
  <c r="BS86" i="2"/>
  <c r="BS77" i="2"/>
  <c r="BR117" i="2"/>
  <c r="BS115" i="2"/>
  <c r="BS117" i="2" s="1"/>
  <c r="BO133" i="3"/>
  <c r="BO82" i="2"/>
  <c r="BO65" i="2"/>
  <c r="BS68" i="3"/>
  <c r="BS89" i="2"/>
  <c r="BS81" i="2"/>
  <c r="BR42" i="2"/>
  <c r="BR70" i="2"/>
  <c r="BP103" i="3"/>
  <c r="BP118" i="3"/>
  <c r="BP119" i="3" s="1"/>
  <c r="BO118" i="2"/>
  <c r="BS116" i="2"/>
  <c r="BS118" i="2" s="1"/>
  <c r="BR68" i="3"/>
  <c r="BR89" i="2"/>
  <c r="BR81" i="2"/>
  <c r="BO78" i="2"/>
  <c r="BO88" i="2" s="1"/>
  <c r="BO35" i="2"/>
  <c r="BS16" i="2"/>
  <c r="BR118" i="3"/>
  <c r="BR119" i="3" s="1"/>
  <c r="BR103" i="3"/>
  <c r="BQ103" i="3"/>
  <c r="BQ118" i="3"/>
  <c r="BQ119" i="3" s="1"/>
  <c r="BO118" i="3"/>
  <c r="BO119" i="3" s="1"/>
  <c r="BO103" i="3"/>
  <c r="BS78" i="2" l="1"/>
  <c r="E22" i="12"/>
  <c r="BS88" i="2"/>
  <c r="BS87" i="2"/>
  <c r="BS35" i="2"/>
  <c r="BO37" i="2"/>
  <c r="BO68" i="3"/>
  <c r="BO81" i="2"/>
  <c r="BO89" i="2"/>
  <c r="BR44" i="2"/>
  <c r="BR45" i="2"/>
  <c r="BR77" i="3" l="1"/>
  <c r="BR84" i="3" s="1"/>
  <c r="BR56" i="2"/>
  <c r="BR151" i="3"/>
  <c r="BR73" i="2"/>
  <c r="BO42" i="2"/>
  <c r="BS37" i="2"/>
  <c r="BS70" i="2" s="1"/>
  <c r="E13" i="12" s="1"/>
  <c r="BO70" i="2"/>
  <c r="BO45" i="2" l="1"/>
  <c r="BS42" i="2"/>
  <c r="BS44" i="2" s="1"/>
  <c r="BO44" i="2"/>
  <c r="BR51" i="2"/>
  <c r="BR90" i="2"/>
  <c r="BR74" i="2"/>
  <c r="BR80" i="3"/>
  <c r="BR85" i="3"/>
  <c r="BR86" i="3" l="1"/>
  <c r="BR52" i="2"/>
  <c r="BR136" i="3" s="1"/>
  <c r="BR137" i="3" s="1"/>
  <c r="BR83" i="2"/>
  <c r="BS45" i="2"/>
  <c r="BO151" i="3"/>
  <c r="BS151" i="3" s="1"/>
  <c r="BS152" i="3" s="1"/>
  <c r="BO56" i="2"/>
  <c r="BO77" i="3"/>
  <c r="BO84" i="3" s="1"/>
  <c r="BO73" i="2"/>
  <c r="BO74" i="2" l="1"/>
  <c r="BO51" i="2"/>
  <c r="BO90" i="2"/>
  <c r="BO80" i="3"/>
  <c r="BO85" i="3"/>
  <c r="BS77" i="3"/>
  <c r="BS84" i="3" s="1"/>
  <c r="BS56" i="2"/>
  <c r="BS73" i="2"/>
  <c r="E11" i="12" s="1"/>
  <c r="BR91" i="2"/>
  <c r="BR138" i="3"/>
  <c r="BR141" i="3" s="1"/>
  <c r="BR89" i="3"/>
  <c r="BR90" i="3"/>
  <c r="BR88" i="3"/>
  <c r="BS74" i="2" l="1"/>
  <c r="E12" i="12" s="1"/>
  <c r="BS90" i="2"/>
  <c r="BS51" i="2"/>
  <c r="BS80" i="3"/>
  <c r="BS85" i="3"/>
  <c r="BO86" i="3"/>
  <c r="BO52" i="2"/>
  <c r="BO136" i="3" s="1"/>
  <c r="BO137" i="3" s="1"/>
  <c r="BO83" i="2"/>
  <c r="BO89" i="3" l="1"/>
  <c r="BO90" i="3"/>
  <c r="BO88" i="3"/>
  <c r="BS86" i="3"/>
  <c r="BO138" i="3"/>
  <c r="BO141" i="3" s="1"/>
  <c r="BO91" i="2"/>
  <c r="BS52" i="2"/>
  <c r="BS83" i="2"/>
  <c r="BS136" i="3" l="1"/>
  <c r="BS137" i="3" s="1"/>
  <c r="BS138" i="3"/>
  <c r="BS141" i="3" s="1"/>
  <c r="BS91" i="2"/>
  <c r="BS89" i="3"/>
  <c r="E18" i="12" s="1"/>
  <c r="BS90" i="3"/>
  <c r="E19" i="12" s="1"/>
  <c r="BT10" i="2"/>
  <c r="BT16" i="2" s="1"/>
  <c r="BW10" i="2"/>
  <c r="BX11" i="2"/>
  <c r="BX12" i="2" s="1"/>
  <c r="BT12" i="2"/>
  <c r="BT113" i="2" s="1"/>
  <c r="BW12" i="2"/>
  <c r="BW113" i="2" s="1"/>
  <c r="BT60" i="2"/>
  <c r="BT61" i="2" s="1"/>
  <c r="BT77" i="2" s="1"/>
  <c r="BT87" i="2" s="1"/>
  <c r="BW60" i="2"/>
  <c r="BW61" i="2" s="1"/>
  <c r="BT79" i="2"/>
  <c r="BW79" i="2"/>
  <c r="BW77" i="2" l="1"/>
  <c r="CB87" i="2" s="1"/>
  <c r="CB86" i="2"/>
  <c r="BW16" i="2"/>
  <c r="BX16" i="2" s="1"/>
  <c r="BW115" i="2"/>
  <c r="BX115" i="2" s="1"/>
  <c r="BX117" i="2" s="1"/>
  <c r="BX113" i="2"/>
  <c r="BW114" i="2"/>
  <c r="BW116" i="2" s="1"/>
  <c r="BW118" i="2" s="1"/>
  <c r="BT115" i="2"/>
  <c r="BT117" i="2" s="1"/>
  <c r="BT114" i="2"/>
  <c r="BX114" i="2" s="1"/>
  <c r="BX10" i="2"/>
  <c r="BW78" i="2"/>
  <c r="CB88" i="2" s="1"/>
  <c r="BW35" i="2"/>
  <c r="BT78" i="2"/>
  <c r="BT88" i="2" s="1"/>
  <c r="BT35" i="2"/>
  <c r="BW86" i="2"/>
  <c r="BW63" i="2"/>
  <c r="BT86" i="2"/>
  <c r="BT63" i="2"/>
  <c r="BX79" i="2"/>
  <c r="C23" i="9" s="1"/>
  <c r="BW87" i="2"/>
  <c r="BW117" i="2"/>
  <c r="BX60" i="2"/>
  <c r="BT102" i="3"/>
  <c r="BU102" i="3"/>
  <c r="BV102" i="3"/>
  <c r="BW102" i="3"/>
  <c r="BT116" i="2" l="1"/>
  <c r="BW37" i="2"/>
  <c r="BX78" i="2"/>
  <c r="F22" i="12"/>
  <c r="BX102" i="3"/>
  <c r="BX118" i="3" s="1"/>
  <c r="BX119" i="3" s="1"/>
  <c r="CA102" i="3"/>
  <c r="BX88" i="2"/>
  <c r="C22" i="9"/>
  <c r="BX61" i="2"/>
  <c r="C5" i="9" s="1"/>
  <c r="C4" i="9"/>
  <c r="BX103" i="3"/>
  <c r="BU103" i="3"/>
  <c r="BU118" i="3"/>
  <c r="BU119" i="3" s="1"/>
  <c r="BW103" i="3"/>
  <c r="BW118" i="3"/>
  <c r="BW119" i="3" s="1"/>
  <c r="BV103" i="3"/>
  <c r="BV118" i="3"/>
  <c r="BV119" i="3" s="1"/>
  <c r="BT82" i="2"/>
  <c r="BT133" i="3"/>
  <c r="BT65" i="2"/>
  <c r="BT103" i="3"/>
  <c r="BT118" i="3"/>
  <c r="BT119" i="3" s="1"/>
  <c r="BW82" i="2"/>
  <c r="BW133" i="3"/>
  <c r="BW65" i="2"/>
  <c r="CB89" i="2" s="1"/>
  <c r="BX35" i="2"/>
  <c r="BT37" i="2"/>
  <c r="BW42" i="2"/>
  <c r="BW70" i="2"/>
  <c r="BT118" i="2"/>
  <c r="BX116" i="2"/>
  <c r="BX118" i="2" s="1"/>
  <c r="BW88" i="2"/>
  <c r="CA118" i="3" l="1"/>
  <c r="CA119" i="3" s="1"/>
  <c r="CA103" i="3"/>
  <c r="BX86" i="2"/>
  <c r="BX63" i="2"/>
  <c r="BX82" i="2" s="1"/>
  <c r="C26" i="9" s="1"/>
  <c r="BX77" i="2"/>
  <c r="BX87" i="2"/>
  <c r="C21" i="9"/>
  <c r="BT68" i="3"/>
  <c r="BT89" i="2"/>
  <c r="BT81" i="2"/>
  <c r="BW44" i="2"/>
  <c r="BW45" i="2"/>
  <c r="BT42" i="2"/>
  <c r="BT70" i="2"/>
  <c r="BX37" i="2"/>
  <c r="BX70" i="2" s="1"/>
  <c r="BX133" i="3"/>
  <c r="BX65" i="2"/>
  <c r="BW68" i="3"/>
  <c r="BW89" i="2"/>
  <c r="BW81" i="2"/>
  <c r="C9" i="9" l="1"/>
  <c r="F7" i="12"/>
  <c r="F8" i="12" s="1"/>
  <c r="C7" i="9"/>
  <c r="F9" i="12"/>
  <c r="F10" i="12" s="1"/>
  <c r="C14" i="9"/>
  <c r="F13" i="12"/>
  <c r="BX68" i="3"/>
  <c r="C39" i="9" s="1"/>
  <c r="BX89" i="2"/>
  <c r="BX81" i="2"/>
  <c r="C25" i="9" s="1"/>
  <c r="BX42" i="2"/>
  <c r="BX44" i="2" s="1"/>
  <c r="BT45" i="2"/>
  <c r="BT44" i="2"/>
  <c r="BW151" i="3"/>
  <c r="BW77" i="3"/>
  <c r="BW84" i="3" s="1"/>
  <c r="BW73" i="2"/>
  <c r="CB90" i="2" s="1"/>
  <c r="BW56" i="2"/>
  <c r="BW90" i="2" l="1"/>
  <c r="BW74" i="2"/>
  <c r="BW51" i="2"/>
  <c r="BW80" i="3"/>
  <c r="BW85" i="3"/>
  <c r="BT151" i="3"/>
  <c r="BX151" i="3" s="1"/>
  <c r="BX152" i="3" s="1"/>
  <c r="BX45" i="2"/>
  <c r="BT77" i="3"/>
  <c r="BT84" i="3" s="1"/>
  <c r="BT56" i="2"/>
  <c r="BT73" i="2"/>
  <c r="BX77" i="3" l="1"/>
  <c r="BX84" i="3" s="1"/>
  <c r="BX56" i="2"/>
  <c r="BX73" i="2"/>
  <c r="F11" i="12" s="1"/>
  <c r="BT51" i="2"/>
  <c r="BT90" i="2"/>
  <c r="BT74" i="2"/>
  <c r="BT80" i="3"/>
  <c r="BT85" i="3"/>
  <c r="BW86" i="3"/>
  <c r="BW52" i="2"/>
  <c r="BW83" i="2"/>
  <c r="CB91" i="2" l="1"/>
  <c r="BW136" i="3"/>
  <c r="BW137" i="3" s="1"/>
  <c r="C17" i="9"/>
  <c r="BW88" i="3"/>
  <c r="BW89" i="3"/>
  <c r="BW90" i="3"/>
  <c r="BW91" i="2"/>
  <c r="BW138" i="3"/>
  <c r="BW141" i="3" s="1"/>
  <c r="BT86" i="3"/>
  <c r="BT52" i="2"/>
  <c r="BT136" i="3" s="1"/>
  <c r="BT137" i="3" s="1"/>
  <c r="BT83" i="2"/>
  <c r="BX51" i="2"/>
  <c r="BX90" i="2"/>
  <c r="BX74" i="2"/>
  <c r="BY53" i="2"/>
  <c r="BX80" i="3"/>
  <c r="BX85" i="3"/>
  <c r="C18" i="9" l="1"/>
  <c r="F12" i="12"/>
  <c r="BT138" i="3"/>
  <c r="BT141" i="3" s="1"/>
  <c r="BT91" i="2"/>
  <c r="BX52" i="2"/>
  <c r="BX83" i="2"/>
  <c r="BT88" i="3"/>
  <c r="BT90" i="3"/>
  <c r="BT89" i="3"/>
  <c r="BX86" i="3"/>
  <c r="BX136" i="3" l="1"/>
  <c r="BX137" i="3" s="1"/>
  <c r="C27" i="9"/>
  <c r="BX138" i="3"/>
  <c r="BX141" i="3" s="1"/>
  <c r="BX91" i="2"/>
  <c r="BX89" i="3"/>
  <c r="F18" i="12" s="1"/>
  <c r="BX90" i="3"/>
  <c r="F19" i="12" s="1"/>
  <c r="BY10" i="2" l="1"/>
  <c r="BY12" i="2"/>
  <c r="BY113" i="2" s="1"/>
  <c r="BY115" i="2" s="1"/>
  <c r="BY117" i="2" s="1"/>
  <c r="BY60" i="2"/>
  <c r="BY61" i="2" s="1"/>
  <c r="BY79" i="2"/>
  <c r="BZ102" i="3" l="1"/>
  <c r="CB102" i="3"/>
  <c r="BY114" i="2"/>
  <c r="BY86" i="2"/>
  <c r="BY63" i="2"/>
  <c r="M9" i="12" s="1"/>
  <c r="M10" i="12" s="1"/>
  <c r="BZ118" i="3"/>
  <c r="BZ119" i="3" s="1"/>
  <c r="BZ103" i="3"/>
  <c r="BY116" i="2"/>
  <c r="BY133" i="3"/>
  <c r="BY16" i="2"/>
  <c r="BY102" i="3"/>
  <c r="BY77" i="2"/>
  <c r="CB118" i="3" l="1"/>
  <c r="CB119" i="3" s="1"/>
  <c r="CB103" i="3"/>
  <c r="M22" i="12"/>
  <c r="BY82" i="2"/>
  <c r="BY65" i="2"/>
  <c r="M7" i="12" s="1"/>
  <c r="M8" i="12" s="1"/>
  <c r="BY118" i="2"/>
  <c r="BY87" i="2"/>
  <c r="BY118" i="3"/>
  <c r="BY119" i="3" s="1"/>
  <c r="BY103" i="3"/>
  <c r="BY35" i="2"/>
  <c r="BY78" i="2"/>
  <c r="BY68" i="3" l="1"/>
  <c r="BY81" i="2"/>
  <c r="BY89" i="2"/>
  <c r="BY37" i="2"/>
  <c r="BY88" i="2"/>
  <c r="BY42" i="2" l="1"/>
  <c r="BY70" i="2"/>
  <c r="M13" i="12" s="1"/>
  <c r="BY45" i="2" l="1"/>
  <c r="BY44" i="2"/>
  <c r="BY151" i="3" l="1"/>
  <c r="BY73" i="2"/>
  <c r="M11" i="12" s="1"/>
  <c r="BY77" i="3"/>
  <c r="BY84" i="3" s="1"/>
  <c r="BY56" i="2"/>
  <c r="BY80" i="3" l="1"/>
  <c r="BY85" i="3"/>
  <c r="BY74" i="2"/>
  <c r="M12" i="12" s="1"/>
  <c r="BY90" i="2"/>
  <c r="BY51" i="2"/>
  <c r="CF119" i="3"/>
  <c r="BY83" i="2" l="1"/>
  <c r="BY52" i="2"/>
  <c r="CG119" i="3"/>
  <c r="BY86" i="3"/>
  <c r="BY136" i="3" l="1"/>
  <c r="BY137" i="3" s="1"/>
  <c r="BY88" i="3"/>
  <c r="BY90" i="3"/>
  <c r="M19" i="12" s="1"/>
  <c r="BY89" i="3"/>
  <c r="M18" i="12" s="1"/>
  <c r="CI119" i="3"/>
  <c r="BY91" i="2"/>
  <c r="BY138" i="3"/>
  <c r="BY141" i="3" s="1"/>
  <c r="CJ119" i="3" l="1"/>
  <c r="CK119" i="3" l="1"/>
  <c r="CL119" i="3" l="1"/>
  <c r="CN119" i="3" l="1"/>
  <c r="CO119" i="3" l="1"/>
  <c r="CP119" i="3" l="1"/>
  <c r="CQ119" i="3" l="1"/>
  <c r="CS119" i="3" l="1"/>
  <c r="CT119" i="3" l="1"/>
  <c r="CU119" i="3" l="1"/>
  <c r="CV119" i="3" l="1"/>
  <c r="CX119" i="3" l="1"/>
  <c r="CY119" i="3" l="1"/>
  <c r="CZ119" i="3" l="1"/>
  <c r="DA119" i="3" l="1"/>
  <c r="BZ77" i="3" l="1"/>
  <c r="BZ84" i="3" s="1"/>
  <c r="BZ146" i="3"/>
  <c r="BZ147" i="3" s="1"/>
  <c r="BZ151" i="3"/>
  <c r="BZ67" i="2"/>
  <c r="BZ66" i="2" s="1"/>
  <c r="BZ70" i="2"/>
  <c r="N13" i="12" s="1"/>
  <c r="BZ73" i="2"/>
  <c r="BZ51" i="2" l="1"/>
  <c r="N11" i="12"/>
  <c r="BZ85" i="3"/>
  <c r="BZ90" i="2"/>
  <c r="BZ74" i="2"/>
  <c r="BZ52" i="2" l="1"/>
  <c r="N12" i="12"/>
  <c r="BZ136" i="3"/>
  <c r="BZ137" i="3" s="1"/>
  <c r="BZ83" i="2"/>
  <c r="BZ138" i="3" l="1"/>
  <c r="BZ141" i="3" s="1"/>
  <c r="BZ91" i="2"/>
  <c r="BZ71" i="3" l="1"/>
  <c r="BZ75" i="3" s="1"/>
  <c r="CC72" i="3"/>
  <c r="CC55" i="2"/>
  <c r="G14" i="12" l="1"/>
  <c r="I54" i="9"/>
  <c r="K54" i="9" s="1"/>
  <c r="CC99" i="2"/>
  <c r="CC100" i="2" s="1"/>
  <c r="CC101" i="2" l="1"/>
  <c r="CH99" i="2" l="1"/>
  <c r="CH100" i="2" s="1"/>
  <c r="CM99" i="2" l="1"/>
  <c r="CM100" i="2" s="1"/>
  <c r="CH101" i="2"/>
  <c r="CM101" i="2" l="1"/>
  <c r="CR99" i="2" l="1"/>
  <c r="CR100" i="2" s="1"/>
  <c r="CR101" i="2" l="1"/>
  <c r="CC49" i="2" l="1"/>
  <c r="CW99" i="2"/>
  <c r="CW100" i="2" s="1"/>
  <c r="CW101" i="2" l="1"/>
  <c r="CH49" i="2"/>
  <c r="CC53" i="2" l="1"/>
  <c r="CC48" i="2"/>
  <c r="DB99" i="2"/>
  <c r="DB100" i="2" s="1"/>
  <c r="DB101" i="2" l="1"/>
  <c r="CW49" i="2" l="1"/>
  <c r="CF48" i="2"/>
  <c r="CG48" i="2" l="1"/>
  <c r="CH48" i="2" l="1"/>
  <c r="CI48" i="2" l="1"/>
  <c r="CJ48" i="2" l="1"/>
  <c r="CK48" i="2" l="1"/>
  <c r="CL48" i="2" l="1"/>
  <c r="CM48" i="2" l="1"/>
  <c r="CN48" i="2" l="1"/>
  <c r="CO48" i="2" l="1"/>
  <c r="CP48" i="2" l="1"/>
  <c r="CQ48" i="2" l="1"/>
  <c r="CR48" i="2" l="1"/>
  <c r="CS48" i="2" l="1"/>
  <c r="CT48" i="2" l="1"/>
  <c r="CU48" i="2" l="1"/>
  <c r="CV48" i="2" l="1"/>
  <c r="CW48" i="2" l="1"/>
  <c r="CX48" i="2" l="1"/>
  <c r="CY48" i="2" l="1"/>
  <c r="CZ48" i="2" l="1"/>
  <c r="DA48" i="2" l="1"/>
  <c r="DB48" i="2" l="1"/>
  <c r="B57" i="6" s="1"/>
  <c r="B82" i="6" s="1"/>
  <c r="DB49" i="2"/>
  <c r="CR49" i="2"/>
  <c r="CM49" i="2"/>
  <c r="O2" i="12" l="1"/>
  <c r="BZ78" i="3"/>
  <c r="BZ80" i="3" s="1"/>
  <c r="BZ121" i="3"/>
  <c r="BZ65" i="2"/>
  <c r="BZ81" i="3" l="1"/>
  <c r="BZ82" i="3"/>
  <c r="N17" i="12"/>
  <c r="BZ68" i="3"/>
  <c r="N7" i="12"/>
  <c r="N8" i="12" s="1"/>
  <c r="BZ81" i="2"/>
  <c r="BZ89" i="2"/>
  <c r="BZ123" i="3"/>
  <c r="BZ122" i="3"/>
  <c r="BZ86" i="3"/>
  <c r="BZ89" i="3" l="1"/>
  <c r="N18" i="12" s="1"/>
  <c r="BZ88" i="3"/>
  <c r="BZ90" i="3"/>
  <c r="N19" i="12" s="1"/>
  <c r="CB78" i="3" l="1"/>
  <c r="CC121" i="3"/>
  <c r="CC64" i="2"/>
  <c r="CC123" i="3"/>
  <c r="CC78" i="3" l="1"/>
  <c r="D8" i="9"/>
  <c r="CC120" i="3"/>
  <c r="CC122" i="3"/>
  <c r="CF122" i="3"/>
  <c r="CG122" i="3" l="1"/>
  <c r="CC23" i="3"/>
  <c r="CC32" i="2"/>
  <c r="CI122" i="3" l="1"/>
  <c r="K13" i="9" l="1"/>
  <c r="CJ122" i="3"/>
  <c r="CK122" i="3" l="1"/>
  <c r="CF121" i="3" l="1"/>
  <c r="CL122" i="3"/>
  <c r="CN122" i="3" l="1"/>
  <c r="CF64" i="2"/>
  <c r="CF123" i="3"/>
  <c r="CF120" i="3" s="1"/>
  <c r="CF23" i="3" l="1"/>
  <c r="CG121" i="3"/>
  <c r="CF78" i="3"/>
  <c r="CF32" i="2"/>
  <c r="CO122" i="3"/>
  <c r="CG123" i="3" l="1"/>
  <c r="CH123" i="3" s="1"/>
  <c r="CG64" i="2"/>
  <c r="CH121" i="3"/>
  <c r="CG120" i="3"/>
  <c r="CP122" i="3"/>
  <c r="CG23" i="3" l="1"/>
  <c r="CH120" i="3"/>
  <c r="CH122" i="3" s="1"/>
  <c r="CQ122" i="3"/>
  <c r="CG78" i="3"/>
  <c r="CH64" i="2"/>
  <c r="CG32" i="2"/>
  <c r="CH78" i="3" l="1"/>
  <c r="E8" i="9"/>
  <c r="CH32" i="2"/>
  <c r="CS122" i="3"/>
  <c r="CI121" i="3"/>
  <c r="CH23" i="3"/>
  <c r="CI64" i="2" l="1"/>
  <c r="CI123" i="3"/>
  <c r="CI120" i="3" s="1"/>
  <c r="CT122" i="3"/>
  <c r="CI32" i="2"/>
  <c r="CU122" i="3" l="1"/>
  <c r="CI23" i="3"/>
  <c r="CJ121" i="3"/>
  <c r="CI78" i="3"/>
  <c r="CV122" i="3" l="1"/>
  <c r="CJ123" i="3"/>
  <c r="CJ64" i="2"/>
  <c r="CJ78" i="3" l="1"/>
  <c r="CJ32" i="2"/>
  <c r="CJ120" i="3"/>
  <c r="CX122" i="3"/>
  <c r="CY122" i="3" l="1"/>
  <c r="CJ23" i="3"/>
  <c r="CK121" i="3"/>
  <c r="CK123" i="3" l="1"/>
  <c r="CK64" i="2"/>
  <c r="CK120" i="3"/>
  <c r="CZ122" i="3"/>
  <c r="DA122" i="3" l="1"/>
  <c r="CK23" i="3"/>
  <c r="CL121" i="3"/>
  <c r="CK78" i="3"/>
  <c r="CK32" i="2"/>
  <c r="CL123" i="3" l="1"/>
  <c r="CM123" i="3" s="1"/>
  <c r="CL64" i="2"/>
  <c r="CM121" i="3"/>
  <c r="CL120" i="3" l="1"/>
  <c r="CL23" i="3" s="1"/>
  <c r="CL78" i="3"/>
  <c r="CM64" i="2"/>
  <c r="CL32" i="2"/>
  <c r="CM120" i="3" l="1"/>
  <c r="CM122" i="3" s="1"/>
  <c r="CM78" i="3"/>
  <c r="F8" i="9"/>
  <c r="CM32" i="2"/>
  <c r="CM23" i="3"/>
  <c r="CN121" i="3" l="1"/>
  <c r="CN123" i="3" s="1"/>
  <c r="CN120" i="3" s="1"/>
  <c r="CN64" i="2"/>
  <c r="CN32" i="2" s="1"/>
  <c r="CN23" i="3" l="1"/>
  <c r="CO121" i="3"/>
  <c r="CN78" i="3"/>
  <c r="CO123" i="3" l="1"/>
  <c r="CO64" i="2"/>
  <c r="CO120" i="3"/>
  <c r="CO23" i="3" l="1"/>
  <c r="CP121" i="3"/>
  <c r="CO78" i="3"/>
  <c r="CO32" i="2"/>
  <c r="CP123" i="3" l="1"/>
  <c r="CP64" i="2"/>
  <c r="CP120" i="3"/>
  <c r="CP23" i="3" l="1"/>
  <c r="CQ121" i="3"/>
  <c r="CP78" i="3"/>
  <c r="CP32" i="2"/>
  <c r="CQ123" i="3" l="1"/>
  <c r="CR123" i="3" s="1"/>
  <c r="CQ64" i="2"/>
  <c r="CR121" i="3"/>
  <c r="CQ120" i="3"/>
  <c r="CR120" i="3" l="1"/>
  <c r="CQ23" i="3"/>
  <c r="CR122" i="3"/>
  <c r="CQ78" i="3"/>
  <c r="CR64" i="2"/>
  <c r="CR78" i="3" s="1"/>
  <c r="CQ32" i="2"/>
  <c r="CR32" i="2" l="1"/>
  <c r="CR23" i="3"/>
  <c r="CS121" i="3"/>
  <c r="CS123" i="3" l="1"/>
  <c r="CS64" i="2"/>
  <c r="CS120" i="3"/>
  <c r="CS32" i="2"/>
  <c r="CS23" i="3" l="1"/>
  <c r="CT121" i="3"/>
  <c r="CS78" i="3"/>
  <c r="CT123" i="3" l="1"/>
  <c r="CT64" i="2"/>
  <c r="CT120" i="3"/>
  <c r="CT78" i="3" l="1"/>
  <c r="CT32" i="2"/>
  <c r="CT23" i="3"/>
  <c r="CU121" i="3"/>
  <c r="CU64" i="2" l="1"/>
  <c r="CU32" i="2" s="1"/>
  <c r="CU123" i="3"/>
  <c r="CU120" i="3" s="1"/>
  <c r="CU23" i="3" l="1"/>
  <c r="CV121" i="3"/>
  <c r="CU78" i="3"/>
  <c r="CV64" i="2" l="1"/>
  <c r="CV123" i="3"/>
  <c r="CW123" i="3" s="1"/>
  <c r="CW121" i="3"/>
  <c r="CV120" i="3"/>
  <c r="CW120" i="3" l="1"/>
  <c r="CW122" i="3" s="1"/>
  <c r="CV23" i="3"/>
  <c r="CV78" i="3"/>
  <c r="CW64" i="2"/>
  <c r="CW78" i="3" s="1"/>
  <c r="CV32" i="2"/>
  <c r="CW32" i="2" l="1"/>
  <c r="CW23" i="3"/>
  <c r="CX121" i="3"/>
  <c r="CX123" i="3" l="1"/>
  <c r="CX120" i="3" s="1"/>
  <c r="CX64" i="2"/>
  <c r="CX32" i="2" s="1"/>
  <c r="CX23" i="3" l="1"/>
  <c r="CY121" i="3"/>
  <c r="CX78" i="3"/>
  <c r="CY123" i="3" l="1"/>
  <c r="CY120" i="3" s="1"/>
  <c r="CY64" i="2"/>
  <c r="CY23" i="3" l="1"/>
  <c r="CZ121" i="3"/>
  <c r="CY78" i="3"/>
  <c r="CY32" i="2"/>
  <c r="CZ123" i="3" l="1"/>
  <c r="CZ120" i="3" s="1"/>
  <c r="CZ64" i="2"/>
  <c r="CZ32" i="2" s="1"/>
  <c r="CZ23" i="3" l="1"/>
  <c r="DA121" i="3"/>
  <c r="CZ78" i="3"/>
  <c r="DA64" i="2" l="1"/>
  <c r="DA123" i="3"/>
  <c r="DB123" i="3" s="1"/>
  <c r="DB121" i="3"/>
  <c r="DA120" i="3" l="1"/>
  <c r="DB120" i="3" s="1"/>
  <c r="DB122" i="3" s="1"/>
  <c r="DA78" i="3"/>
  <c r="DA32" i="2"/>
  <c r="DB64" i="2"/>
  <c r="DB78" i="3" s="1"/>
  <c r="DA23" i="3" l="1"/>
  <c r="DB23" i="3" s="1"/>
  <c r="DB32" i="2"/>
  <c r="CC39" i="4" l="1"/>
  <c r="CC40" i="4" s="1"/>
  <c r="CC17" i="4"/>
  <c r="CC19" i="4"/>
  <c r="CC14" i="4" l="1"/>
  <c r="CC33" i="4" s="1"/>
  <c r="CC18" i="2"/>
  <c r="I40" i="9" s="1"/>
  <c r="K40" i="9" s="1"/>
  <c r="CC20" i="4"/>
  <c r="CC21" i="4"/>
  <c r="CC10" i="4" l="1"/>
  <c r="I36" i="9" s="1"/>
  <c r="K36" i="9" s="1"/>
  <c r="CC12" i="4"/>
  <c r="CC9" i="4"/>
  <c r="CC20" i="2"/>
  <c r="CC111" i="2"/>
  <c r="I35" i="9" l="1"/>
  <c r="K35" i="9" s="1"/>
  <c r="CC34" i="4"/>
  <c r="CC115" i="3"/>
  <c r="CC29" i="4"/>
  <c r="CC13" i="4"/>
  <c r="CC24" i="4"/>
  <c r="CD18" i="4" s="1"/>
  <c r="CC18" i="4"/>
  <c r="CC11" i="4"/>
  <c r="CC35" i="3"/>
  <c r="CC114" i="3" s="1"/>
  <c r="CC37" i="3"/>
  <c r="CC128" i="3" s="1"/>
  <c r="CC16" i="3"/>
  <c r="CC126" i="3" s="1"/>
  <c r="CC18" i="3"/>
  <c r="CC124" i="3" s="1"/>
  <c r="CC129" i="3" l="1"/>
  <c r="CC127" i="3"/>
  <c r="CC116" i="3"/>
  <c r="CC125" i="3"/>
  <c r="CC27" i="4"/>
  <c r="CH28" i="4"/>
  <c r="CC15" i="3" l="1"/>
  <c r="CC109" i="3"/>
  <c r="CC110" i="3" s="1"/>
  <c r="CC26" i="4"/>
  <c r="K12" i="9" l="1"/>
  <c r="CC107" i="3"/>
  <c r="CC108" i="3" s="1"/>
  <c r="CC43" i="2" l="1"/>
  <c r="P20" i="12"/>
  <c r="CC14" i="3"/>
  <c r="CC112" i="3" s="1"/>
  <c r="CC36" i="3"/>
  <c r="CC111" i="3" s="1"/>
  <c r="CC72" i="2" l="1"/>
  <c r="I47" i="9"/>
  <c r="K47" i="9" s="1"/>
  <c r="D16" i="9"/>
  <c r="G20" i="12"/>
  <c r="CC113" i="3"/>
  <c r="CC12" i="3"/>
  <c r="CC101" i="3" s="1"/>
  <c r="CC104" i="3" s="1"/>
  <c r="CC34" i="3"/>
  <c r="CF28" i="4" l="1"/>
  <c r="CF17" i="4"/>
  <c r="CF18" i="2" l="1"/>
  <c r="CF19" i="4"/>
  <c r="CF21" i="4" l="1"/>
  <c r="CF14" i="4"/>
  <c r="CF38" i="4" s="1"/>
  <c r="CF9" i="4" l="1"/>
  <c r="CF33" i="4"/>
  <c r="CF115" i="3" l="1"/>
  <c r="CF29" i="4"/>
  <c r="CF10" i="4"/>
  <c r="CF12" i="4"/>
  <c r="CF24" i="4"/>
  <c r="CF37" i="4"/>
  <c r="CF112" i="2" l="1"/>
  <c r="CG28" i="4"/>
  <c r="CG17" i="4"/>
  <c r="CF27" i="4"/>
  <c r="CF126" i="3"/>
  <c r="CF16" i="3" s="1"/>
  <c r="CF124" i="3"/>
  <c r="CF18" i="3" s="1"/>
  <c r="CF128" i="3"/>
  <c r="CF37" i="3" s="1"/>
  <c r="CF114" i="3"/>
  <c r="CF35" i="3" s="1"/>
  <c r="CF109" i="3" l="1"/>
  <c r="CF15" i="3" s="1"/>
  <c r="CF116" i="2"/>
  <c r="CF26" i="4"/>
  <c r="CF107" i="3" s="1"/>
  <c r="CG18" i="2"/>
  <c r="CG19" i="4"/>
  <c r="CH19" i="4" s="1"/>
  <c r="CH17" i="4"/>
  <c r="CH20" i="4" l="1"/>
  <c r="CG14" i="4"/>
  <c r="CG38" i="4" s="1"/>
  <c r="CG21" i="4"/>
  <c r="CH21" i="4" s="1"/>
  <c r="CH18" i="2"/>
  <c r="L40" i="9" s="1"/>
  <c r="N40" i="9" s="1"/>
  <c r="CF114" i="2"/>
  <c r="CF14" i="3"/>
  <c r="CF101" i="3"/>
  <c r="CF104" i="3" s="1"/>
  <c r="CF12" i="3" l="1"/>
  <c r="CF34" i="3" s="1"/>
  <c r="CF112" i="3"/>
  <c r="CF111" i="3" s="1"/>
  <c r="CF36" i="3" s="1"/>
  <c r="CG9" i="4"/>
  <c r="CG33" i="4"/>
  <c r="CG37" i="4" s="1"/>
  <c r="CH14" i="4"/>
  <c r="CH33" i="4" s="1"/>
  <c r="CH20" i="2"/>
  <c r="CG115" i="3" l="1"/>
  <c r="CG112" i="2"/>
  <c r="CG29" i="4"/>
  <c r="CG10" i="4"/>
  <c r="CH10" i="4" s="1"/>
  <c r="CG12" i="4"/>
  <c r="CH12" i="4" s="1"/>
  <c r="CH9" i="4"/>
  <c r="CG24" i="4"/>
  <c r="L36" i="9" l="1"/>
  <c r="N36" i="9" s="1"/>
  <c r="L35" i="9"/>
  <c r="N35" i="9" s="1"/>
  <c r="CH11" i="4"/>
  <c r="CG116" i="2"/>
  <c r="CG114" i="3"/>
  <c r="CG35" i="3" s="1"/>
  <c r="CH35" i="3" s="1"/>
  <c r="CH114" i="3" s="1"/>
  <c r="CG126" i="3"/>
  <c r="CG16" i="3" s="1"/>
  <c r="CH16" i="3" s="1"/>
  <c r="CH126" i="3" s="1"/>
  <c r="CG124" i="3"/>
  <c r="CG18" i="3" s="1"/>
  <c r="CH18" i="3" s="1"/>
  <c r="CH124" i="3" s="1"/>
  <c r="CG128" i="3"/>
  <c r="CG37" i="3" s="1"/>
  <c r="CH37" i="3" s="1"/>
  <c r="CH128" i="3" s="1"/>
  <c r="CH24" i="4"/>
  <c r="CG27" i="4"/>
  <c r="CG26" i="4" s="1"/>
  <c r="CH18" i="4"/>
  <c r="CH115" i="3"/>
  <c r="CH13" i="4"/>
  <c r="CH29" i="4"/>
  <c r="CH125" i="3" l="1"/>
  <c r="CH127" i="3"/>
  <c r="CH129" i="3"/>
  <c r="CH116" i="3"/>
  <c r="CG107" i="3"/>
  <c r="CH26" i="4"/>
  <c r="CI28" i="4"/>
  <c r="CI17" i="4"/>
  <c r="CM28" i="4"/>
  <c r="CG109" i="3"/>
  <c r="CH27" i="4"/>
  <c r="CG114" i="2"/>
  <c r="CG15" i="3" l="1"/>
  <c r="CH15" i="3" s="1"/>
  <c r="CH109" i="3"/>
  <c r="CH110" i="3" s="1"/>
  <c r="CG14" i="3"/>
  <c r="CH107" i="3"/>
  <c r="CH108" i="3" s="1"/>
  <c r="CG101" i="3"/>
  <c r="CG104" i="3" s="1"/>
  <c r="CI18" i="2"/>
  <c r="CI19" i="4"/>
  <c r="CI14" i="4" s="1"/>
  <c r="CI9" i="4" l="1"/>
  <c r="CI33" i="4"/>
  <c r="CI38" i="4"/>
  <c r="CG12" i="3"/>
  <c r="CH14" i="3"/>
  <c r="CH112" i="3" s="1"/>
  <c r="CG112" i="3"/>
  <c r="CG111" i="3" s="1"/>
  <c r="CG36" i="3" s="1"/>
  <c r="CH36" i="3" s="1"/>
  <c r="CH111" i="3" s="1"/>
  <c r="CI21" i="4"/>
  <c r="CH113" i="3" l="1"/>
  <c r="CH12" i="3"/>
  <c r="CH101" i="3" s="1"/>
  <c r="CH104" i="3" s="1"/>
  <c r="CG34" i="3"/>
  <c r="CH34" i="3" s="1"/>
  <c r="CI37" i="4"/>
  <c r="CI115" i="3"/>
  <c r="CI12" i="4"/>
  <c r="CI29" i="4"/>
  <c r="CI10" i="4"/>
  <c r="CI24" i="4"/>
  <c r="CI112" i="2" l="1"/>
  <c r="CI116" i="2" s="1"/>
  <c r="CI114" i="3"/>
  <c r="CI35" i="3" s="1"/>
  <c r="CI126" i="3"/>
  <c r="CI16" i="3" s="1"/>
  <c r="CI124" i="3"/>
  <c r="CI18" i="3" s="1"/>
  <c r="CI128" i="3"/>
  <c r="CI37" i="3" s="1"/>
  <c r="CJ28" i="4"/>
  <c r="CJ17" i="4"/>
  <c r="CI27" i="4"/>
  <c r="CI109" i="3" l="1"/>
  <c r="CI15" i="3" s="1"/>
  <c r="CI114" i="2"/>
  <c r="CI26" i="4"/>
  <c r="CI107" i="3" s="1"/>
  <c r="CJ18" i="2"/>
  <c r="CJ19" i="4"/>
  <c r="CJ21" i="4" l="1"/>
  <c r="CJ14" i="4"/>
  <c r="CJ38" i="4" s="1"/>
  <c r="CI14" i="3"/>
  <c r="CI101" i="3"/>
  <c r="CI104" i="3" s="1"/>
  <c r="CI12" i="3" l="1"/>
  <c r="CI34" i="3" s="1"/>
  <c r="CI112" i="3"/>
  <c r="CI111" i="3" s="1"/>
  <c r="CI36" i="3" s="1"/>
  <c r="CJ9" i="4"/>
  <c r="CJ33" i="4"/>
  <c r="CJ37" i="4" s="1"/>
  <c r="CJ115" i="3" l="1"/>
  <c r="CJ12" i="4"/>
  <c r="CJ112" i="2"/>
  <c r="CJ29" i="4"/>
  <c r="CJ10" i="4"/>
  <c r="CJ24" i="4"/>
  <c r="CK28" i="4" l="1"/>
  <c r="CK17" i="4"/>
  <c r="CJ27" i="4"/>
  <c r="CJ116" i="2"/>
  <c r="CJ114" i="3"/>
  <c r="CJ35" i="3" s="1"/>
  <c r="CJ124" i="3"/>
  <c r="CJ18" i="3" s="1"/>
  <c r="CJ128" i="3"/>
  <c r="CJ37" i="3" s="1"/>
  <c r="CJ126" i="3"/>
  <c r="CJ16" i="3" s="1"/>
  <c r="CJ109" i="3" l="1"/>
  <c r="CJ15" i="3" s="1"/>
  <c r="CK18" i="2"/>
  <c r="CK19" i="4"/>
  <c r="CJ114" i="2"/>
  <c r="CJ26" i="4"/>
  <c r="CJ107" i="3" s="1"/>
  <c r="CK21" i="4" l="1"/>
  <c r="CK14" i="4"/>
  <c r="CK38" i="4" s="1"/>
  <c r="CJ14" i="3"/>
  <c r="CJ101" i="3"/>
  <c r="CJ104" i="3" s="1"/>
  <c r="CJ12" i="3" l="1"/>
  <c r="CJ34" i="3" s="1"/>
  <c r="CJ112" i="3"/>
  <c r="CJ111" i="3" s="1"/>
  <c r="CJ36" i="3" s="1"/>
  <c r="CK9" i="4"/>
  <c r="CK33" i="4"/>
  <c r="CK37" i="4" s="1"/>
  <c r="CK115" i="3" l="1"/>
  <c r="CK10" i="4"/>
  <c r="CK12" i="4"/>
  <c r="CK112" i="2"/>
  <c r="CK29" i="4"/>
  <c r="CK24" i="4"/>
  <c r="CK116" i="2" l="1"/>
  <c r="CL28" i="4"/>
  <c r="CL17" i="4"/>
  <c r="CK27" i="4"/>
  <c r="CK26" i="4" s="1"/>
  <c r="CK107" i="3" s="1"/>
  <c r="CK114" i="3"/>
  <c r="CK35" i="3" s="1"/>
  <c r="CK126" i="3"/>
  <c r="CK16" i="3" s="1"/>
  <c r="CK128" i="3"/>
  <c r="CK37" i="3" s="1"/>
  <c r="CK124" i="3"/>
  <c r="CK18" i="3" s="1"/>
  <c r="CK114" i="2" l="1"/>
  <c r="CL18" i="2"/>
  <c r="CL19" i="4"/>
  <c r="CM19" i="4" s="1"/>
  <c r="CM17" i="4"/>
  <c r="CM18" i="4" s="1"/>
  <c r="CK14" i="3"/>
  <c r="CK109" i="3"/>
  <c r="CK15" i="3" s="1"/>
  <c r="CM20" i="4" l="1"/>
  <c r="CK101" i="3"/>
  <c r="CK104" i="3" s="1"/>
  <c r="CL21" i="4"/>
  <c r="CM21" i="4" s="1"/>
  <c r="CM18" i="2"/>
  <c r="O40" i="9" s="1"/>
  <c r="Q40" i="9" s="1"/>
  <c r="CK12" i="3"/>
  <c r="CK34" i="3" s="1"/>
  <c r="CK112" i="3"/>
  <c r="CK111" i="3" s="1"/>
  <c r="CK36" i="3" s="1"/>
  <c r="CL14" i="4"/>
  <c r="CL38" i="4" s="1"/>
  <c r="CL9" i="4" l="1"/>
  <c r="CL33" i="4"/>
  <c r="CL37" i="4" s="1"/>
  <c r="CM14" i="4"/>
  <c r="CM33" i="4" s="1"/>
  <c r="CM20" i="2"/>
  <c r="CM37" i="4" l="1"/>
  <c r="CM38" i="4" s="1"/>
  <c r="CL115" i="3"/>
  <c r="CL29" i="4"/>
  <c r="CL10" i="4"/>
  <c r="CM10" i="4" s="1"/>
  <c r="CL12" i="4"/>
  <c r="CM12" i="4" s="1"/>
  <c r="CL112" i="2"/>
  <c r="CM9" i="4"/>
  <c r="CL24" i="4"/>
  <c r="O35" i="9" l="1"/>
  <c r="Q35" i="9" s="1"/>
  <c r="O36" i="9"/>
  <c r="Q36" i="9" s="1"/>
  <c r="CM11" i="4"/>
  <c r="CL114" i="3"/>
  <c r="CL35" i="3" s="1"/>
  <c r="CM35" i="3" s="1"/>
  <c r="CM114" i="3" s="1"/>
  <c r="CL126" i="3"/>
  <c r="CL16" i="3" s="1"/>
  <c r="CM16" i="3" s="1"/>
  <c r="CM126" i="3" s="1"/>
  <c r="CL128" i="3"/>
  <c r="CL37" i="3" s="1"/>
  <c r="CM37" i="3" s="1"/>
  <c r="CM128" i="3" s="1"/>
  <c r="CL124" i="3"/>
  <c r="CL18" i="3" s="1"/>
  <c r="CM18" i="3" s="1"/>
  <c r="CM124" i="3" s="1"/>
  <c r="CL116" i="2"/>
  <c r="CM112" i="2"/>
  <c r="CM24" i="4"/>
  <c r="CL27" i="4"/>
  <c r="CL26" i="4" s="1"/>
  <c r="CM115" i="3"/>
  <c r="CM29" i="4"/>
  <c r="CM13" i="4"/>
  <c r="CM125" i="3" l="1"/>
  <c r="CM129" i="3"/>
  <c r="CM127" i="3"/>
  <c r="CL107" i="3"/>
  <c r="CM26" i="4"/>
  <c r="CN17" i="4"/>
  <c r="CR28" i="4"/>
  <c r="CN28" i="4"/>
  <c r="CL109" i="3"/>
  <c r="CM27" i="4"/>
  <c r="CL114" i="2"/>
  <c r="CM116" i="2"/>
  <c r="CM118" i="2" s="1"/>
  <c r="CM116" i="3"/>
  <c r="CM114" i="2" l="1"/>
  <c r="CN18" i="2"/>
  <c r="CN19" i="4"/>
  <c r="CN21" i="4" s="1"/>
  <c r="CL15" i="3"/>
  <c r="CM15" i="3" s="1"/>
  <c r="CM109" i="3"/>
  <c r="CM110" i="3" s="1"/>
  <c r="CL14" i="3"/>
  <c r="CL101" i="3"/>
  <c r="CL104" i="3" s="1"/>
  <c r="CM107" i="3"/>
  <c r="CM108" i="3" s="1"/>
  <c r="CN14" i="4" l="1"/>
  <c r="CN38" i="4" s="1"/>
  <c r="CM14" i="3"/>
  <c r="CM112" i="3" s="1"/>
  <c r="CL12" i="3"/>
  <c r="CL112" i="3"/>
  <c r="CL111" i="3" s="1"/>
  <c r="CL36" i="3" s="1"/>
  <c r="CM36" i="3" s="1"/>
  <c r="CM111" i="3" s="1"/>
  <c r="CN9" i="4" l="1"/>
  <c r="CN33" i="4"/>
  <c r="CN37" i="4" s="1"/>
  <c r="CM113" i="3"/>
  <c r="CM12" i="3"/>
  <c r="CM101" i="3" s="1"/>
  <c r="CM104" i="3" s="1"/>
  <c r="CL34" i="3"/>
  <c r="CM34" i="3" s="1"/>
  <c r="CN12" i="4" l="1"/>
  <c r="CN29" i="4"/>
  <c r="CN10" i="4"/>
  <c r="CN24" i="4"/>
  <c r="CO17" i="4" s="1"/>
  <c r="CN115" i="3"/>
  <c r="CN114" i="3" s="1"/>
  <c r="CN35" i="3" s="1"/>
  <c r="CN112" i="2"/>
  <c r="CN128" i="3" l="1"/>
  <c r="CN37" i="3" s="1"/>
  <c r="CN124" i="3"/>
  <c r="CN18" i="3" s="1"/>
  <c r="CN126" i="3"/>
  <c r="CN16" i="3" s="1"/>
  <c r="CN116" i="2"/>
  <c r="CN114" i="2" s="1"/>
  <c r="CN27" i="4"/>
  <c r="CN26" i="4" s="1"/>
  <c r="CN107" i="3" s="1"/>
  <c r="CN14" i="3" s="1"/>
  <c r="CO28" i="4"/>
  <c r="CO18" i="2"/>
  <c r="CO19" i="4"/>
  <c r="CO21" i="4" s="1"/>
  <c r="CN109" i="3" l="1"/>
  <c r="CN15" i="3" s="1"/>
  <c r="CO14" i="4"/>
  <c r="CO9" i="4" s="1"/>
  <c r="CN12" i="3"/>
  <c r="CN34" i="3" s="1"/>
  <c r="CN112" i="3"/>
  <c r="CN111" i="3" s="1"/>
  <c r="CN36" i="3" s="1"/>
  <c r="CO38" i="4"/>
  <c r="CN101" i="3" l="1"/>
  <c r="CN104" i="3" s="1"/>
  <c r="CO33" i="4"/>
  <c r="CO37" i="4" s="1"/>
  <c r="CO112" i="2" s="1"/>
  <c r="CO115" i="3"/>
  <c r="CO12" i="4"/>
  <c r="CO10" i="4"/>
  <c r="CO29" i="4"/>
  <c r="CO24" i="4"/>
  <c r="CO116" i="2" l="1"/>
  <c r="CP28" i="4"/>
  <c r="CP17" i="4"/>
  <c r="CO27" i="4"/>
  <c r="CO26" i="4" s="1"/>
  <c r="CO107" i="3" s="1"/>
  <c r="CO124" i="3"/>
  <c r="CO18" i="3" s="1"/>
  <c r="CO114" i="3"/>
  <c r="CO35" i="3" s="1"/>
  <c r="CO126" i="3"/>
  <c r="CO16" i="3" s="1"/>
  <c r="CO128" i="3"/>
  <c r="CO37" i="3" s="1"/>
  <c r="CO14" i="3" l="1"/>
  <c r="CP18" i="2"/>
  <c r="CP19" i="4"/>
  <c r="CO109" i="3"/>
  <c r="CO15" i="3" s="1"/>
  <c r="CO114" i="2"/>
  <c r="CP14" i="4" l="1"/>
  <c r="CP38" i="4" s="1"/>
  <c r="CP21" i="4"/>
  <c r="CO101" i="3"/>
  <c r="CO104" i="3" s="1"/>
  <c r="CO12" i="3"/>
  <c r="CO34" i="3" s="1"/>
  <c r="CO112" i="3"/>
  <c r="CO111" i="3" s="1"/>
  <c r="CO36" i="3" s="1"/>
  <c r="CP33" i="4" l="1"/>
  <c r="CP37" i="4" s="1"/>
  <c r="CP9" i="4"/>
  <c r="CP115" i="3" l="1"/>
  <c r="CP12" i="4"/>
  <c r="CP112" i="2"/>
  <c r="CP10" i="4"/>
  <c r="CP29" i="4"/>
  <c r="CP24" i="4"/>
  <c r="CQ28" i="4" l="1"/>
  <c r="CQ17" i="4"/>
  <c r="CP27" i="4"/>
  <c r="CP26" i="4" s="1"/>
  <c r="CP107" i="3" s="1"/>
  <c r="CP116" i="2"/>
  <c r="CP124" i="3"/>
  <c r="CP18" i="3" s="1"/>
  <c r="CP126" i="3"/>
  <c r="CP16" i="3" s="1"/>
  <c r="CP114" i="3"/>
  <c r="CP35" i="3" s="1"/>
  <c r="CP128" i="3"/>
  <c r="CP37" i="3" s="1"/>
  <c r="CP14" i="3" l="1"/>
  <c r="CP114" i="2"/>
  <c r="CP109" i="3"/>
  <c r="CP15" i="3" s="1"/>
  <c r="CQ18" i="2"/>
  <c r="CQ19" i="4"/>
  <c r="CR19" i="4" s="1"/>
  <c r="CR17" i="4"/>
  <c r="CR18" i="4" s="1"/>
  <c r="CQ21" i="4" l="1"/>
  <c r="CR21" i="4" s="1"/>
  <c r="CP101" i="3"/>
  <c r="CP104" i="3" s="1"/>
  <c r="CR20" i="4"/>
  <c r="CR18" i="2"/>
  <c r="R40" i="9" s="1"/>
  <c r="T40" i="9" s="1"/>
  <c r="CQ14" i="4"/>
  <c r="CP12" i="3"/>
  <c r="CP34" i="3" s="1"/>
  <c r="CP112" i="3"/>
  <c r="CP111" i="3" s="1"/>
  <c r="CP36" i="3" s="1"/>
  <c r="CR20" i="2" l="1"/>
  <c r="CQ9" i="4"/>
  <c r="CQ33" i="4"/>
  <c r="CR14" i="4"/>
  <c r="CR33" i="4" s="1"/>
  <c r="CQ38" i="4"/>
  <c r="CQ37" i="4" l="1"/>
  <c r="CR37" i="4" s="1"/>
  <c r="CR38" i="4" s="1"/>
  <c r="CQ115" i="3"/>
  <c r="CQ10" i="4"/>
  <c r="CR10" i="4" s="1"/>
  <c r="CQ29" i="4"/>
  <c r="CQ12" i="4"/>
  <c r="CR12" i="4" s="1"/>
  <c r="CR9" i="4"/>
  <c r="CQ24" i="4"/>
  <c r="R36" i="9" l="1"/>
  <c r="T36" i="9" s="1"/>
  <c r="R35" i="9"/>
  <c r="T35" i="9" s="1"/>
  <c r="CQ112" i="2"/>
  <c r="CQ116" i="2" s="1"/>
  <c r="CQ126" i="3"/>
  <c r="CQ16" i="3" s="1"/>
  <c r="CR16" i="3" s="1"/>
  <c r="CR126" i="3" s="1"/>
  <c r="CQ124" i="3"/>
  <c r="CQ18" i="3" s="1"/>
  <c r="CR18" i="3" s="1"/>
  <c r="CR124" i="3" s="1"/>
  <c r="CQ114" i="3"/>
  <c r="CQ35" i="3" s="1"/>
  <c r="CR35" i="3" s="1"/>
  <c r="CR114" i="3" s="1"/>
  <c r="CQ128" i="3"/>
  <c r="CQ37" i="3" s="1"/>
  <c r="CR37" i="3" s="1"/>
  <c r="CR128" i="3" s="1"/>
  <c r="CR24" i="4"/>
  <c r="CQ27" i="4"/>
  <c r="CR11" i="4"/>
  <c r="CR115" i="3"/>
  <c r="CR29" i="4"/>
  <c r="CR13" i="4"/>
  <c r="CR112" i="2" l="1"/>
  <c r="CR129" i="3"/>
  <c r="CQ114" i="2"/>
  <c r="CR116" i="2"/>
  <c r="CR118" i="2" s="1"/>
  <c r="CR125" i="3"/>
  <c r="CS28" i="4"/>
  <c r="CS17" i="4"/>
  <c r="CW28" i="4"/>
  <c r="CQ109" i="3"/>
  <c r="CR27" i="4"/>
  <c r="CR116" i="3"/>
  <c r="CR127" i="3"/>
  <c r="CQ26" i="4"/>
  <c r="CR114" i="2" l="1"/>
  <c r="CQ107" i="3"/>
  <c r="CR26" i="4"/>
  <c r="CS18" i="2"/>
  <c r="CS19" i="4"/>
  <c r="CS21" i="4" s="1"/>
  <c r="CQ15" i="3"/>
  <c r="CR15" i="3" s="1"/>
  <c r="CR109" i="3"/>
  <c r="CR110" i="3" s="1"/>
  <c r="CS14" i="4" l="1"/>
  <c r="CQ14" i="3"/>
  <c r="CR107" i="3"/>
  <c r="CR108" i="3" s="1"/>
  <c r="CQ101" i="3"/>
  <c r="CQ104" i="3" s="1"/>
  <c r="CS9" i="4" l="1"/>
  <c r="CS33" i="4"/>
  <c r="CS38" i="4"/>
  <c r="CQ12" i="3"/>
  <c r="CR14" i="3"/>
  <c r="CR112" i="3" s="1"/>
  <c r="CQ112" i="3"/>
  <c r="CQ111" i="3" s="1"/>
  <c r="CQ36" i="3" s="1"/>
  <c r="CR36" i="3" s="1"/>
  <c r="CR111" i="3" s="1"/>
  <c r="CR113" i="3" l="1"/>
  <c r="CS37" i="4"/>
  <c r="CS112" i="2" s="1"/>
  <c r="CR12" i="3"/>
  <c r="CR101" i="3" s="1"/>
  <c r="CR104" i="3" s="1"/>
  <c r="CQ34" i="3"/>
  <c r="CR34" i="3" s="1"/>
  <c r="CS115" i="3"/>
  <c r="CS10" i="4"/>
  <c r="CS29" i="4"/>
  <c r="CS12" i="4"/>
  <c r="CS24" i="4"/>
  <c r="CS116" i="2" l="1"/>
  <c r="CT28" i="4"/>
  <c r="CT17" i="4"/>
  <c r="CS27" i="4"/>
  <c r="CS114" i="3"/>
  <c r="CS35" i="3" s="1"/>
  <c r="CS126" i="3"/>
  <c r="CS16" i="3" s="1"/>
  <c r="CS124" i="3"/>
  <c r="CS18" i="3" s="1"/>
  <c r="CS128" i="3"/>
  <c r="CS37" i="3" s="1"/>
  <c r="CS109" i="3" l="1"/>
  <c r="CS15" i="3" s="1"/>
  <c r="CT18" i="2"/>
  <c r="CT19" i="4"/>
  <c r="CT21" i="4" s="1"/>
  <c r="CS26" i="4"/>
  <c r="CS107" i="3" s="1"/>
  <c r="CS114" i="2"/>
  <c r="CS14" i="3" l="1"/>
  <c r="CS101" i="3"/>
  <c r="CS104" i="3" s="1"/>
  <c r="CT14" i="4"/>
  <c r="CT38" i="4" s="1"/>
  <c r="CT9" i="4" l="1"/>
  <c r="CT33" i="4"/>
  <c r="CT37" i="4" s="1"/>
  <c r="CS12" i="3"/>
  <c r="CS34" i="3" s="1"/>
  <c r="CS112" i="3"/>
  <c r="CS111" i="3" s="1"/>
  <c r="CS36" i="3" s="1"/>
  <c r="CT115" i="3" l="1"/>
  <c r="CT112" i="2"/>
  <c r="CT10" i="4"/>
  <c r="CT29" i="4"/>
  <c r="CT12" i="4"/>
  <c r="CT24" i="4"/>
  <c r="CT114" i="3" l="1"/>
  <c r="CT35" i="3" s="1"/>
  <c r="CT126" i="3"/>
  <c r="CT16" i="3" s="1"/>
  <c r="CT124" i="3"/>
  <c r="CT18" i="3" s="1"/>
  <c r="CT128" i="3"/>
  <c r="CT37" i="3" s="1"/>
  <c r="CT116" i="2"/>
  <c r="CU28" i="4"/>
  <c r="CU17" i="4"/>
  <c r="CT27" i="4"/>
  <c r="CU18" i="2" l="1"/>
  <c r="CU19" i="4"/>
  <c r="CU21" i="4" s="1"/>
  <c r="CT114" i="2"/>
  <c r="CT109" i="3"/>
  <c r="CT15" i="3" s="1"/>
  <c r="CT26" i="4"/>
  <c r="CT107" i="3" s="1"/>
  <c r="CT14" i="3" l="1"/>
  <c r="CT101" i="3"/>
  <c r="CT104" i="3" s="1"/>
  <c r="CU14" i="4"/>
  <c r="CU33" i="4" l="1"/>
  <c r="CU9" i="4"/>
  <c r="CT12" i="3"/>
  <c r="CT34" i="3" s="1"/>
  <c r="CT112" i="3"/>
  <c r="CT111" i="3" s="1"/>
  <c r="CT36" i="3" s="1"/>
  <c r="CU38" i="4"/>
  <c r="CU37" i="4" l="1"/>
  <c r="CU112" i="2" s="1"/>
  <c r="CU115" i="3"/>
  <c r="CU10" i="4"/>
  <c r="CU29" i="4"/>
  <c r="CU12" i="4"/>
  <c r="CU24" i="4"/>
  <c r="CU114" i="3" l="1"/>
  <c r="CU35" i="3" s="1"/>
  <c r="CU126" i="3"/>
  <c r="CU16" i="3" s="1"/>
  <c r="CU124" i="3"/>
  <c r="CU18" i="3" s="1"/>
  <c r="CU128" i="3"/>
  <c r="CU37" i="3" s="1"/>
  <c r="CV28" i="4"/>
  <c r="CV17" i="4"/>
  <c r="CU27" i="4"/>
  <c r="CU26" i="4" s="1"/>
  <c r="CU107" i="3" s="1"/>
  <c r="CU116" i="2"/>
  <c r="CV18" i="2" l="1"/>
  <c r="CV19" i="4"/>
  <c r="CW19" i="4" s="1"/>
  <c r="CW17" i="4"/>
  <c r="CW18" i="4" s="1"/>
  <c r="CU14" i="3"/>
  <c r="CU114" i="2"/>
  <c r="CU109" i="3"/>
  <c r="CU15" i="3" s="1"/>
  <c r="CU101" i="3" l="1"/>
  <c r="CU104" i="3" s="1"/>
  <c r="CV21" i="4"/>
  <c r="CW21" i="4" s="1"/>
  <c r="CW20" i="4"/>
  <c r="CV14" i="4"/>
  <c r="CV38" i="4" s="1"/>
  <c r="CW18" i="2"/>
  <c r="CU12" i="3"/>
  <c r="CU34" i="3" s="1"/>
  <c r="CU112" i="3"/>
  <c r="CU111" i="3" s="1"/>
  <c r="CU36" i="3" s="1"/>
  <c r="CW20" i="2" l="1"/>
  <c r="CV33" i="4"/>
  <c r="CV37" i="4" s="1"/>
  <c r="CV9" i="4"/>
  <c r="CW14" i="4"/>
  <c r="CW33" i="4" s="1"/>
  <c r="CW37" i="4" l="1"/>
  <c r="CW38" i="4" s="1"/>
  <c r="CV115" i="3"/>
  <c r="CV112" i="2"/>
  <c r="CV10" i="4"/>
  <c r="CW10" i="4" s="1"/>
  <c r="CV29" i="4"/>
  <c r="CV12" i="4"/>
  <c r="CW12" i="4" s="1"/>
  <c r="CW9" i="4"/>
  <c r="CV24" i="4"/>
  <c r="CW115" i="3" l="1"/>
  <c r="CW13" i="4"/>
  <c r="CW29" i="4"/>
  <c r="CV116" i="2"/>
  <c r="CW112" i="2"/>
  <c r="CW11" i="4"/>
  <c r="CV114" i="3"/>
  <c r="CV35" i="3" s="1"/>
  <c r="CW35" i="3" s="1"/>
  <c r="CW114" i="3" s="1"/>
  <c r="CV124" i="3"/>
  <c r="CV18" i="3" s="1"/>
  <c r="CW18" i="3" s="1"/>
  <c r="CW124" i="3" s="1"/>
  <c r="CV126" i="3"/>
  <c r="CV16" i="3" s="1"/>
  <c r="CW16" i="3" s="1"/>
  <c r="CW126" i="3" s="1"/>
  <c r="CV128" i="3"/>
  <c r="CV37" i="3" s="1"/>
  <c r="CW37" i="3" s="1"/>
  <c r="CW128" i="3" s="1"/>
  <c r="CW24" i="4"/>
  <c r="CV27" i="4"/>
  <c r="CW127" i="3" l="1"/>
  <c r="CW129" i="3"/>
  <c r="CW116" i="3"/>
  <c r="CV109" i="3"/>
  <c r="CW27" i="4"/>
  <c r="DB28" i="4"/>
  <c r="CX28" i="4"/>
  <c r="CX17" i="4"/>
  <c r="CV114" i="2"/>
  <c r="CW116" i="2"/>
  <c r="CW118" i="2" s="1"/>
  <c r="CV26" i="4"/>
  <c r="CW125" i="3"/>
  <c r="CX18" i="2" l="1"/>
  <c r="CX19" i="4"/>
  <c r="CW114" i="2"/>
  <c r="CV107" i="3"/>
  <c r="CW26" i="4"/>
  <c r="CV15" i="3"/>
  <c r="CW15" i="3" s="1"/>
  <c r="CW109" i="3"/>
  <c r="CW110" i="3" s="1"/>
  <c r="CV14" i="3" l="1"/>
  <c r="CV101" i="3"/>
  <c r="CV104" i="3" s="1"/>
  <c r="CW107" i="3"/>
  <c r="CW108" i="3" s="1"/>
  <c r="CX14" i="4"/>
  <c r="CX21" i="4"/>
  <c r="CW14" i="3" l="1"/>
  <c r="CW112" i="3" s="1"/>
  <c r="CV12" i="3"/>
  <c r="CV112" i="3"/>
  <c r="CV111" i="3" s="1"/>
  <c r="CV36" i="3" s="1"/>
  <c r="CW36" i="3" s="1"/>
  <c r="CW111" i="3" s="1"/>
  <c r="CX9" i="4"/>
  <c r="CX33" i="4"/>
  <c r="CX38" i="4"/>
  <c r="CW113" i="3" l="1"/>
  <c r="CX37" i="4"/>
  <c r="CX115" i="3"/>
  <c r="CX29" i="4"/>
  <c r="CX12" i="4"/>
  <c r="CX112" i="2"/>
  <c r="CX10" i="4"/>
  <c r="CX24" i="4"/>
  <c r="CW12" i="3"/>
  <c r="CW101" i="3" s="1"/>
  <c r="CW104" i="3" s="1"/>
  <c r="CV34" i="3"/>
  <c r="CW34" i="3" s="1"/>
  <c r="CX116" i="2" l="1"/>
  <c r="CY28" i="4"/>
  <c r="CY17" i="4"/>
  <c r="CX27" i="4"/>
  <c r="CX114" i="3"/>
  <c r="CX35" i="3" s="1"/>
  <c r="CX126" i="3"/>
  <c r="CX16" i="3" s="1"/>
  <c r="CX124" i="3"/>
  <c r="CX18" i="3" s="1"/>
  <c r="CX128" i="3"/>
  <c r="CX37" i="3" s="1"/>
  <c r="CY18" i="2" l="1"/>
  <c r="CY19" i="4"/>
  <c r="CX109" i="3"/>
  <c r="CX15" i="3" s="1"/>
  <c r="CX26" i="4"/>
  <c r="CX107" i="3" s="1"/>
  <c r="CX114" i="2"/>
  <c r="CX14" i="3" l="1"/>
  <c r="CX101" i="3"/>
  <c r="CX104" i="3" s="1"/>
  <c r="CY14" i="4"/>
  <c r="CY21" i="4"/>
  <c r="CY9" i="4" l="1"/>
  <c r="CY33" i="4"/>
  <c r="CX12" i="3"/>
  <c r="CX34" i="3" s="1"/>
  <c r="CX112" i="3"/>
  <c r="CX111" i="3" s="1"/>
  <c r="CX36" i="3" s="1"/>
  <c r="CY38" i="4"/>
  <c r="CY115" i="3" l="1"/>
  <c r="CY10" i="4"/>
  <c r="CY29" i="4"/>
  <c r="CY12" i="4"/>
  <c r="CY24" i="4"/>
  <c r="CY37" i="4"/>
  <c r="CZ17" i="4" l="1"/>
  <c r="CZ28" i="4"/>
  <c r="CY27" i="4"/>
  <c r="CY112" i="2"/>
  <c r="CY114" i="3"/>
  <c r="CY35" i="3" s="1"/>
  <c r="CY124" i="3"/>
  <c r="CY18" i="3" s="1"/>
  <c r="CY126" i="3"/>
  <c r="CY16" i="3" s="1"/>
  <c r="CY128" i="3"/>
  <c r="CY37" i="3" s="1"/>
  <c r="CY116" i="2" l="1"/>
  <c r="CY109" i="3"/>
  <c r="CY15" i="3" s="1"/>
  <c r="CY26" i="4"/>
  <c r="CY107" i="3" s="1"/>
  <c r="CZ18" i="2"/>
  <c r="CZ19" i="4"/>
  <c r="CZ14" i="4" s="1"/>
  <c r="CZ9" i="4" l="1"/>
  <c r="CZ33" i="4"/>
  <c r="CY114" i="2"/>
  <c r="CZ21" i="4"/>
  <c r="CZ38" i="4"/>
  <c r="CY14" i="3"/>
  <c r="CY101" i="3"/>
  <c r="CY104" i="3" s="1"/>
  <c r="CY12" i="3" l="1"/>
  <c r="CY34" i="3" s="1"/>
  <c r="CY112" i="3"/>
  <c r="CY111" i="3" s="1"/>
  <c r="CY36" i="3" s="1"/>
  <c r="CZ37" i="4"/>
  <c r="CZ115" i="3"/>
  <c r="CZ10" i="4"/>
  <c r="CZ29" i="4"/>
  <c r="CZ12" i="4"/>
  <c r="CZ24" i="4"/>
  <c r="CZ114" i="3" l="1"/>
  <c r="CZ35" i="3" s="1"/>
  <c r="CZ124" i="3"/>
  <c r="CZ18" i="3" s="1"/>
  <c r="CZ126" i="3"/>
  <c r="CZ16" i="3" s="1"/>
  <c r="CZ128" i="3"/>
  <c r="CZ37" i="3" s="1"/>
  <c r="DA17" i="4"/>
  <c r="DA28" i="4"/>
  <c r="CZ27" i="4"/>
  <c r="CZ112" i="2"/>
  <c r="CZ116" i="2" l="1"/>
  <c r="CZ109" i="3"/>
  <c r="CZ15" i="3" s="1"/>
  <c r="CZ26" i="4"/>
  <c r="CZ107" i="3" s="1"/>
  <c r="DA18" i="2"/>
  <c r="DA19" i="4"/>
  <c r="DB19" i="4" s="1"/>
  <c r="DB17" i="4"/>
  <c r="DB18" i="4" s="1"/>
  <c r="DB20" i="4" l="1"/>
  <c r="DA21" i="4"/>
  <c r="DB21" i="4" s="1"/>
  <c r="DA14" i="4"/>
  <c r="CZ114" i="2"/>
  <c r="DB18" i="2"/>
  <c r="CZ14" i="3"/>
  <c r="CZ101" i="3"/>
  <c r="CZ104" i="3" s="1"/>
  <c r="DA9" i="4" l="1"/>
  <c r="DA33" i="4"/>
  <c r="DB14" i="4"/>
  <c r="DB33" i="4" s="1"/>
  <c r="CZ12" i="3"/>
  <c r="CZ34" i="3" s="1"/>
  <c r="CZ112" i="3"/>
  <c r="CZ111" i="3" s="1"/>
  <c r="CZ36" i="3" s="1"/>
  <c r="DA38" i="4"/>
  <c r="DB20" i="2"/>
  <c r="DA115" i="3" l="1"/>
  <c r="DA12" i="4"/>
  <c r="DB12" i="4" s="1"/>
  <c r="DA10" i="4"/>
  <c r="DB10" i="4" s="1"/>
  <c r="DA29" i="4"/>
  <c r="DB9" i="4"/>
  <c r="DA24" i="4"/>
  <c r="DA37" i="4"/>
  <c r="DB24" i="4" l="1"/>
  <c r="DA27" i="4"/>
  <c r="DA124" i="3"/>
  <c r="DA18" i="3" s="1"/>
  <c r="DB18" i="3" s="1"/>
  <c r="DB124" i="3" s="1"/>
  <c r="DA114" i="3"/>
  <c r="DA35" i="3" s="1"/>
  <c r="DB35" i="3" s="1"/>
  <c r="DB114" i="3" s="1"/>
  <c r="DA126" i="3"/>
  <c r="DA16" i="3" s="1"/>
  <c r="DB16" i="3" s="1"/>
  <c r="DB126" i="3" s="1"/>
  <c r="DA128" i="3"/>
  <c r="DA37" i="3" s="1"/>
  <c r="DB37" i="3" s="1"/>
  <c r="DB128" i="3" s="1"/>
  <c r="DB11" i="4"/>
  <c r="DB37" i="4"/>
  <c r="DB38" i="4" s="1"/>
  <c r="DB115" i="3"/>
  <c r="DB29" i="4"/>
  <c r="DB13" i="4"/>
  <c r="DA112" i="2"/>
  <c r="DB129" i="3" l="1"/>
  <c r="DB127" i="3"/>
  <c r="DA116" i="2"/>
  <c r="DB112" i="2"/>
  <c r="DB116" i="3"/>
  <c r="DA109" i="3"/>
  <c r="DB27" i="4"/>
  <c r="DA26" i="4"/>
  <c r="DB125" i="3"/>
  <c r="DA114" i="2" l="1"/>
  <c r="DB116" i="2"/>
  <c r="DB118" i="2" s="1"/>
  <c r="DA107" i="3"/>
  <c r="DB26" i="4"/>
  <c r="DA15" i="3"/>
  <c r="DB15" i="3" s="1"/>
  <c r="DB109" i="3"/>
  <c r="DB110" i="3" s="1"/>
  <c r="DA14" i="3" l="1"/>
  <c r="DA101" i="3"/>
  <c r="DA104" i="3" s="1"/>
  <c r="DB107" i="3"/>
  <c r="DB108" i="3" s="1"/>
  <c r="DB114" i="2"/>
  <c r="DA12" i="3" l="1"/>
  <c r="DB14" i="3"/>
  <c r="DB112" i="3" s="1"/>
  <c r="DA112" i="3"/>
  <c r="DA111" i="3" s="1"/>
  <c r="DA36" i="3" s="1"/>
  <c r="DB36" i="3" s="1"/>
  <c r="DB111" i="3" s="1"/>
  <c r="DB113" i="3" l="1"/>
  <c r="DB12" i="3"/>
  <c r="DB101" i="3" s="1"/>
  <c r="DB104" i="3" s="1"/>
  <c r="DA34" i="3"/>
  <c r="DB34" i="3" s="1"/>
  <c r="CB87" i="3" l="1"/>
  <c r="CC47" i="3" l="1"/>
  <c r="CB77" i="3"/>
  <c r="CC45" i="2"/>
  <c r="CB56" i="2"/>
  <c r="Q14" i="12"/>
  <c r="CC77" i="3" l="1"/>
  <c r="I48" i="9"/>
  <c r="CC73" i="2"/>
  <c r="CC51" i="2" s="1"/>
  <c r="I49" i="9" s="1"/>
  <c r="CC56" i="2"/>
  <c r="CB136" i="3"/>
  <c r="D17" i="9"/>
  <c r="P12" i="12"/>
  <c r="P11" i="12"/>
  <c r="CC43" i="3"/>
  <c r="CD84" i="3" s="1"/>
  <c r="CD85" i="3" s="1"/>
  <c r="CD86" i="3" s="1"/>
  <c r="CD90" i="3" l="1"/>
  <c r="CD89" i="3"/>
  <c r="CD88" i="3"/>
  <c r="CC74" i="2"/>
  <c r="CC90" i="2"/>
  <c r="G11" i="12"/>
  <c r="CB134" i="3"/>
  <c r="CB146" i="3" s="1"/>
  <c r="CB147" i="3" s="1"/>
  <c r="CC134" i="3"/>
  <c r="CC52" i="2" l="1"/>
  <c r="CC136" i="3" s="1"/>
  <c r="D18" i="9"/>
  <c r="G12" i="12"/>
  <c r="CC135" i="3"/>
  <c r="CB135" i="3"/>
  <c r="I65" i="9" l="1"/>
  <c r="CD137" i="3"/>
  <c r="CC137" i="3"/>
  <c r="I56" i="9" s="1"/>
  <c r="CB137" i="3"/>
  <c r="L27" i="9" l="1"/>
  <c r="CC5" i="2"/>
  <c r="CC6" i="2"/>
  <c r="CC13" i="2"/>
  <c r="CC14" i="2"/>
  <c r="CC15" i="2" s="1"/>
  <c r="CC30" i="2"/>
  <c r="I43" i="9" s="1"/>
  <c r="K43" i="9" s="1"/>
  <c r="CC31" i="2"/>
  <c r="CC62" i="2" s="1"/>
  <c r="D6" i="9" s="1"/>
  <c r="CC80" i="2"/>
  <c r="D24" i="9" s="1"/>
  <c r="CC112" i="2"/>
  <c r="CC113" i="2"/>
  <c r="CC35" i="4"/>
  <c r="CC36" i="4" s="1"/>
  <c r="CC37" i="4"/>
  <c r="CC38" i="4" s="1"/>
  <c r="CC41" i="4"/>
  <c r="CC42" i="4" l="1"/>
  <c r="CC116" i="2"/>
  <c r="CC118" i="2" s="1"/>
  <c r="CC11" i="2"/>
  <c r="CC7" i="2" l="1"/>
  <c r="CC4" i="2"/>
  <c r="CC12" i="2"/>
  <c r="CC60" i="2"/>
  <c r="CC79" i="2"/>
  <c r="D23" i="9" s="1"/>
  <c r="CC10" i="2"/>
  <c r="CC102" i="3" s="1"/>
  <c r="CC115" i="2"/>
  <c r="CC117" i="2" s="1"/>
  <c r="CC107" i="2"/>
  <c r="CH34" i="4" s="1"/>
  <c r="CC114" i="2"/>
  <c r="CC108" i="2"/>
  <c r="D4" i="9" l="1"/>
  <c r="I38" i="9"/>
  <c r="K38" i="9" s="1"/>
  <c r="CC118" i="3"/>
  <c r="CC103" i="3"/>
  <c r="CC32" i="4"/>
  <c r="CC8" i="2"/>
  <c r="CC9" i="2" l="1"/>
  <c r="CC33" i="3"/>
  <c r="CC109" i="2"/>
  <c r="CC110" i="2" s="1"/>
  <c r="CC117" i="3" l="1"/>
  <c r="CC119" i="3" s="1"/>
  <c r="P5" i="12"/>
  <c r="P6" i="12" s="1"/>
  <c r="CC16" i="2"/>
  <c r="P22" i="12"/>
  <c r="CC94" i="3"/>
  <c r="CC59" i="2"/>
  <c r="I37" i="9" s="1"/>
  <c r="K37" i="9" s="1"/>
  <c r="CC19" i="2"/>
  <c r="CC22" i="2"/>
  <c r="CC78" i="2" l="1"/>
  <c r="I51" i="9" s="1"/>
  <c r="K51" i="9" s="1"/>
  <c r="G22" i="12"/>
  <c r="CC10" i="3"/>
  <c r="CB52" i="3"/>
  <c r="CC61" i="2"/>
  <c r="I39" i="9" s="1"/>
  <c r="K39" i="9" s="1"/>
  <c r="CC83" i="2"/>
  <c r="I52" i="9" s="1"/>
  <c r="G5" i="12"/>
  <c r="G6" i="12" s="1"/>
  <c r="CC85" i="2"/>
  <c r="D3" i="9"/>
  <c r="CB138" i="3"/>
  <c r="CC98" i="3"/>
  <c r="CC52" i="3" l="1"/>
  <c r="CC53" i="3" s="1"/>
  <c r="P9" i="12"/>
  <c r="P10" i="12" s="1"/>
  <c r="CC8" i="3"/>
  <c r="CC93" i="3" s="1"/>
  <c r="CC99" i="3"/>
  <c r="CC100" i="3" s="1"/>
  <c r="CC63" i="2"/>
  <c r="CC77" i="2"/>
  <c r="I50" i="9" s="1"/>
  <c r="K50" i="9" s="1"/>
  <c r="CC86" i="2"/>
  <c r="D5" i="9"/>
  <c r="CC88" i="2"/>
  <c r="D22" i="9"/>
  <c r="CF34" i="4"/>
  <c r="CC138" i="3"/>
  <c r="CC91" i="2"/>
  <c r="D27" i="9"/>
  <c r="CB39" i="2" l="1"/>
  <c r="CC21" i="3"/>
  <c r="CC29" i="3"/>
  <c r="CC28" i="3" s="1"/>
  <c r="P7" i="12"/>
  <c r="P8" i="12" s="1"/>
  <c r="CB84" i="3"/>
  <c r="CB65" i="3"/>
  <c r="CC42" i="3"/>
  <c r="CC96" i="3"/>
  <c r="CC95" i="3"/>
  <c r="CC87" i="2"/>
  <c r="D21" i="9"/>
  <c r="CC65" i="2"/>
  <c r="CC82" i="2"/>
  <c r="D26" i="9" s="1"/>
  <c r="G9" i="12"/>
  <c r="G10" i="12" s="1"/>
  <c r="D7" i="9"/>
  <c r="K19" i="9" l="1"/>
  <c r="K15" i="9"/>
  <c r="CB96" i="2"/>
  <c r="CB97" i="2" s="1"/>
  <c r="CB103" i="2"/>
  <c r="CB104" i="2" s="1"/>
  <c r="CC51" i="3"/>
  <c r="CC83" i="3"/>
  <c r="G26" i="12"/>
  <c r="CC34" i="2"/>
  <c r="CB81" i="3"/>
  <c r="P23" i="12"/>
  <c r="G7" i="12"/>
  <c r="G8" i="12" s="1"/>
  <c r="CC89" i="2"/>
  <c r="CC81" i="2"/>
  <c r="D25" i="9" s="1"/>
  <c r="D9" i="9"/>
  <c r="CB51" i="3"/>
  <c r="CB83" i="3"/>
  <c r="CB85" i="3" s="1"/>
  <c r="P26" i="12"/>
  <c r="CC20" i="3"/>
  <c r="CC38" i="2"/>
  <c r="CC84" i="3"/>
  <c r="CC65" i="3"/>
  <c r="P16" i="12"/>
  <c r="CC69" i="2" l="1"/>
  <c r="D13" i="9" s="1"/>
  <c r="I44" i="9"/>
  <c r="K44" i="9" s="1"/>
  <c r="CB132" i="3"/>
  <c r="CB27" i="2"/>
  <c r="CC40" i="2"/>
  <c r="CC71" i="2" s="1"/>
  <c r="CC39" i="2"/>
  <c r="CC85" i="3"/>
  <c r="CC81" i="3"/>
  <c r="G23" i="12"/>
  <c r="CC102" i="2"/>
  <c r="CC103" i="2" s="1"/>
  <c r="CC104" i="2" s="1"/>
  <c r="D30" i="9"/>
  <c r="CB82" i="3"/>
  <c r="P17" i="12"/>
  <c r="CC132" i="3"/>
  <c r="G16" i="12"/>
  <c r="D36" i="9"/>
  <c r="I46" i="9" l="1"/>
  <c r="K46" i="9" s="1"/>
  <c r="D15" i="9"/>
  <c r="CC133" i="3"/>
  <c r="CC82" i="3"/>
  <c r="G17" i="12"/>
  <c r="CC41" i="2"/>
  <c r="Q5" i="12"/>
  <c r="Q6" i="12" s="1"/>
  <c r="CC95" i="2"/>
  <c r="CC96" i="2" s="1"/>
  <c r="CC97" i="2" s="1"/>
  <c r="CB133" i="3"/>
  <c r="CC38" i="3"/>
  <c r="CB79" i="3"/>
  <c r="CB80" i="3" s="1"/>
  <c r="CB86" i="3" s="1"/>
  <c r="CC26" i="2" l="1"/>
  <c r="CC94" i="2"/>
  <c r="CC98" i="2" s="1"/>
  <c r="CB90" i="3"/>
  <c r="P19" i="12" s="1"/>
  <c r="CB88" i="3"/>
  <c r="CB25" i="2" s="1"/>
  <c r="CC79" i="3"/>
  <c r="CC80" i="3" s="1"/>
  <c r="CC86" i="3" s="1"/>
  <c r="CC27" i="3"/>
  <c r="CC26" i="3" s="1"/>
  <c r="CD96" i="2" l="1"/>
  <c r="CD97" i="2" s="1"/>
  <c r="CD103" i="2"/>
  <c r="CD104" i="2" s="1"/>
  <c r="Q9" i="12"/>
  <c r="Q10" i="12" s="1"/>
  <c r="CB56" i="3"/>
  <c r="CB57" i="3" s="1"/>
  <c r="CC6" i="3"/>
  <c r="P25" i="12"/>
  <c r="CD27" i="2"/>
  <c r="Q26" i="12"/>
  <c r="CC90" i="3"/>
  <c r="CC144" i="3"/>
  <c r="CC68" i="2"/>
  <c r="D12" i="9" s="1"/>
  <c r="CC27" i="2"/>
  <c r="G19" i="12" l="1"/>
  <c r="CC146" i="3"/>
  <c r="CC147" i="3" s="1"/>
  <c r="I66" i="9" s="1"/>
  <c r="CB89" i="3"/>
  <c r="P18" i="12" s="1"/>
  <c r="CC24" i="2"/>
  <c r="CB64" i="3"/>
  <c r="CB68" i="3"/>
  <c r="CB66" i="3"/>
  <c r="CC5" i="3"/>
  <c r="CC56" i="3"/>
  <c r="CC88" i="3"/>
  <c r="CH87" i="3"/>
  <c r="G25" i="12"/>
  <c r="Q7" i="12"/>
  <c r="Q8" i="12" s="1"/>
  <c r="CC149" i="3"/>
  <c r="CC151" i="3"/>
  <c r="CC152" i="3" s="1"/>
  <c r="P24" i="12"/>
  <c r="CD39" i="2" l="1"/>
  <c r="CB140" i="3"/>
  <c r="P21" i="12"/>
  <c r="CB139" i="3"/>
  <c r="D31" i="9"/>
  <c r="CC57" i="3"/>
  <c r="CC23" i="2"/>
  <c r="I42" i="9" s="1"/>
  <c r="Q23" i="12"/>
  <c r="CB71" i="3"/>
  <c r="CB75" i="3" s="1"/>
  <c r="CB67" i="3"/>
  <c r="P15" i="12"/>
  <c r="CC4" i="3"/>
  <c r="G24" i="12"/>
  <c r="CC25" i="2"/>
  <c r="CC67" i="2"/>
  <c r="CC64" i="3" l="1"/>
  <c r="CC68" i="3"/>
  <c r="D39" i="9" s="1"/>
  <c r="CC66" i="3"/>
  <c r="D32" i="9"/>
  <c r="CB141" i="3"/>
  <c r="CC141" i="3"/>
  <c r="CC66" i="2"/>
  <c r="D11" i="9"/>
  <c r="Q17" i="12"/>
  <c r="CC140" i="3"/>
  <c r="CD141" i="3" s="1"/>
  <c r="G21" i="12"/>
  <c r="CC139" i="3"/>
  <c r="CC48" i="3"/>
  <c r="CC17" i="2"/>
  <c r="D37" i="9" l="1"/>
  <c r="I55" i="9"/>
  <c r="CC35" i="2"/>
  <c r="I45" i="9" s="1"/>
  <c r="D10" i="9"/>
  <c r="CC89" i="3"/>
  <c r="G18" i="12" s="1"/>
  <c r="CC71" i="3"/>
  <c r="CC75" i="3" s="1"/>
  <c r="CC67" i="3"/>
  <c r="D38" i="9" s="1"/>
  <c r="G15" i="12"/>
  <c r="D35" i="9"/>
  <c r="Q22" i="12"/>
  <c r="CC69" i="3" l="1"/>
  <c r="I53" i="9"/>
  <c r="CC37" i="2"/>
  <c r="CC70" i="2" s="1"/>
  <c r="P13" i="12"/>
  <c r="CC42" i="2" l="1"/>
  <c r="CC44" i="2" s="1"/>
  <c r="D14" i="9"/>
  <c r="G13" i="12"/>
  <c r="R20" i="12" l="1"/>
  <c r="Q20" i="12"/>
  <c r="K42" i="9" l="1"/>
  <c r="K45" i="9"/>
  <c r="K48" i="9"/>
  <c r="K49" i="9"/>
  <c r="K52" i="9"/>
  <c r="K53" i="9"/>
  <c r="K55" i="9"/>
  <c r="K56" i="9"/>
  <c r="K63" i="9"/>
  <c r="BX35" i="4" l="1"/>
  <c r="BX36" i="4" s="1"/>
  <c r="BX37" i="4"/>
  <c r="BX38" i="4" s="1"/>
  <c r="BX39" i="4"/>
  <c r="BX40" i="4" s="1"/>
  <c r="BX41" i="4"/>
  <c r="BX42" i="4" l="1"/>
  <c r="L62" i="9" l="1"/>
  <c r="O62" i="9" l="1"/>
  <c r="M62" i="9"/>
  <c r="P62" i="9" l="1"/>
  <c r="R62" i="9"/>
  <c r="S62" i="9" s="1"/>
  <c r="R14" i="12" l="1"/>
  <c r="CD56" i="2"/>
  <c r="Q13" i="12"/>
  <c r="Q11" i="12"/>
  <c r="Q18" i="12" l="1"/>
  <c r="Q19" i="12"/>
  <c r="Q12" i="12"/>
  <c r="Q16" i="12"/>
  <c r="CD25" i="2" l="1"/>
  <c r="Q25" i="12"/>
  <c r="Q24" i="12" l="1"/>
  <c r="Q15" i="12" l="1"/>
  <c r="Q21" i="12"/>
  <c r="CH37" i="4" l="1"/>
  <c r="CH38" i="4" s="1"/>
  <c r="CH112" i="2" l="1"/>
  <c r="CH116" i="2" l="1"/>
  <c r="CH118" i="2" s="1"/>
  <c r="CF39" i="4"/>
  <c r="CG34" i="4"/>
  <c r="CH114" i="2" l="1"/>
  <c r="CF35" i="4"/>
  <c r="CF12" i="2" s="1"/>
  <c r="CF107" i="2"/>
  <c r="CF111" i="2"/>
  <c r="CF32" i="4" l="1"/>
  <c r="CG39" i="4" s="1"/>
  <c r="CF5" i="2"/>
  <c r="CF36" i="4"/>
  <c r="CF31" i="2" l="1"/>
  <c r="CF11" i="2"/>
  <c r="CF108" i="2"/>
  <c r="CF113" i="2"/>
  <c r="CF115" i="2" s="1"/>
  <c r="CF117" i="2" s="1"/>
  <c r="CG35" i="4"/>
  <c r="CH39" i="4"/>
  <c r="CH40" i="4" s="1"/>
  <c r="CG107" i="2"/>
  <c r="CG111" i="2"/>
  <c r="CG5" i="2" l="1"/>
  <c r="CG36" i="4"/>
  <c r="CH35" i="4"/>
  <c r="CH36" i="4" s="1"/>
  <c r="CF109" i="2"/>
  <c r="CF110" i="2" s="1"/>
  <c r="CG12" i="2" s="1"/>
  <c r="CH111" i="2"/>
  <c r="CH107" i="2"/>
  <c r="CG32" i="4"/>
  <c r="CI34" i="4" s="1"/>
  <c r="CF62" i="2"/>
  <c r="CF30" i="2"/>
  <c r="CF79" i="2"/>
  <c r="CG11" i="2" l="1"/>
  <c r="CH32" i="4"/>
  <c r="CM34" i="4"/>
  <c r="CG113" i="2"/>
  <c r="CG108" i="2"/>
  <c r="CG31" i="2"/>
  <c r="CH5" i="2"/>
  <c r="CH11" i="2" l="1"/>
  <c r="CH79" i="2" s="1"/>
  <c r="E23" i="9" s="1"/>
  <c r="CG79" i="2"/>
  <c r="CH113" i="2"/>
  <c r="CG115" i="2"/>
  <c r="CH108" i="2"/>
  <c r="CG109" i="2"/>
  <c r="CJ34" i="4"/>
  <c r="CI39" i="4"/>
  <c r="CG62" i="2"/>
  <c r="CG30" i="2"/>
  <c r="CH30" i="2" s="1"/>
  <c r="L43" i="9" s="1"/>
  <c r="N43" i="9" s="1"/>
  <c r="CH31" i="2"/>
  <c r="CH62" i="2" s="1"/>
  <c r="E6" i="9" s="1"/>
  <c r="CH12" i="2" l="1"/>
  <c r="CI35" i="4"/>
  <c r="CI111" i="2"/>
  <c r="CI107" i="2"/>
  <c r="CG110" i="2"/>
  <c r="CH109" i="2"/>
  <c r="CH110" i="2" s="1"/>
  <c r="CH115" i="2"/>
  <c r="CH117" i="2" s="1"/>
  <c r="CG117" i="2"/>
  <c r="CI12" i="2" l="1"/>
  <c r="CI113" i="2" s="1"/>
  <c r="CI115" i="2" s="1"/>
  <c r="CI117" i="2" s="1"/>
  <c r="CI5" i="2"/>
  <c r="CI36" i="4"/>
  <c r="CI32" i="4"/>
  <c r="CI108" i="2" l="1"/>
  <c r="CI109" i="2" s="1"/>
  <c r="CI110" i="2" s="1"/>
  <c r="CK34" i="4"/>
  <c r="CJ39" i="4"/>
  <c r="CI31" i="2"/>
  <c r="CI11" i="2"/>
  <c r="CI79" i="2" s="1"/>
  <c r="CI62" i="2" l="1"/>
  <c r="CI30" i="2"/>
  <c r="CJ35" i="4"/>
  <c r="CJ111" i="2"/>
  <c r="CJ107" i="2"/>
  <c r="CJ5" i="2" l="1"/>
  <c r="CJ36" i="4"/>
  <c r="CJ12" i="2"/>
  <c r="CJ32" i="4"/>
  <c r="CJ31" i="2" l="1"/>
  <c r="CL34" i="4"/>
  <c r="CK39" i="4"/>
  <c r="CJ11" i="2"/>
  <c r="CJ113" i="2"/>
  <c r="CJ115" i="2" s="1"/>
  <c r="CJ117" i="2" s="1"/>
  <c r="CJ108" i="2"/>
  <c r="CJ109" i="2" l="1"/>
  <c r="CJ110" i="2" s="1"/>
  <c r="CK35" i="4"/>
  <c r="CK107" i="2"/>
  <c r="CK111" i="2"/>
  <c r="CJ62" i="2"/>
  <c r="CJ30" i="2"/>
  <c r="CJ79" i="2"/>
  <c r="CK32" i="4" l="1"/>
  <c r="CL39" i="4" s="1"/>
  <c r="CL111" i="2" s="1"/>
  <c r="CK5" i="2"/>
  <c r="CK36" i="4"/>
  <c r="CK12" i="2"/>
  <c r="CL107" i="2" l="1"/>
  <c r="CM107" i="2" s="1"/>
  <c r="CM111" i="2"/>
  <c r="CK11" i="2"/>
  <c r="CK108" i="2"/>
  <c r="CK113" i="2"/>
  <c r="CK115" i="2" s="1"/>
  <c r="CK117" i="2" s="1"/>
  <c r="CK79" i="2"/>
  <c r="CK31" i="2"/>
  <c r="CL32" i="4"/>
  <c r="CN34" i="4" s="1"/>
  <c r="CL35" i="4"/>
  <c r="CM39" i="4"/>
  <c r="CM40" i="4" s="1"/>
  <c r="CM32" i="4" l="1"/>
  <c r="CR34" i="4"/>
  <c r="CK62" i="2"/>
  <c r="CK30" i="2"/>
  <c r="CK109" i="2"/>
  <c r="CK110" i="2" s="1"/>
  <c r="CL12" i="2" s="1"/>
  <c r="CL5" i="2"/>
  <c r="CL36" i="4"/>
  <c r="CM35" i="4"/>
  <c r="CM36" i="4" s="1"/>
  <c r="CL11" i="2" l="1"/>
  <c r="CL79" i="2" s="1"/>
  <c r="CL113" i="2"/>
  <c r="CL31" i="2"/>
  <c r="CM5" i="2"/>
  <c r="CL108" i="2"/>
  <c r="CN39" i="4"/>
  <c r="CO34" i="4"/>
  <c r="CM11" i="2" l="1"/>
  <c r="CM12" i="2" s="1"/>
  <c r="CN35" i="4"/>
  <c r="CN111" i="2"/>
  <c r="CN107" i="2"/>
  <c r="CM79" i="2"/>
  <c r="F23" i="9" s="1"/>
  <c r="CM108" i="2"/>
  <c r="CL109" i="2"/>
  <c r="CL62" i="2"/>
  <c r="CL30" i="2"/>
  <c r="CM30" i="2" s="1"/>
  <c r="O43" i="9" s="1"/>
  <c r="Q43" i="9" s="1"/>
  <c r="CM31" i="2"/>
  <c r="CM62" i="2" s="1"/>
  <c r="F6" i="9" s="1"/>
  <c r="CM113" i="2"/>
  <c r="CL115" i="2"/>
  <c r="CM109" i="2" l="1"/>
  <c r="CM110" i="2" s="1"/>
  <c r="CL110" i="2"/>
  <c r="CM115" i="2"/>
  <c r="CM117" i="2" s="1"/>
  <c r="CL117" i="2"/>
  <c r="CN32" i="4"/>
  <c r="CN5" i="2"/>
  <c r="CN36" i="4"/>
  <c r="CN12" i="2" l="1"/>
  <c r="CN108" i="2" s="1"/>
  <c r="CN109" i="2" s="1"/>
  <c r="CN110" i="2" s="1"/>
  <c r="CN31" i="2"/>
  <c r="CO39" i="4"/>
  <c r="CP34" i="4"/>
  <c r="CN11" i="2"/>
  <c r="CN79" i="2" s="1"/>
  <c r="CN113" i="2" l="1"/>
  <c r="CN115" i="2" s="1"/>
  <c r="CN117" i="2" s="1"/>
  <c r="CO35" i="4"/>
  <c r="CO12" i="2" s="1"/>
  <c r="CO107" i="2"/>
  <c r="CO111" i="2"/>
  <c r="CN30" i="2"/>
  <c r="CN62" i="2"/>
  <c r="CO108" i="2" l="1"/>
  <c r="CO109" i="2" s="1"/>
  <c r="CO110" i="2" s="1"/>
  <c r="CO113" i="2"/>
  <c r="CO115" i="2" s="1"/>
  <c r="CO117" i="2" s="1"/>
  <c r="CO32" i="4"/>
  <c r="CO5" i="2"/>
  <c r="CO36" i="4"/>
  <c r="CO31" i="2" l="1"/>
  <c r="CP39" i="4"/>
  <c r="CQ34" i="4"/>
  <c r="CO11" i="2"/>
  <c r="CO30" i="2" l="1"/>
  <c r="CO62" i="2"/>
  <c r="CP35" i="4"/>
  <c r="CP111" i="2"/>
  <c r="CP107" i="2"/>
  <c r="CO79" i="2"/>
  <c r="CP12" i="2"/>
  <c r="CP113" i="2" l="1"/>
  <c r="CP115" i="2" s="1"/>
  <c r="CP117" i="2" s="1"/>
  <c r="CP108" i="2"/>
  <c r="CP109" i="2" s="1"/>
  <c r="CP110" i="2" s="1"/>
  <c r="CP32" i="4"/>
  <c r="CQ39" i="4" s="1"/>
  <c r="CQ111" i="2" s="1"/>
  <c r="CP5" i="2"/>
  <c r="CP36" i="4"/>
  <c r="CR111" i="2" l="1"/>
  <c r="CP31" i="2"/>
  <c r="CQ35" i="4"/>
  <c r="CR39" i="4"/>
  <c r="CR40" i="4" s="1"/>
  <c r="CQ107" i="2"/>
  <c r="CQ12" i="2"/>
  <c r="CQ108" i="2" s="1"/>
  <c r="CR108" i="2" s="1"/>
  <c r="CP11" i="2"/>
  <c r="CP79" i="2" s="1"/>
  <c r="CQ113" i="2" l="1"/>
  <c r="CR113" i="2" s="1"/>
  <c r="CQ109" i="2"/>
  <c r="CR107" i="2"/>
  <c r="CQ32" i="4"/>
  <c r="CS34" i="4" s="1"/>
  <c r="CQ5" i="2"/>
  <c r="CQ36" i="4"/>
  <c r="CR35" i="4"/>
  <c r="CR36" i="4" s="1"/>
  <c r="CQ11" i="2"/>
  <c r="CR11" i="2" s="1"/>
  <c r="CP62" i="2"/>
  <c r="CP30" i="2"/>
  <c r="CQ115" i="2"/>
  <c r="CQ79" i="2" l="1"/>
  <c r="CQ31" i="2"/>
  <c r="CR5" i="2"/>
  <c r="CR79" i="2" s="1"/>
  <c r="CR32" i="4"/>
  <c r="CW34" i="4"/>
  <c r="CQ110" i="2"/>
  <c r="CR109" i="2"/>
  <c r="CR110" i="2" s="1"/>
  <c r="CR115" i="2"/>
  <c r="CR117" i="2" s="1"/>
  <c r="CQ117" i="2"/>
  <c r="CQ62" i="2" l="1"/>
  <c r="CQ30" i="2"/>
  <c r="CR30" i="2" s="1"/>
  <c r="R43" i="9" s="1"/>
  <c r="T43" i="9" s="1"/>
  <c r="CR31" i="2"/>
  <c r="CR62" i="2" s="1"/>
  <c r="CS39" i="4"/>
  <c r="CT34" i="4"/>
  <c r="CR12" i="2"/>
  <c r="CS35" i="4" l="1"/>
  <c r="CS107" i="2"/>
  <c r="CS111" i="2"/>
  <c r="CS32" i="4" l="1"/>
  <c r="CS5" i="2"/>
  <c r="CS36" i="4"/>
  <c r="CS12" i="2"/>
  <c r="CS11" i="2" l="1"/>
  <c r="CS108" i="2"/>
  <c r="CS113" i="2"/>
  <c r="CS115" i="2" s="1"/>
  <c r="CS117" i="2" s="1"/>
  <c r="CS79" i="2"/>
  <c r="CS31" i="2"/>
  <c r="CT39" i="4"/>
  <c r="CU34" i="4"/>
  <c r="CT35" i="4" l="1"/>
  <c r="CT111" i="2"/>
  <c r="CT107" i="2"/>
  <c r="CS62" i="2"/>
  <c r="CS30" i="2"/>
  <c r="CS109" i="2"/>
  <c r="CS110" i="2" s="1"/>
  <c r="CT12" i="2" l="1"/>
  <c r="CT113" i="2" s="1"/>
  <c r="CT115" i="2" s="1"/>
  <c r="CT117" i="2" s="1"/>
  <c r="CT32" i="4"/>
  <c r="CT5" i="2"/>
  <c r="CT36" i="4"/>
  <c r="CT11" i="2" l="1"/>
  <c r="CT108" i="2"/>
  <c r="CT109" i="2" s="1"/>
  <c r="CT110" i="2" s="1"/>
  <c r="CT79" i="2"/>
  <c r="CT31" i="2"/>
  <c r="CU39" i="4"/>
  <c r="CV34" i="4"/>
  <c r="CU35" i="4" l="1"/>
  <c r="CU107" i="2"/>
  <c r="CU111" i="2"/>
  <c r="CT62" i="2"/>
  <c r="CT30" i="2"/>
  <c r="CU32" i="4" l="1"/>
  <c r="CV39" i="4" s="1"/>
  <c r="CV107" i="2" s="1"/>
  <c r="CU5" i="2"/>
  <c r="CU36" i="4"/>
  <c r="CU12" i="2"/>
  <c r="CW107" i="2" l="1"/>
  <c r="CV32" i="4"/>
  <c r="CX34" i="4" s="1"/>
  <c r="CU31" i="2"/>
  <c r="CU11" i="2"/>
  <c r="CU113" i="2"/>
  <c r="CU115" i="2" s="1"/>
  <c r="CU117" i="2" s="1"/>
  <c r="CU108" i="2"/>
  <c r="CV35" i="4"/>
  <c r="CW39" i="4"/>
  <c r="CW40" i="4" s="1"/>
  <c r="CV111" i="2"/>
  <c r="CV5" i="2" l="1"/>
  <c r="CV36" i="4"/>
  <c r="CW35" i="4"/>
  <c r="CW36" i="4" s="1"/>
  <c r="CU109" i="2"/>
  <c r="CU110" i="2" s="1"/>
  <c r="CV12" i="2" s="1"/>
  <c r="CU79" i="2"/>
  <c r="CU62" i="2"/>
  <c r="CU30" i="2"/>
  <c r="CW32" i="4"/>
  <c r="DB34" i="4"/>
  <c r="CW111" i="2"/>
  <c r="CV11" i="2" l="1"/>
  <c r="CW11" i="2" s="1"/>
  <c r="CV108" i="2"/>
  <c r="CV113" i="2"/>
  <c r="CY34" i="4"/>
  <c r="CX39" i="4"/>
  <c r="CV79" i="2"/>
  <c r="CV31" i="2"/>
  <c r="CW5" i="2"/>
  <c r="CW79" i="2" s="1"/>
  <c r="CW12" i="2" l="1"/>
  <c r="CX35" i="4"/>
  <c r="CX111" i="2"/>
  <c r="CX107" i="2"/>
  <c r="CV62" i="2"/>
  <c r="CV30" i="2"/>
  <c r="CW30" i="2" s="1"/>
  <c r="CW31" i="2"/>
  <c r="CW62" i="2" s="1"/>
  <c r="CW113" i="2"/>
  <c r="CV115" i="2"/>
  <c r="CW108" i="2"/>
  <c r="CV109" i="2"/>
  <c r="CX32" i="4" l="1"/>
  <c r="CV110" i="2"/>
  <c r="CW109" i="2"/>
  <c r="CW110" i="2" s="1"/>
  <c r="CW115" i="2"/>
  <c r="CW117" i="2" s="1"/>
  <c r="CV117" i="2"/>
  <c r="CX5" i="2"/>
  <c r="CX36" i="4"/>
  <c r="CX12" i="2" l="1"/>
  <c r="CX11" i="2" s="1"/>
  <c r="CX31" i="2"/>
  <c r="CY39" i="4"/>
  <c r="CZ34" i="4"/>
  <c r="CX108" i="2"/>
  <c r="CX113" i="2"/>
  <c r="CX115" i="2" s="1"/>
  <c r="CX117" i="2" s="1"/>
  <c r="CX109" i="2" l="1"/>
  <c r="CX110" i="2" s="1"/>
  <c r="CX62" i="2"/>
  <c r="CX30" i="2"/>
  <c r="CY35" i="4"/>
  <c r="CY107" i="2"/>
  <c r="CY111" i="2"/>
  <c r="CX79" i="2"/>
  <c r="CY32" i="4" l="1"/>
  <c r="CY5" i="2"/>
  <c r="CY36" i="4"/>
  <c r="CY12" i="2"/>
  <c r="CY11" i="2" l="1"/>
  <c r="CY79" i="2" s="1"/>
  <c r="CY108" i="2"/>
  <c r="CY113" i="2"/>
  <c r="CY115" i="2" s="1"/>
  <c r="CY117" i="2" s="1"/>
  <c r="CY31" i="2"/>
  <c r="CZ39" i="4"/>
  <c r="DA34" i="4"/>
  <c r="CZ35" i="4" l="1"/>
  <c r="CZ111" i="2"/>
  <c r="CZ107" i="2"/>
  <c r="CY30" i="2"/>
  <c r="CY62" i="2"/>
  <c r="CY109" i="2"/>
  <c r="CY110" i="2" s="1"/>
  <c r="CZ12" i="2" l="1"/>
  <c r="CZ113" i="2" s="1"/>
  <c r="CZ115" i="2" s="1"/>
  <c r="CZ117" i="2" s="1"/>
  <c r="CZ32" i="4"/>
  <c r="DA39" i="4" s="1"/>
  <c r="CZ5" i="2"/>
  <c r="CZ36" i="4"/>
  <c r="CZ108" i="2" l="1"/>
  <c r="CZ31" i="2"/>
  <c r="CZ11" i="2"/>
  <c r="DA35" i="4"/>
  <c r="DB39" i="4"/>
  <c r="DB40" i="4" s="1"/>
  <c r="DA107" i="2"/>
  <c r="DA111" i="2"/>
  <c r="CZ109" i="2"/>
  <c r="CZ110" i="2" s="1"/>
  <c r="DA12" i="2" s="1"/>
  <c r="DB107" i="2" l="1"/>
  <c r="DB32" i="4" s="1"/>
  <c r="DA32" i="4"/>
  <c r="DA5" i="2"/>
  <c r="DA36" i="4"/>
  <c r="DB35" i="4"/>
  <c r="DB36" i="4" s="1"/>
  <c r="DA11" i="2"/>
  <c r="DB11" i="2" s="1"/>
  <c r="DB111" i="2"/>
  <c r="CZ79" i="2"/>
  <c r="CZ30" i="2"/>
  <c r="CZ62" i="2"/>
  <c r="DA113" i="2"/>
  <c r="DB113" i="2" s="1"/>
  <c r="DA108" i="2"/>
  <c r="DB108" i="2" s="1"/>
  <c r="DA115" i="2" l="1"/>
  <c r="DB115" i="2" s="1"/>
  <c r="DB117" i="2" s="1"/>
  <c r="DA31" i="2"/>
  <c r="DA79" i="2"/>
  <c r="DB5" i="2"/>
  <c r="DB79" i="2" s="1"/>
  <c r="DA109" i="2"/>
  <c r="DA117" i="2" l="1"/>
  <c r="DA30" i="2"/>
  <c r="DB30" i="2" s="1"/>
  <c r="DA62" i="2"/>
  <c r="DB31" i="2"/>
  <c r="DB62" i="2" s="1"/>
  <c r="DA110" i="2"/>
  <c r="DB109" i="2"/>
  <c r="DB110" i="2" s="1"/>
  <c r="DB12" i="2"/>
  <c r="M42" i="9" l="1"/>
  <c r="P42" i="9"/>
  <c r="S42" i="9"/>
  <c r="M45" i="9"/>
  <c r="P45" i="9"/>
  <c r="S45" i="9"/>
  <c r="M48" i="9"/>
  <c r="P48" i="9"/>
  <c r="S48" i="9"/>
  <c r="M49" i="9"/>
  <c r="P49" i="9"/>
  <c r="S49" i="9"/>
  <c r="M52" i="9"/>
  <c r="P52" i="9"/>
  <c r="S52" i="9"/>
  <c r="M53" i="9"/>
  <c r="P53" i="9"/>
  <c r="S53" i="9"/>
  <c r="M54" i="9"/>
  <c r="P54" i="9"/>
  <c r="S54" i="9"/>
  <c r="M55" i="9"/>
  <c r="P55" i="9"/>
  <c r="S55" i="9"/>
  <c r="M56" i="9"/>
  <c r="P56" i="9"/>
  <c r="S56" i="9"/>
  <c r="M63" i="9"/>
  <c r="M57" i="9" s="1"/>
  <c r="P63" i="9"/>
  <c r="P57" i="9" s="1"/>
  <c r="S63" i="9"/>
  <c r="S57" i="9" s="1"/>
  <c r="M64" i="9"/>
  <c r="M58" i="9" s="1"/>
  <c r="P64" i="9"/>
  <c r="P58" i="9" s="1"/>
  <c r="S64" i="9"/>
  <c r="M65" i="9"/>
  <c r="M59" i="9" s="1"/>
  <c r="P65" i="9"/>
  <c r="P59" i="9" s="1"/>
  <c r="S65" i="9"/>
  <c r="S59" i="9" s="1"/>
  <c r="M66" i="9"/>
  <c r="M60" i="9" s="1"/>
  <c r="P66" i="9"/>
  <c r="P60" i="9" s="1"/>
  <c r="S66" i="9"/>
  <c r="S60" i="9" s="1"/>
  <c r="S58" i="9" l="1"/>
  <c r="CF72" i="3" l="1"/>
  <c r="CE56" i="2"/>
  <c r="R13" i="12"/>
  <c r="R5" i="12"/>
  <c r="R6" i="12" s="1"/>
  <c r="R22" i="12"/>
  <c r="CF42" i="4"/>
  <c r="CF41" i="4" s="1"/>
  <c r="CG42" i="4"/>
  <c r="CG41" i="4" s="1"/>
  <c r="CG6" i="2" s="1"/>
  <c r="CI42" i="4"/>
  <c r="CI41" i="4" s="1"/>
  <c r="CJ42" i="4"/>
  <c r="CJ41" i="4" s="1"/>
  <c r="CJ6" i="2" s="1"/>
  <c r="CK42" i="4"/>
  <c r="CK41" i="4" s="1"/>
  <c r="CK6" i="2" s="1"/>
  <c r="I9" i="9"/>
  <c r="K9" i="9"/>
  <c r="I10" i="9"/>
  <c r="O10" i="9" s="1"/>
  <c r="K10" i="9"/>
  <c r="M10" i="9"/>
  <c r="I11" i="9"/>
  <c r="K11" i="9"/>
  <c r="I14" i="9"/>
  <c r="K14" i="9"/>
  <c r="M14" i="9"/>
  <c r="O14" i="9"/>
  <c r="I16" i="9"/>
  <c r="O16" i="9" s="1"/>
  <c r="I17" i="9"/>
  <c r="K17" i="9" s="1"/>
  <c r="I18" i="9"/>
  <c r="O18" i="9" s="1"/>
  <c r="K18" i="9"/>
  <c r="M18" i="9"/>
  <c r="I20" i="9"/>
  <c r="K20" i="9" s="1"/>
  <c r="I23" i="9"/>
  <c r="K23" i="9" s="1"/>
  <c r="M20" i="9" l="1"/>
  <c r="O20" i="9"/>
  <c r="M16" i="9"/>
  <c r="K16" i="9"/>
  <c r="CF53" i="2"/>
  <c r="C38" i="6" s="1"/>
  <c r="C42" i="6" s="1"/>
  <c r="C44" i="6" s="1"/>
  <c r="R12" i="12"/>
  <c r="R11" i="12"/>
  <c r="S14" i="12"/>
  <c r="I21" i="9"/>
  <c r="I22" i="9"/>
  <c r="O23" i="9"/>
  <c r="M23" i="9"/>
  <c r="CG14" i="2"/>
  <c r="CG60" i="2" s="1"/>
  <c r="CG4" i="2"/>
  <c r="M11" i="9"/>
  <c r="O11" i="9"/>
  <c r="CF6" i="2"/>
  <c r="CH41" i="4"/>
  <c r="CH42" i="4" s="1"/>
  <c r="CI6" i="2"/>
  <c r="M17" i="9"/>
  <c r="O17" i="9"/>
  <c r="M9" i="9"/>
  <c r="O9" i="9"/>
  <c r="CJ14" i="2"/>
  <c r="CJ60" i="2" s="1"/>
  <c r="CJ4" i="2"/>
  <c r="CK14" i="2"/>
  <c r="CK60" i="2" s="1"/>
  <c r="CK4" i="2"/>
  <c r="CK80" i="2"/>
  <c r="CL42" i="4"/>
  <c r="CJ80" i="2" l="1"/>
  <c r="CE103" i="2"/>
  <c r="CE104" i="2" s="1"/>
  <c r="CE96" i="2"/>
  <c r="CE97" i="2" s="1"/>
  <c r="I27" i="9"/>
  <c r="C40" i="6"/>
  <c r="K21" i="9"/>
  <c r="O21" i="9"/>
  <c r="M21" i="9"/>
  <c r="I24" i="9"/>
  <c r="K27" i="9"/>
  <c r="O27" i="9"/>
  <c r="M27" i="9"/>
  <c r="O22" i="9"/>
  <c r="M22" i="9"/>
  <c r="K22" i="9"/>
  <c r="R9" i="12"/>
  <c r="R10" i="12" s="1"/>
  <c r="CG80" i="2"/>
  <c r="CK7" i="2"/>
  <c r="CK9" i="2" s="1"/>
  <c r="CJ7" i="2"/>
  <c r="CJ9" i="2" s="1"/>
  <c r="CG7" i="2"/>
  <c r="CG9" i="2" s="1"/>
  <c r="R26" i="12"/>
  <c r="CF14" i="2"/>
  <c r="CF80" i="2" s="1"/>
  <c r="CF4" i="2"/>
  <c r="CH6" i="2"/>
  <c r="CL41" i="4"/>
  <c r="CN42" i="4"/>
  <c r="CI4" i="2"/>
  <c r="CI14" i="2"/>
  <c r="CI80" i="2" s="1"/>
  <c r="CF103" i="2" l="1"/>
  <c r="CG104" i="2"/>
  <c r="O24" i="9"/>
  <c r="M24" i="9"/>
  <c r="K24" i="9"/>
  <c r="R7" i="12"/>
  <c r="R8" i="12" s="1"/>
  <c r="CG22" i="2"/>
  <c r="CG59" i="2"/>
  <c r="CG19" i="2"/>
  <c r="CJ22" i="2"/>
  <c r="CJ19" i="2"/>
  <c r="CJ59" i="2"/>
  <c r="CN41" i="4"/>
  <c r="CO42" i="4"/>
  <c r="CE39" i="2"/>
  <c r="CF39" i="2" s="1"/>
  <c r="CF43" i="2"/>
  <c r="CH14" i="2"/>
  <c r="CF60" i="2"/>
  <c r="CE27" i="2"/>
  <c r="CI7" i="2"/>
  <c r="CF7" i="2"/>
  <c r="CH7" i="2" s="1"/>
  <c r="CH4" i="2"/>
  <c r="CK22" i="2"/>
  <c r="CK19" i="2"/>
  <c r="CK59" i="2"/>
  <c r="CL6" i="2"/>
  <c r="CM41" i="4"/>
  <c r="CM42" i="4" s="1"/>
  <c r="CI60" i="2"/>
  <c r="CI104" i="2" l="1"/>
  <c r="CG103" i="2"/>
  <c r="CF9" i="2"/>
  <c r="CF59" i="2" s="1"/>
  <c r="CK85" i="2" s="1"/>
  <c r="R23" i="12"/>
  <c r="CH15" i="2"/>
  <c r="CH60" i="2"/>
  <c r="CH8" i="2"/>
  <c r="CH9" i="2"/>
  <c r="CG94" i="3"/>
  <c r="CF22" i="2"/>
  <c r="CF72" i="2"/>
  <c r="S20" i="12" s="1"/>
  <c r="CH80" i="2"/>
  <c r="E24" i="9" s="1"/>
  <c r="CL14" i="2"/>
  <c r="CL4" i="2"/>
  <c r="CL80" i="2"/>
  <c r="CM6" i="2"/>
  <c r="CG61" i="2"/>
  <c r="T5" i="12"/>
  <c r="T6" i="12" s="1"/>
  <c r="CG85" i="2"/>
  <c r="CJ85" i="2"/>
  <c r="CJ61" i="2"/>
  <c r="CK61" i="2"/>
  <c r="CI9" i="2"/>
  <c r="CP42" i="4"/>
  <c r="CO41" i="4"/>
  <c r="CO6" i="2" s="1"/>
  <c r="R16" i="12"/>
  <c r="CG39" i="2"/>
  <c r="CN6" i="2"/>
  <c r="CF19" i="2" l="1"/>
  <c r="CJ104" i="2"/>
  <c r="CI103" i="2"/>
  <c r="CF94" i="3"/>
  <c r="CF99" i="3" s="1"/>
  <c r="CF10" i="3" s="1"/>
  <c r="CJ86" i="2"/>
  <c r="CJ63" i="2"/>
  <c r="CJ77" i="2"/>
  <c r="CJ87" i="2" s="1"/>
  <c r="CG98" i="3"/>
  <c r="CG99" i="3"/>
  <c r="CG10" i="3" s="1"/>
  <c r="CL7" i="2"/>
  <c r="CM7" i="2" s="1"/>
  <c r="CM4" i="2"/>
  <c r="CL60" i="2"/>
  <c r="CM14" i="2"/>
  <c r="CI39" i="2"/>
  <c r="CI22" i="2"/>
  <c r="CI19" i="2"/>
  <c r="CI94" i="3"/>
  <c r="CI59" i="2"/>
  <c r="CK94" i="3"/>
  <c r="CJ94" i="3"/>
  <c r="CH19" i="2"/>
  <c r="CH94" i="3"/>
  <c r="CH22" i="2"/>
  <c r="CH59" i="2"/>
  <c r="CN14" i="2"/>
  <c r="CN80" i="2" s="1"/>
  <c r="CN4" i="2"/>
  <c r="CO4" i="2"/>
  <c r="CO14" i="2"/>
  <c r="CO60" i="2" s="1"/>
  <c r="CK86" i="2"/>
  <c r="CK63" i="2"/>
  <c r="CK77" i="2"/>
  <c r="L38" i="9"/>
  <c r="N38" i="9" s="1"/>
  <c r="E4" i="9"/>
  <c r="CG63" i="2"/>
  <c r="CG77" i="2"/>
  <c r="CG87" i="2" s="1"/>
  <c r="CG86" i="2"/>
  <c r="CF61" i="2"/>
  <c r="CF85" i="2"/>
  <c r="S5" i="12"/>
  <c r="S6" i="12" s="1"/>
  <c r="CQ42" i="4"/>
  <c r="CP41" i="4"/>
  <c r="R17" i="12"/>
  <c r="CL9" i="2" l="1"/>
  <c r="CM9" i="2" s="1"/>
  <c r="CF98" i="3"/>
  <c r="CJ103" i="2"/>
  <c r="CK104" i="2"/>
  <c r="CL94" i="3"/>
  <c r="CM15" i="2"/>
  <c r="CM60" i="2"/>
  <c r="CJ39" i="2"/>
  <c r="CG65" i="2"/>
  <c r="T9" i="12"/>
  <c r="T10" i="12" s="1"/>
  <c r="CG82" i="2"/>
  <c r="CI85" i="2"/>
  <c r="CI61" i="2"/>
  <c r="CI98" i="3"/>
  <c r="CI99" i="3"/>
  <c r="CI10" i="3" s="1"/>
  <c r="CN60" i="2"/>
  <c r="CP6" i="2"/>
  <c r="CO7" i="2"/>
  <c r="CO9" i="2"/>
  <c r="CM94" i="3"/>
  <c r="CM22" i="2"/>
  <c r="CM59" i="2"/>
  <c r="CM19" i="2"/>
  <c r="CM80" i="2"/>
  <c r="F24" i="9" s="1"/>
  <c r="CL22" i="2"/>
  <c r="CL19" i="2"/>
  <c r="CL59" i="2"/>
  <c r="E3" i="9"/>
  <c r="CH85" i="2"/>
  <c r="H5" i="12"/>
  <c r="H6" i="12" s="1"/>
  <c r="CH61" i="2"/>
  <c r="L37" i="9"/>
  <c r="N37" i="9" s="1"/>
  <c r="CM8" i="2"/>
  <c r="CF13" i="2"/>
  <c r="CG8" i="3"/>
  <c r="CG93" i="3" s="1"/>
  <c r="CH10" i="3"/>
  <c r="CG52" i="3"/>
  <c r="CH98" i="3"/>
  <c r="CK82" i="2"/>
  <c r="CK65" i="2"/>
  <c r="CF63" i="2"/>
  <c r="CF77" i="2"/>
  <c r="CF87" i="2" s="1"/>
  <c r="CF86" i="2"/>
  <c r="CJ82" i="2"/>
  <c r="CJ65" i="2"/>
  <c r="CL98" i="3"/>
  <c r="CL99" i="3"/>
  <c r="CL10" i="3" s="1"/>
  <c r="CN7" i="2"/>
  <c r="CN9" i="2" s="1"/>
  <c r="R19" i="12"/>
  <c r="R18" i="12"/>
  <c r="CQ41" i="4"/>
  <c r="CQ6" i="2" s="1"/>
  <c r="CS42" i="4"/>
  <c r="CF8" i="3"/>
  <c r="CF52" i="3"/>
  <c r="CF29" i="3" s="1"/>
  <c r="CF28" i="3" s="1"/>
  <c r="CJ98" i="3"/>
  <c r="CJ99" i="3"/>
  <c r="CJ10" i="3" s="1"/>
  <c r="CO80" i="2"/>
  <c r="CK98" i="3"/>
  <c r="CK99" i="3"/>
  <c r="CK10" i="3" s="1"/>
  <c r="CK87" i="2" l="1"/>
  <c r="CL104" i="2"/>
  <c r="CL103" i="2" s="1"/>
  <c r="CK103" i="2"/>
  <c r="CF83" i="3"/>
  <c r="CF51" i="3"/>
  <c r="S26" i="12"/>
  <c r="CF102" i="2"/>
  <c r="CL52" i="3"/>
  <c r="CL8" i="3"/>
  <c r="CL93" i="3" s="1"/>
  <c r="CM10" i="3"/>
  <c r="CM98" i="3"/>
  <c r="CJ81" i="2"/>
  <c r="CJ89" i="2"/>
  <c r="CH8" i="3"/>
  <c r="CH93" i="3" s="1"/>
  <c r="CH99" i="3"/>
  <c r="CH100" i="3" s="1"/>
  <c r="CK8" i="3"/>
  <c r="CK93" i="3" s="1"/>
  <c r="CK52" i="3"/>
  <c r="CK29" i="3" s="1"/>
  <c r="CK28" i="3" s="1"/>
  <c r="CR41" i="4"/>
  <c r="CR42" i="4" s="1"/>
  <c r="CE25" i="2"/>
  <c r="CF87" i="3"/>
  <c r="R25" i="12"/>
  <c r="CH86" i="2"/>
  <c r="CH63" i="2"/>
  <c r="E5" i="9"/>
  <c r="CH77" i="2"/>
  <c r="L39" i="9"/>
  <c r="N39" i="9" s="1"/>
  <c r="CQ14" i="2"/>
  <c r="CQ60" i="2" s="1"/>
  <c r="CQ4" i="2"/>
  <c r="CQ80" i="2"/>
  <c r="CO94" i="3"/>
  <c r="CO22" i="2"/>
  <c r="CO19" i="2"/>
  <c r="CO59" i="2"/>
  <c r="CL61" i="2"/>
  <c r="CL85" i="2"/>
  <c r="CJ8" i="3"/>
  <c r="CJ93" i="3" s="1"/>
  <c r="CJ52" i="3"/>
  <c r="CJ29" i="3" s="1"/>
  <c r="CJ28" i="3" s="1"/>
  <c r="CK39" i="2"/>
  <c r="CM61" i="2"/>
  <c r="F3" i="9"/>
  <c r="I5" i="12"/>
  <c r="I6" i="12" s="1"/>
  <c r="CM85" i="2"/>
  <c r="O37" i="9"/>
  <c r="Q37" i="9" s="1"/>
  <c r="CG29" i="3"/>
  <c r="CH52" i="3"/>
  <c r="CH53" i="3" s="1"/>
  <c r="CG95" i="3"/>
  <c r="CF10" i="2"/>
  <c r="CF65" i="2"/>
  <c r="CF82" i="2"/>
  <c r="S9" i="12"/>
  <c r="S10" i="12" s="1"/>
  <c r="CK81" i="2"/>
  <c r="CI8" i="3"/>
  <c r="CI93" i="3" s="1"/>
  <c r="CI52" i="3"/>
  <c r="CI29" i="3" s="1"/>
  <c r="CI28" i="3" s="1"/>
  <c r="O38" i="9"/>
  <c r="Q38" i="9" s="1"/>
  <c r="F4" i="9"/>
  <c r="CF93" i="3"/>
  <c r="CF42" i="3"/>
  <c r="CF21" i="3"/>
  <c r="CI86" i="2"/>
  <c r="CI63" i="2"/>
  <c r="CI77" i="2"/>
  <c r="CI87" i="2" s="1"/>
  <c r="CS41" i="4"/>
  <c r="CT42" i="4"/>
  <c r="CG81" i="2"/>
  <c r="CG89" i="2"/>
  <c r="T7" i="12"/>
  <c r="T8" i="12" s="1"/>
  <c r="CP14" i="2"/>
  <c r="CP80" i="2" s="1"/>
  <c r="CP4" i="2"/>
  <c r="CR6" i="2"/>
  <c r="CN94" i="3"/>
  <c r="CN19" i="2"/>
  <c r="CN22" i="2"/>
  <c r="CN59" i="2"/>
  <c r="CL39" i="2" l="1"/>
  <c r="CM8" i="3"/>
  <c r="CM93" i="3" s="1"/>
  <c r="CM99" i="3"/>
  <c r="CM100" i="3" s="1"/>
  <c r="CF81" i="2"/>
  <c r="CF89" i="2"/>
  <c r="S7" i="12"/>
  <c r="S8" i="12" s="1"/>
  <c r="CM52" i="3"/>
  <c r="CM53" i="3" s="1"/>
  <c r="CL29" i="3"/>
  <c r="CO98" i="3"/>
  <c r="CO99" i="3"/>
  <c r="CO10" i="3" s="1"/>
  <c r="CP60" i="2"/>
  <c r="CR14" i="2"/>
  <c r="CR80" i="2" s="1"/>
  <c r="CN61" i="2"/>
  <c r="CN85" i="2"/>
  <c r="CK83" i="3"/>
  <c r="CK51" i="3"/>
  <c r="CF95" i="2"/>
  <c r="CF20" i="3"/>
  <c r="CG21" i="3"/>
  <c r="CF34" i="2"/>
  <c r="CG42" i="3"/>
  <c r="CG43" i="2"/>
  <c r="CF96" i="3"/>
  <c r="CF38" i="2" s="1"/>
  <c r="CF95" i="3"/>
  <c r="CG28" i="3"/>
  <c r="CH29" i="3"/>
  <c r="CH28" i="3" s="1"/>
  <c r="CJ83" i="3"/>
  <c r="CJ51" i="3"/>
  <c r="CK102" i="2"/>
  <c r="CK95" i="2" s="1"/>
  <c r="CM63" i="2"/>
  <c r="CM77" i="2"/>
  <c r="F5" i="9"/>
  <c r="CM86" i="2"/>
  <c r="O39" i="9"/>
  <c r="Q39" i="9" s="1"/>
  <c r="R24" i="12"/>
  <c r="CG96" i="3"/>
  <c r="CG38" i="2" s="1"/>
  <c r="E21" i="9"/>
  <c r="CH87" i="2"/>
  <c r="L50" i="9"/>
  <c r="N50" i="9" s="1"/>
  <c r="CS6" i="2"/>
  <c r="CH82" i="2"/>
  <c r="E26" i="9" s="1"/>
  <c r="CH65" i="2"/>
  <c r="H9" i="12"/>
  <c r="H10" i="12" s="1"/>
  <c r="E7" i="9"/>
  <c r="CH96" i="3"/>
  <c r="CH95" i="3"/>
  <c r="CQ7" i="2"/>
  <c r="CQ9" i="2" s="1"/>
  <c r="CL96" i="3"/>
  <c r="CL95" i="3"/>
  <c r="CJ96" i="3"/>
  <c r="CJ38" i="2" s="1"/>
  <c r="CJ95" i="3"/>
  <c r="CI96" i="3"/>
  <c r="CI38" i="2" s="1"/>
  <c r="CI95" i="3"/>
  <c r="CK96" i="3"/>
  <c r="CK38" i="2" s="1"/>
  <c r="CK95" i="3"/>
  <c r="CT41" i="4"/>
  <c r="CT6" i="2" s="1"/>
  <c r="CU42" i="4"/>
  <c r="CO61" i="2"/>
  <c r="CO85" i="2"/>
  <c r="CP7" i="2"/>
  <c r="CR4" i="2"/>
  <c r="CF102" i="3"/>
  <c r="CF16" i="2"/>
  <c r="CI51" i="3"/>
  <c r="CJ102" i="2"/>
  <c r="CJ95" i="2" s="1"/>
  <c r="CL63" i="2"/>
  <c r="CL77" i="2"/>
  <c r="CL87" i="2" s="1"/>
  <c r="CL86" i="2"/>
  <c r="CK89" i="2"/>
  <c r="CN98" i="3"/>
  <c r="CN99" i="3"/>
  <c r="CN10" i="3" s="1"/>
  <c r="CI82" i="2"/>
  <c r="CI65" i="2"/>
  <c r="CR7" i="2" l="1"/>
  <c r="I26" i="9"/>
  <c r="CK40" i="2"/>
  <c r="CK71" i="2" s="1"/>
  <c r="CF81" i="3"/>
  <c r="S23" i="12"/>
  <c r="R21" i="12"/>
  <c r="CL28" i="3"/>
  <c r="CM29" i="3"/>
  <c r="CM28" i="3" s="1"/>
  <c r="CH81" i="2"/>
  <c r="E25" i="9" s="1"/>
  <c r="CH89" i="2"/>
  <c r="E9" i="9"/>
  <c r="H7" i="12"/>
  <c r="H8" i="12" s="1"/>
  <c r="CP9" i="2"/>
  <c r="CI40" i="2"/>
  <c r="CI71" i="2" s="1"/>
  <c r="CJ40" i="2"/>
  <c r="CJ71" i="2" s="1"/>
  <c r="CH38" i="2"/>
  <c r="CF40" i="2"/>
  <c r="CF71" i="2" s="1"/>
  <c r="R15" i="12"/>
  <c r="CL65" i="2"/>
  <c r="CL82" i="2"/>
  <c r="F21" i="9"/>
  <c r="CM87" i="2"/>
  <c r="O50" i="9"/>
  <c r="Q50" i="9" s="1"/>
  <c r="CI81" i="2"/>
  <c r="CI89" i="2"/>
  <c r="CO63" i="2"/>
  <c r="CO77" i="2"/>
  <c r="CO87" i="2" s="1"/>
  <c r="CO86" i="2"/>
  <c r="CG72" i="2"/>
  <c r="T20" i="12" s="1"/>
  <c r="CH43" i="2"/>
  <c r="K26" i="9"/>
  <c r="M26" i="9"/>
  <c r="O26" i="9"/>
  <c r="CF94" i="2"/>
  <c r="CF26" i="2" s="1"/>
  <c r="CF96" i="2"/>
  <c r="CF97" i="2" s="1"/>
  <c r="CJ94" i="2"/>
  <c r="CJ26" i="2" s="1"/>
  <c r="CJ96" i="2"/>
  <c r="CJ97" i="2" s="1"/>
  <c r="CN63" i="2"/>
  <c r="CN77" i="2"/>
  <c r="CN87" i="2" s="1"/>
  <c r="CN86" i="2"/>
  <c r="CH83" i="3"/>
  <c r="CH51" i="3"/>
  <c r="H26" i="12"/>
  <c r="CI102" i="2"/>
  <c r="CF78" i="2"/>
  <c r="CF88" i="2" s="1"/>
  <c r="S22" i="12"/>
  <c r="CU41" i="4"/>
  <c r="CV42" i="4"/>
  <c r="CM96" i="3"/>
  <c r="CM95" i="3"/>
  <c r="CR8" i="2"/>
  <c r="CM65" i="2"/>
  <c r="CM82" i="2"/>
  <c r="F26" i="9" s="1"/>
  <c r="I9" i="12"/>
  <c r="I10" i="12" s="1"/>
  <c r="F7" i="9"/>
  <c r="CI83" i="3"/>
  <c r="CS14" i="2"/>
  <c r="CS80" i="2" s="1"/>
  <c r="CS4" i="2"/>
  <c r="CQ22" i="2"/>
  <c r="CQ19" i="2"/>
  <c r="CQ59" i="2"/>
  <c r="CT14" i="2"/>
  <c r="CT60" i="2" s="1"/>
  <c r="CT4" i="2"/>
  <c r="CF69" i="2"/>
  <c r="CR15" i="2"/>
  <c r="CR60" i="2"/>
  <c r="R38" i="9" s="1"/>
  <c r="T38" i="9" s="1"/>
  <c r="CO52" i="3"/>
  <c r="CO29" i="3" s="1"/>
  <c r="CO28" i="3" s="1"/>
  <c r="CO8" i="3"/>
  <c r="CO93" i="3" s="1"/>
  <c r="CG83" i="3"/>
  <c r="CG51" i="3"/>
  <c r="T26" i="12"/>
  <c r="CG102" i="2"/>
  <c r="CK94" i="2"/>
  <c r="CK26" i="2" s="1"/>
  <c r="CK96" i="2"/>
  <c r="CK97" i="2" s="1"/>
  <c r="CH42" i="3"/>
  <c r="CN52" i="3"/>
  <c r="CN29" i="3" s="1"/>
  <c r="CN28" i="3" s="1"/>
  <c r="CN8" i="3"/>
  <c r="CN93" i="3" s="1"/>
  <c r="CF103" i="3"/>
  <c r="CF118" i="3"/>
  <c r="CF117" i="3" s="1"/>
  <c r="CF33" i="3" s="1"/>
  <c r="CG40" i="2"/>
  <c r="CG71" i="2" s="1"/>
  <c r="CG20" i="3"/>
  <c r="CH21" i="3"/>
  <c r="CG34" i="2"/>
  <c r="CG69" i="2" s="1"/>
  <c r="CL38" i="2"/>
  <c r="CM38" i="2" s="1"/>
  <c r="CH34" i="2" l="1"/>
  <c r="I25" i="9"/>
  <c r="K25" i="9" s="1"/>
  <c r="CT80" i="2"/>
  <c r="CM39" i="2"/>
  <c r="CK27" i="2"/>
  <c r="CJ27" i="2"/>
  <c r="CL51" i="3"/>
  <c r="CL83" i="3"/>
  <c r="CL102" i="2"/>
  <c r="CL95" i="2" s="1"/>
  <c r="CF144" i="3"/>
  <c r="CH39" i="2"/>
  <c r="CN51" i="3"/>
  <c r="CN83" i="3"/>
  <c r="CO102" i="2"/>
  <c r="CO95" i="2" s="1"/>
  <c r="CS7" i="2"/>
  <c r="CH72" i="2"/>
  <c r="L47" i="9"/>
  <c r="N47" i="9" s="1"/>
  <c r="CU6" i="2"/>
  <c r="CN65" i="2"/>
  <c r="CN82" i="2"/>
  <c r="CH69" i="2"/>
  <c r="E13" i="9" s="1"/>
  <c r="L44" i="9"/>
  <c r="N44" i="9" s="1"/>
  <c r="CV41" i="4"/>
  <c r="CV6" i="2" s="1"/>
  <c r="CX42" i="4"/>
  <c r="CO96" i="3"/>
  <c r="CO38" i="2" s="1"/>
  <c r="CO95" i="3"/>
  <c r="CG95" i="2"/>
  <c r="CH102" i="2"/>
  <c r="CH103" i="2" s="1"/>
  <c r="CH104" i="2" s="1"/>
  <c r="CL81" i="2"/>
  <c r="CL89" i="2"/>
  <c r="CP94" i="3"/>
  <c r="CP22" i="2"/>
  <c r="CP19" i="2"/>
  <c r="CP59" i="2"/>
  <c r="CQ94" i="3"/>
  <c r="CR9" i="2"/>
  <c r="CF82" i="3"/>
  <c r="S17" i="12"/>
  <c r="CH20" i="3"/>
  <c r="CI21" i="3"/>
  <c r="CG81" i="3"/>
  <c r="T23" i="12"/>
  <c r="CT7" i="2"/>
  <c r="CT9" i="2" s="1"/>
  <c r="CO65" i="2"/>
  <c r="CO82" i="2"/>
  <c r="CH40" i="2"/>
  <c r="CH41" i="2" s="1"/>
  <c r="CF38" i="3"/>
  <c r="CG38" i="3" s="1"/>
  <c r="CH38" i="3" s="1"/>
  <c r="CI38" i="3" s="1"/>
  <c r="CJ38" i="3" s="1"/>
  <c r="CK38" i="3" s="1"/>
  <c r="CN96" i="3"/>
  <c r="CN38" i="2" s="1"/>
  <c r="CN95" i="3"/>
  <c r="CO51" i="3"/>
  <c r="CO83" i="3"/>
  <c r="E30" i="9"/>
  <c r="CI42" i="3"/>
  <c r="CI43" i="2"/>
  <c r="CM51" i="3"/>
  <c r="CM83" i="3"/>
  <c r="CN102" i="2"/>
  <c r="I26" i="12"/>
  <c r="CL40" i="2"/>
  <c r="CL71" i="2" s="1"/>
  <c r="CS60" i="2"/>
  <c r="CQ61" i="2"/>
  <c r="CQ85" i="2"/>
  <c r="CM81" i="2"/>
  <c r="F25" i="9" s="1"/>
  <c r="CM89" i="2"/>
  <c r="F9" i="9"/>
  <c r="I7" i="12"/>
  <c r="I8" i="12" s="1"/>
  <c r="CI95" i="2"/>
  <c r="L46" i="9" l="1"/>
  <c r="N46" i="9" s="1"/>
  <c r="CM40" i="2"/>
  <c r="CM71" i="2" s="1"/>
  <c r="CH71" i="2"/>
  <c r="E15" i="9" s="1"/>
  <c r="CL38" i="3"/>
  <c r="CM38" i="3" s="1"/>
  <c r="O25" i="9"/>
  <c r="M25" i="9"/>
  <c r="CM102" i="2"/>
  <c r="CM103" i="2" s="1"/>
  <c r="CM104" i="2" s="1"/>
  <c r="CW41" i="4"/>
  <c r="CW42" i="4" s="1"/>
  <c r="CT19" i="2"/>
  <c r="CT22" i="2"/>
  <c r="CT59" i="2"/>
  <c r="F15" i="9"/>
  <c r="F30" i="9"/>
  <c r="CU4" i="2"/>
  <c r="CU14" i="2"/>
  <c r="CU80" i="2" s="1"/>
  <c r="CW6" i="2"/>
  <c r="CF68" i="2"/>
  <c r="CF27" i="2"/>
  <c r="CI20" i="3"/>
  <c r="CI81" i="3" s="1"/>
  <c r="CI82" i="3" s="1"/>
  <c r="CJ21" i="3"/>
  <c r="CI34" i="2"/>
  <c r="CO40" i="2"/>
  <c r="CO71" i="2" s="1"/>
  <c r="E16" i="9"/>
  <c r="H20" i="12"/>
  <c r="CN40" i="2"/>
  <c r="CG94" i="2"/>
  <c r="CH94" i="2" s="1"/>
  <c r="CG96" i="2"/>
  <c r="CG97" i="2" s="1"/>
  <c r="CH95" i="2"/>
  <c r="CH96" i="2" s="1"/>
  <c r="CH97" i="2" s="1"/>
  <c r="CX41" i="4"/>
  <c r="CY42" i="4"/>
  <c r="CP61" i="2"/>
  <c r="CP85" i="2"/>
  <c r="CF149" i="3"/>
  <c r="CG13" i="2"/>
  <c r="CJ42" i="3"/>
  <c r="CJ43" i="2"/>
  <c r="CN95" i="2"/>
  <c r="CV14" i="2"/>
  <c r="CV60" i="2" s="1"/>
  <c r="CV4" i="2"/>
  <c r="CV80" i="2"/>
  <c r="CF27" i="3"/>
  <c r="CS9" i="2"/>
  <c r="CL94" i="2"/>
  <c r="CL26" i="2" s="1"/>
  <c r="CL96" i="2"/>
  <c r="CL97" i="2" s="1"/>
  <c r="CM41" i="2"/>
  <c r="CN81" i="2"/>
  <c r="CN89" i="2"/>
  <c r="CI72" i="2"/>
  <c r="CQ63" i="2"/>
  <c r="CQ77" i="2"/>
  <c r="CQ87" i="2" s="1"/>
  <c r="CQ86" i="2"/>
  <c r="CH81" i="3"/>
  <c r="H23" i="12"/>
  <c r="CP98" i="3"/>
  <c r="CP99" i="3"/>
  <c r="CP10" i="3" s="1"/>
  <c r="CF79" i="3"/>
  <c r="CR22" i="2"/>
  <c r="CR19" i="2"/>
  <c r="CR94" i="3"/>
  <c r="CR59" i="2"/>
  <c r="CO96" i="2"/>
  <c r="CO97" i="2" s="1"/>
  <c r="CO94" i="2"/>
  <c r="CO26" i="2" s="1"/>
  <c r="CG82" i="3"/>
  <c r="T17" i="12"/>
  <c r="CO81" i="2"/>
  <c r="CO89" i="2"/>
  <c r="CI94" i="2"/>
  <c r="CI96" i="2"/>
  <c r="CI97" i="2" s="1"/>
  <c r="CM95" i="2"/>
  <c r="CM96" i="2" s="1"/>
  <c r="CM97" i="2" s="1"/>
  <c r="CQ98" i="3"/>
  <c r="CQ99" i="3"/>
  <c r="CQ10" i="3" s="1"/>
  <c r="O46" i="9" l="1"/>
  <c r="Q46" i="9" s="1"/>
  <c r="CG144" i="3"/>
  <c r="CG149" i="3" s="1"/>
  <c r="CH149" i="3" s="1"/>
  <c r="CL27" i="2"/>
  <c r="CI69" i="2"/>
  <c r="CJ20" i="3"/>
  <c r="CJ81" i="3" s="1"/>
  <c r="CJ82" i="3" s="1"/>
  <c r="CK21" i="3"/>
  <c r="CJ34" i="2"/>
  <c r="CJ69" i="2" s="1"/>
  <c r="CQ65" i="2"/>
  <c r="CQ82" i="2"/>
  <c r="CM94" i="2"/>
  <c r="CM98" i="2" s="1"/>
  <c r="CJ72" i="2"/>
  <c r="CG26" i="2"/>
  <c r="CN71" i="2"/>
  <c r="CT85" i="2"/>
  <c r="CT61" i="2"/>
  <c r="CO27" i="2"/>
  <c r="CR61" i="2"/>
  <c r="CR85" i="2"/>
  <c r="J5" i="12"/>
  <c r="J6" i="12" s="1"/>
  <c r="R37" i="9"/>
  <c r="T37" i="9" s="1"/>
  <c r="CK42" i="3"/>
  <c r="CK43" i="2"/>
  <c r="CR98" i="3"/>
  <c r="CH98" i="2"/>
  <c r="CP63" i="2"/>
  <c r="CP77" i="2"/>
  <c r="CP87" i="2" s="1"/>
  <c r="CP86" i="2"/>
  <c r="CU60" i="2"/>
  <c r="CW14" i="2"/>
  <c r="CG10" i="2"/>
  <c r="CH13" i="2"/>
  <c r="CI26" i="2"/>
  <c r="CS94" i="3"/>
  <c r="CS22" i="2"/>
  <c r="CS59" i="2"/>
  <c r="CS19" i="2"/>
  <c r="CP8" i="3"/>
  <c r="CP93" i="3" s="1"/>
  <c r="CP52" i="3"/>
  <c r="CP29" i="3" s="1"/>
  <c r="CP28" i="3" s="1"/>
  <c r="CQ8" i="3"/>
  <c r="CQ93" i="3" s="1"/>
  <c r="CR10" i="3"/>
  <c r="CQ52" i="3"/>
  <c r="CN94" i="2"/>
  <c r="CN96" i="2"/>
  <c r="CN97" i="2" s="1"/>
  <c r="CU7" i="2"/>
  <c r="CW4" i="2"/>
  <c r="CT94" i="3"/>
  <c r="CX6" i="2"/>
  <c r="CV7" i="2"/>
  <c r="CV9" i="2" s="1"/>
  <c r="CN38" i="3"/>
  <c r="CO38" i="3" s="1"/>
  <c r="CH82" i="3"/>
  <c r="H17" i="12"/>
  <c r="CY41" i="4"/>
  <c r="CY6" i="2" s="1"/>
  <c r="CZ42" i="4"/>
  <c r="CW7" i="2" l="1"/>
  <c r="CH144" i="3"/>
  <c r="CI13" i="2" s="1"/>
  <c r="CI10" i="2" s="1"/>
  <c r="CV22" i="2"/>
  <c r="CV19" i="2"/>
  <c r="CV59" i="2"/>
  <c r="CQ96" i="3"/>
  <c r="CQ38" i="2" s="1"/>
  <c r="CQ95" i="3"/>
  <c r="CR8" i="3"/>
  <c r="CR93" i="3" s="1"/>
  <c r="CR99" i="3"/>
  <c r="CR100" i="3" s="1"/>
  <c r="CK72" i="2"/>
  <c r="CT98" i="3"/>
  <c r="CT99" i="3"/>
  <c r="CT10" i="3" s="1"/>
  <c r="CY14" i="2"/>
  <c r="CY60" i="2" s="1"/>
  <c r="CY4" i="2"/>
  <c r="CW8" i="2"/>
  <c r="CP83" i="3"/>
  <c r="CP51" i="3"/>
  <c r="CP102" i="2"/>
  <c r="CW15" i="2"/>
  <c r="CW60" i="2"/>
  <c r="CG68" i="2"/>
  <c r="CG27" i="2"/>
  <c r="CH26" i="2"/>
  <c r="CU9" i="2"/>
  <c r="CM26" i="2"/>
  <c r="CI27" i="2"/>
  <c r="CZ41" i="4"/>
  <c r="DA42" i="4"/>
  <c r="DA41" i="4" s="1"/>
  <c r="DA6" i="2" s="1"/>
  <c r="CP65" i="2"/>
  <c r="CP82" i="2"/>
  <c r="CR63" i="2"/>
  <c r="CR77" i="2"/>
  <c r="R39" i="9"/>
  <c r="T39" i="9" s="1"/>
  <c r="CR86" i="2"/>
  <c r="CS98" i="3"/>
  <c r="CS99" i="3"/>
  <c r="CS10" i="3" s="1"/>
  <c r="CQ81" i="2"/>
  <c r="CQ89" i="2"/>
  <c r="CI144" i="3"/>
  <c r="CL42" i="3"/>
  <c r="CL43" i="2"/>
  <c r="CM43" i="2" s="1"/>
  <c r="CS61" i="2"/>
  <c r="CS85" i="2"/>
  <c r="CW80" i="2"/>
  <c r="CN26" i="2"/>
  <c r="CK20" i="3"/>
  <c r="CK81" i="3" s="1"/>
  <c r="CK82" i="3" s="1"/>
  <c r="CL21" i="3"/>
  <c r="CK34" i="2"/>
  <c r="CX14" i="2"/>
  <c r="CX4" i="2"/>
  <c r="CX80" i="2"/>
  <c r="CG16" i="2"/>
  <c r="CG102" i="3"/>
  <c r="CH10" i="2"/>
  <c r="CH102" i="3" s="1"/>
  <c r="CP96" i="3"/>
  <c r="CP38" i="2" s="1"/>
  <c r="CP95" i="3"/>
  <c r="CQ29" i="3"/>
  <c r="CR52" i="3"/>
  <c r="CR53" i="3" s="1"/>
  <c r="CT86" i="2"/>
  <c r="CT63" i="2"/>
  <c r="CT77" i="2"/>
  <c r="CT87" i="2" s="1"/>
  <c r="CI68" i="2" l="1"/>
  <c r="CY80" i="2"/>
  <c r="CM72" i="2"/>
  <c r="O47" i="9"/>
  <c r="Q47" i="9" s="1"/>
  <c r="CP95" i="2"/>
  <c r="CS63" i="2"/>
  <c r="CS77" i="2"/>
  <c r="CS87" i="2" s="1"/>
  <c r="CS86" i="2"/>
  <c r="CR75" i="2"/>
  <c r="CR87" i="2"/>
  <c r="R50" i="9"/>
  <c r="T50" i="9" s="1"/>
  <c r="CI102" i="3"/>
  <c r="CI16" i="2"/>
  <c r="CV61" i="2"/>
  <c r="CV85" i="2"/>
  <c r="CG118" i="3"/>
  <c r="CG117" i="3" s="1"/>
  <c r="CG33" i="3" s="1"/>
  <c r="CG103" i="3"/>
  <c r="CG78" i="2"/>
  <c r="CG88" i="2" s="1"/>
  <c r="T22" i="12"/>
  <c r="CH16" i="2"/>
  <c r="CM27" i="2"/>
  <c r="CM42" i="3"/>
  <c r="CJ13" i="2"/>
  <c r="CJ144" i="3" s="1"/>
  <c r="CI149" i="3"/>
  <c r="CP81" i="2"/>
  <c r="CP89" i="2"/>
  <c r="CK69" i="2"/>
  <c r="CH103" i="3"/>
  <c r="CH118" i="3"/>
  <c r="CQ40" i="2"/>
  <c r="CQ71" i="2" s="1"/>
  <c r="CS8" i="3"/>
  <c r="CS93" i="3" s="1"/>
  <c r="CS52" i="3"/>
  <c r="CS29" i="3" s="1"/>
  <c r="CS28" i="3" s="1"/>
  <c r="CT8" i="3"/>
  <c r="CT93" i="3" s="1"/>
  <c r="CT52" i="3"/>
  <c r="CT29" i="3" s="1"/>
  <c r="CT28" i="3" s="1"/>
  <c r="CL72" i="2"/>
  <c r="CR96" i="3"/>
  <c r="CR95" i="3"/>
  <c r="CR65" i="2"/>
  <c r="CR82" i="2"/>
  <c r="J9" i="12"/>
  <c r="J10" i="12" s="1"/>
  <c r="CT65" i="2"/>
  <c r="CT82" i="2"/>
  <c r="CX7" i="2"/>
  <c r="CX9" i="2" s="1"/>
  <c r="CU22" i="2"/>
  <c r="CU19" i="2"/>
  <c r="CU94" i="3"/>
  <c r="CU59" i="2"/>
  <c r="CW9" i="2"/>
  <c r="CV94" i="3"/>
  <c r="CX60" i="2"/>
  <c r="CH68" i="2"/>
  <c r="E12" i="9" s="1"/>
  <c r="CH27" i="2"/>
  <c r="CY7" i="2"/>
  <c r="CY9" i="2" s="1"/>
  <c r="CQ28" i="3"/>
  <c r="CR29" i="3"/>
  <c r="CR28" i="3" s="1"/>
  <c r="CL20" i="3"/>
  <c r="CL81" i="3" s="1"/>
  <c r="CL82" i="3" s="1"/>
  <c r="CM21" i="3"/>
  <c r="CL34" i="2"/>
  <c r="CL69" i="2" s="1"/>
  <c r="DA4" i="2"/>
  <c r="DA14" i="2"/>
  <c r="DA60" i="2" s="1"/>
  <c r="CP40" i="2"/>
  <c r="CP71" i="2" s="1"/>
  <c r="CR38" i="2"/>
  <c r="CN27" i="2"/>
  <c r="CZ6" i="2"/>
  <c r="DB41" i="4"/>
  <c r="DB42" i="4" s="1"/>
  <c r="CY94" i="3" l="1"/>
  <c r="CY22" i="2"/>
  <c r="CY59" i="2"/>
  <c r="CY19" i="2"/>
  <c r="CX22" i="2"/>
  <c r="CX19" i="2"/>
  <c r="CX59" i="2"/>
  <c r="CX94" i="3"/>
  <c r="CS83" i="3"/>
  <c r="CS51" i="3"/>
  <c r="CT102" i="2"/>
  <c r="CT95" i="2" s="1"/>
  <c r="CG79" i="3"/>
  <c r="CH33" i="3"/>
  <c r="CG27" i="3"/>
  <c r="DA80" i="2"/>
  <c r="CJ10" i="2"/>
  <c r="CJ68" i="2"/>
  <c r="CZ14" i="2"/>
  <c r="CZ80" i="2" s="1"/>
  <c r="CZ4" i="2"/>
  <c r="DB6" i="2"/>
  <c r="CR83" i="3"/>
  <c r="CR51" i="3"/>
  <c r="J26" i="12"/>
  <c r="CS102" i="2"/>
  <c r="CU61" i="2"/>
  <c r="CU85" i="2"/>
  <c r="CP96" i="2"/>
  <c r="CP97" i="2" s="1"/>
  <c r="CP94" i="2"/>
  <c r="CT83" i="3"/>
  <c r="CT51" i="3"/>
  <c r="CT89" i="2"/>
  <c r="CT81" i="2"/>
  <c r="CS96" i="3"/>
  <c r="CS38" i="2" s="1"/>
  <c r="CS95" i="3"/>
  <c r="CN42" i="3"/>
  <c r="CN43" i="2"/>
  <c r="CI78" i="2"/>
  <c r="CI88" i="2" s="1"/>
  <c r="CQ83" i="3"/>
  <c r="CQ51" i="3"/>
  <c r="CQ102" i="2"/>
  <c r="DA7" i="2"/>
  <c r="DA9" i="2" s="1"/>
  <c r="CK13" i="2"/>
  <c r="CK144" i="3" s="1"/>
  <c r="CJ149" i="3"/>
  <c r="CV98" i="3"/>
  <c r="CV99" i="3"/>
  <c r="CV10" i="3" s="1"/>
  <c r="CW22" i="2"/>
  <c r="CW19" i="2"/>
  <c r="CW94" i="3"/>
  <c r="CW59" i="2"/>
  <c r="CS65" i="2"/>
  <c r="CS82" i="2"/>
  <c r="CU98" i="3"/>
  <c r="CU99" i="3"/>
  <c r="CU10" i="3" s="1"/>
  <c r="CR81" i="2"/>
  <c r="CR89" i="2"/>
  <c r="J7" i="12"/>
  <c r="J8" i="12" s="1"/>
  <c r="CR39" i="2"/>
  <c r="CH78" i="2"/>
  <c r="H22" i="12"/>
  <c r="CI103" i="3"/>
  <c r="CI118" i="3"/>
  <c r="CI117" i="3" s="1"/>
  <c r="CI33" i="3" s="1"/>
  <c r="CT96" i="3"/>
  <c r="CT38" i="2" s="1"/>
  <c r="CT95" i="3"/>
  <c r="CM20" i="3"/>
  <c r="CN21" i="3"/>
  <c r="CV86" i="2"/>
  <c r="CV63" i="2"/>
  <c r="CV77" i="2"/>
  <c r="CV87" i="2" s="1"/>
  <c r="CR40" i="2"/>
  <c r="CR71" i="2" s="1"/>
  <c r="CP38" i="3"/>
  <c r="CQ38" i="3" s="1"/>
  <c r="CR38" i="3" s="1"/>
  <c r="CM34" i="2"/>
  <c r="F16" i="9"/>
  <c r="I20" i="12"/>
  <c r="CS95" i="2" l="1"/>
  <c r="CT40" i="2"/>
  <c r="CT71" i="2" s="1"/>
  <c r="CV8" i="3"/>
  <c r="CV93" i="3" s="1"/>
  <c r="CW10" i="3"/>
  <c r="CV52" i="3"/>
  <c r="CL13" i="2"/>
  <c r="CK149" i="3"/>
  <c r="CK10" i="2"/>
  <c r="CK16" i="2" s="1"/>
  <c r="CK68" i="2"/>
  <c r="CM69" i="2"/>
  <c r="F13" i="9" s="1"/>
  <c r="O44" i="9"/>
  <c r="Q44" i="9" s="1"/>
  <c r="CT94" i="2"/>
  <c r="CT26" i="2" s="1"/>
  <c r="CT96" i="2"/>
  <c r="CT97" i="2" s="1"/>
  <c r="CO42" i="3"/>
  <c r="CO43" i="2"/>
  <c r="CP26" i="2"/>
  <c r="CZ60" i="2"/>
  <c r="DB14" i="2"/>
  <c r="DB80" i="2" s="1"/>
  <c r="CY61" i="2"/>
  <c r="CY85" i="2"/>
  <c r="CU8" i="3"/>
  <c r="CU93" i="3" s="1"/>
  <c r="CU52" i="3"/>
  <c r="CU29" i="3" s="1"/>
  <c r="CU28" i="3" s="1"/>
  <c r="CH79" i="3"/>
  <c r="CH117" i="3"/>
  <c r="CH119" i="3" s="1"/>
  <c r="CH27" i="3"/>
  <c r="CZ7" i="2"/>
  <c r="DB7" i="2" s="1"/>
  <c r="DB4" i="2"/>
  <c r="CW98" i="3"/>
  <c r="CI79" i="3"/>
  <c r="CV65" i="2"/>
  <c r="CV82" i="2"/>
  <c r="CN20" i="3"/>
  <c r="CN81" i="3" s="1"/>
  <c r="CN82" i="3" s="1"/>
  <c r="CO21" i="3"/>
  <c r="CN34" i="2"/>
  <c r="CS40" i="2"/>
  <c r="CS38" i="3" s="1"/>
  <c r="CU86" i="2"/>
  <c r="CU63" i="2"/>
  <c r="CU77" i="2"/>
  <c r="CU87" i="2" s="1"/>
  <c r="CX98" i="3"/>
  <c r="CX99" i="3"/>
  <c r="CX10" i="3" s="1"/>
  <c r="CH88" i="2"/>
  <c r="E22" i="9"/>
  <c r="L51" i="9"/>
  <c r="N51" i="9" s="1"/>
  <c r="CS89" i="2"/>
  <c r="CS81" i="2"/>
  <c r="CN72" i="2"/>
  <c r="CR41" i="2"/>
  <c r="DA22" i="2"/>
  <c r="DA19" i="2"/>
  <c r="DA59" i="2"/>
  <c r="R46" i="9"/>
  <c r="T46" i="9" s="1"/>
  <c r="CW61" i="2"/>
  <c r="CW85" i="2"/>
  <c r="K5" i="12"/>
  <c r="K6" i="12" s="1"/>
  <c r="CM81" i="3"/>
  <c r="I23" i="12"/>
  <c r="CQ95" i="2"/>
  <c r="CR102" i="2"/>
  <c r="CR103" i="2" s="1"/>
  <c r="CR104" i="2" s="1"/>
  <c r="CJ102" i="3"/>
  <c r="CJ16" i="2"/>
  <c r="CX61" i="2"/>
  <c r="CX85" i="2"/>
  <c r="CY98" i="3"/>
  <c r="CY99" i="3"/>
  <c r="CY10" i="3" s="1"/>
  <c r="CS71" i="2" l="1"/>
  <c r="CZ9" i="2"/>
  <c r="CT38" i="3"/>
  <c r="CK102" i="3"/>
  <c r="CK103" i="3" s="1"/>
  <c r="CT27" i="2"/>
  <c r="CK118" i="3"/>
  <c r="CK117" i="3" s="1"/>
  <c r="CK33" i="3" s="1"/>
  <c r="CV29" i="3"/>
  <c r="CW52" i="3"/>
  <c r="CW53" i="3" s="1"/>
  <c r="CY63" i="2"/>
  <c r="CY77" i="2"/>
  <c r="CY87" i="2" s="1"/>
  <c r="CY86" i="2"/>
  <c r="CW8" i="3"/>
  <c r="CW93" i="3" s="1"/>
  <c r="CW99" i="3"/>
  <c r="CW100" i="3" s="1"/>
  <c r="CN69" i="2"/>
  <c r="CV96" i="3"/>
  <c r="CV38" i="2" s="1"/>
  <c r="CV95" i="3"/>
  <c r="CL10" i="2"/>
  <c r="CL68" i="2"/>
  <c r="CM82" i="3"/>
  <c r="I17" i="12"/>
  <c r="CP27" i="2"/>
  <c r="DA61" i="2"/>
  <c r="DA85" i="2"/>
  <c r="CP21" i="3"/>
  <c r="CO20" i="3"/>
  <c r="CO81" i="3" s="1"/>
  <c r="CO82" i="3" s="1"/>
  <c r="CO34" i="2"/>
  <c r="CO69" i="2" s="1"/>
  <c r="DB15" i="2"/>
  <c r="DB60" i="2"/>
  <c r="CO72" i="2"/>
  <c r="CJ78" i="2"/>
  <c r="CJ88" i="2" s="1"/>
  <c r="CV89" i="2"/>
  <c r="CV81" i="2"/>
  <c r="DB8" i="2"/>
  <c r="CY52" i="3"/>
  <c r="CY29" i="3" s="1"/>
  <c r="CY28" i="3" s="1"/>
  <c r="CY8" i="3"/>
  <c r="CY93" i="3" s="1"/>
  <c r="CX63" i="2"/>
  <c r="CX77" i="2"/>
  <c r="CX87" i="2" s="1"/>
  <c r="CX86" i="2"/>
  <c r="CU65" i="2"/>
  <c r="CU82" i="2"/>
  <c r="CW77" i="2"/>
  <c r="CW87" i="2" s="1"/>
  <c r="CW86" i="2"/>
  <c r="CW63" i="2"/>
  <c r="CP42" i="3"/>
  <c r="CP43" i="2"/>
  <c r="CS94" i="2"/>
  <c r="CS26" i="2" s="1"/>
  <c r="CS96" i="2"/>
  <c r="CS97" i="2" s="1"/>
  <c r="CU96" i="3"/>
  <c r="CU38" i="2" s="1"/>
  <c r="CU95" i="3"/>
  <c r="CQ94" i="2"/>
  <c r="CR94" i="2" s="1"/>
  <c r="CQ96" i="2"/>
  <c r="CQ97" i="2" s="1"/>
  <c r="CR95" i="2"/>
  <c r="CR96" i="2" s="1"/>
  <c r="CR97" i="2" s="1"/>
  <c r="CZ94" i="3"/>
  <c r="CZ19" i="2"/>
  <c r="CZ59" i="2"/>
  <c r="CZ22" i="2"/>
  <c r="DA94" i="3"/>
  <c r="DB9" i="2"/>
  <c r="CK78" i="2"/>
  <c r="CK88" i="2" s="1"/>
  <c r="CJ103" i="3"/>
  <c r="CJ118" i="3"/>
  <c r="CJ117" i="3" s="1"/>
  <c r="CJ33" i="3" s="1"/>
  <c r="CX52" i="3"/>
  <c r="CX29" i="3" s="1"/>
  <c r="CX28" i="3" s="1"/>
  <c r="CX8" i="3"/>
  <c r="CX93" i="3" s="1"/>
  <c r="CM13" i="2"/>
  <c r="CM68" i="2" s="1"/>
  <c r="F12" i="9" s="1"/>
  <c r="CU83" i="3"/>
  <c r="CU51" i="3"/>
  <c r="CU102" i="2"/>
  <c r="CL144" i="3"/>
  <c r="CW96" i="3" l="1"/>
  <c r="CW95" i="3"/>
  <c r="CS27" i="2"/>
  <c r="CX96" i="3"/>
  <c r="CX38" i="2" s="1"/>
  <c r="CX95" i="3"/>
  <c r="CX65" i="2"/>
  <c r="CX82" i="2"/>
  <c r="CK79" i="3"/>
  <c r="CK27" i="3"/>
  <c r="CZ61" i="2"/>
  <c r="CZ85" i="2"/>
  <c r="CJ79" i="3"/>
  <c r="CJ27" i="3"/>
  <c r="CY51" i="3"/>
  <c r="CY83" i="3"/>
  <c r="K9" i="12"/>
  <c r="K10" i="12" s="1"/>
  <c r="CW65" i="2"/>
  <c r="CW82" i="2"/>
  <c r="CL16" i="2"/>
  <c r="CL102" i="3"/>
  <c r="CM10" i="2"/>
  <c r="CM102" i="3" s="1"/>
  <c r="CV40" i="2"/>
  <c r="CV71" i="2" s="1"/>
  <c r="CP72" i="2"/>
  <c r="CR43" i="2"/>
  <c r="CZ98" i="3"/>
  <c r="CZ99" i="3"/>
  <c r="CZ10" i="3" s="1"/>
  <c r="CY96" i="3"/>
  <c r="CY38" i="2" s="1"/>
  <c r="CY95" i="3"/>
  <c r="CV28" i="3"/>
  <c r="CW29" i="3"/>
  <c r="CW28" i="3" s="1"/>
  <c r="CX83" i="3" s="1"/>
  <c r="CL149" i="3"/>
  <c r="CM149" i="3" s="1"/>
  <c r="CM144" i="3"/>
  <c r="CN13" i="2" s="1"/>
  <c r="CN144" i="3" s="1"/>
  <c r="DB94" i="3"/>
  <c r="DB22" i="2"/>
  <c r="DB19" i="2"/>
  <c r="DB59" i="2"/>
  <c r="CQ42" i="3"/>
  <c r="CQ43" i="2"/>
  <c r="CP20" i="3"/>
  <c r="CP81" i="3" s="1"/>
  <c r="CP82" i="3" s="1"/>
  <c r="CQ21" i="3"/>
  <c r="CP34" i="2"/>
  <c r="CP69" i="2" s="1"/>
  <c r="DA98" i="3"/>
  <c r="DA99" i="3"/>
  <c r="DA10" i="3" s="1"/>
  <c r="CU40" i="2"/>
  <c r="CW38" i="2"/>
  <c r="CU89" i="2"/>
  <c r="CU81" i="2"/>
  <c r="DA63" i="2"/>
  <c r="DA77" i="2"/>
  <c r="DA87" i="2" s="1"/>
  <c r="DA86" i="2"/>
  <c r="CX51" i="3"/>
  <c r="CY102" i="2"/>
  <c r="CY95" i="2" s="1"/>
  <c r="CY65" i="2"/>
  <c r="CY82" i="2"/>
  <c r="CR98" i="2"/>
  <c r="CU95" i="2"/>
  <c r="CQ26" i="2"/>
  <c r="CY94" i="2" l="1"/>
  <c r="CY26" i="2" s="1"/>
  <c r="CY96" i="2"/>
  <c r="CY97" i="2" s="1"/>
  <c r="CO13" i="2"/>
  <c r="CO144" i="3" s="1"/>
  <c r="CN149" i="3"/>
  <c r="CM118" i="3"/>
  <c r="CM103" i="3"/>
  <c r="CV83" i="3"/>
  <c r="CV51" i="3"/>
  <c r="CV102" i="2"/>
  <c r="CX81" i="2"/>
  <c r="CX89" i="2"/>
  <c r="CQ20" i="3"/>
  <c r="CQ81" i="3" s="1"/>
  <c r="CQ82" i="3" s="1"/>
  <c r="CR21" i="3"/>
  <c r="CQ34" i="2"/>
  <c r="CQ69" i="2" s="1"/>
  <c r="CX40" i="2"/>
  <c r="CX71" i="2" s="1"/>
  <c r="CY40" i="2"/>
  <c r="CY71" i="2" s="1"/>
  <c r="CZ63" i="2"/>
  <c r="CZ77" i="2"/>
  <c r="CZ87" i="2" s="1"/>
  <c r="CZ86" i="2"/>
  <c r="DB10" i="3"/>
  <c r="DA52" i="3"/>
  <c r="DA8" i="3"/>
  <c r="DA93" i="3" s="1"/>
  <c r="CQ27" i="2"/>
  <c r="CR26" i="2"/>
  <c r="DA65" i="2"/>
  <c r="DA82" i="2"/>
  <c r="CW39" i="2"/>
  <c r="CY81" i="2"/>
  <c r="CY89" i="2"/>
  <c r="CR34" i="2"/>
  <c r="CZ52" i="3"/>
  <c r="CZ29" i="3" s="1"/>
  <c r="CZ28" i="3" s="1"/>
  <c r="CZ8" i="3"/>
  <c r="CZ93" i="3" s="1"/>
  <c r="CR72" i="2"/>
  <c r="J20" i="12" s="1"/>
  <c r="R47" i="9"/>
  <c r="T47" i="9" s="1"/>
  <c r="DB98" i="3"/>
  <c r="CN10" i="2"/>
  <c r="CN68" i="2"/>
  <c r="CW83" i="3"/>
  <c r="CW51" i="3"/>
  <c r="CX102" i="2"/>
  <c r="K26" i="12"/>
  <c r="CU94" i="2"/>
  <c r="CU26" i="2" s="1"/>
  <c r="CU96" i="2"/>
  <c r="CU97" i="2" s="1"/>
  <c r="CQ72" i="2"/>
  <c r="CL103" i="3"/>
  <c r="CL118" i="3"/>
  <c r="CL117" i="3" s="1"/>
  <c r="CL33" i="3" s="1"/>
  <c r="CR42" i="3"/>
  <c r="CL78" i="2"/>
  <c r="CL88" i="2" s="1"/>
  <c r="CM16" i="2"/>
  <c r="CU38" i="3"/>
  <c r="CV38" i="3" s="1"/>
  <c r="CW38" i="3" s="1"/>
  <c r="CW40" i="2"/>
  <c r="CW71" i="2" s="1"/>
  <c r="CU71" i="2"/>
  <c r="DB61" i="2"/>
  <c r="L5" i="12"/>
  <c r="L6" i="12" s="1"/>
  <c r="DB85" i="2"/>
  <c r="K7" i="12"/>
  <c r="K8" i="12" s="1"/>
  <c r="CW89" i="2"/>
  <c r="CW81" i="2"/>
  <c r="CW41" i="2" l="1"/>
  <c r="CO149" i="3"/>
  <c r="CP13" i="2"/>
  <c r="CY27" i="2"/>
  <c r="DA96" i="3"/>
  <c r="DA38" i="2" s="1"/>
  <c r="DA95" i="3"/>
  <c r="CZ51" i="3"/>
  <c r="CZ83" i="3"/>
  <c r="CZ102" i="2"/>
  <c r="CZ95" i="2" s="1"/>
  <c r="DB63" i="2"/>
  <c r="DB77" i="2"/>
  <c r="DB87" i="2" s="1"/>
  <c r="DB86" i="2"/>
  <c r="CR20" i="3"/>
  <c r="CS21" i="3"/>
  <c r="CU27" i="2"/>
  <c r="DB52" i="3"/>
  <c r="DB53" i="3" s="1"/>
  <c r="DA29" i="3"/>
  <c r="CO10" i="2"/>
  <c r="CO68" i="2"/>
  <c r="CZ96" i="3"/>
  <c r="CZ38" i="2" s="1"/>
  <c r="CZ95" i="3"/>
  <c r="CR69" i="2"/>
  <c r="R44" i="9"/>
  <c r="T44" i="9" s="1"/>
  <c r="DA81" i="2"/>
  <c r="DA89" i="2"/>
  <c r="CL79" i="3"/>
  <c r="CM33" i="3"/>
  <c r="CL27" i="3"/>
  <c r="CZ65" i="2"/>
  <c r="CZ82" i="2"/>
  <c r="CV95" i="2"/>
  <c r="CW102" i="2"/>
  <c r="CW103" i="2" s="1"/>
  <c r="CW104" i="2" s="1"/>
  <c r="CS42" i="3"/>
  <c r="CS43" i="2"/>
  <c r="CN102" i="3"/>
  <c r="CN16" i="2"/>
  <c r="DB8" i="3"/>
  <c r="DB93" i="3" s="1"/>
  <c r="DB99" i="3"/>
  <c r="DB100" i="3" s="1"/>
  <c r="CX38" i="3"/>
  <c r="CY38" i="3" s="1"/>
  <c r="CM78" i="2"/>
  <c r="I22" i="12"/>
  <c r="CX95" i="2"/>
  <c r="CR27" i="2"/>
  <c r="DA40" i="2" l="1"/>
  <c r="DA71" i="2" s="1"/>
  <c r="CR81" i="3"/>
  <c r="J23" i="12"/>
  <c r="DB96" i="3"/>
  <c r="DB95" i="3"/>
  <c r="CO102" i="3"/>
  <c r="CO16" i="2"/>
  <c r="DB65" i="2"/>
  <c r="DB82" i="2"/>
  <c r="L9" i="12"/>
  <c r="L10" i="12" s="1"/>
  <c r="CV94" i="2"/>
  <c r="CW94" i="2" s="1"/>
  <c r="CV96" i="2"/>
  <c r="CV97" i="2" s="1"/>
  <c r="CW95" i="2"/>
  <c r="CW96" i="2" s="1"/>
  <c r="CW97" i="2" s="1"/>
  <c r="CP10" i="2"/>
  <c r="CP68" i="2"/>
  <c r="CS20" i="3"/>
  <c r="CS81" i="3" s="1"/>
  <c r="CS82" i="3" s="1"/>
  <c r="CT21" i="3"/>
  <c r="CS34" i="2"/>
  <c r="CZ40" i="2"/>
  <c r="DB40" i="2" s="1"/>
  <c r="DB38" i="2"/>
  <c r="CP144" i="3"/>
  <c r="CN78" i="2"/>
  <c r="CN88" i="2" s="1"/>
  <c r="CZ81" i="2"/>
  <c r="CZ89" i="2"/>
  <c r="CX94" i="2"/>
  <c r="CX26" i="2" s="1"/>
  <c r="CX96" i="2"/>
  <c r="CX97" i="2" s="1"/>
  <c r="DB29" i="3"/>
  <c r="DB28" i="3" s="1"/>
  <c r="DA28" i="3"/>
  <c r="CN103" i="3"/>
  <c r="CN118" i="3"/>
  <c r="CN117" i="3" s="1"/>
  <c r="CN33" i="3" s="1"/>
  <c r="CM79" i="3"/>
  <c r="CM117" i="3"/>
  <c r="CM119" i="3" s="1"/>
  <c r="CM27" i="3"/>
  <c r="CZ94" i="2"/>
  <c r="CZ26" i="2" s="1"/>
  <c r="CZ96" i="2"/>
  <c r="CZ97" i="2" s="1"/>
  <c r="F22" i="9"/>
  <c r="CM88" i="2"/>
  <c r="O51" i="9"/>
  <c r="Q51" i="9" s="1"/>
  <c r="CS72" i="2"/>
  <c r="CT42" i="3"/>
  <c r="CT43" i="2"/>
  <c r="CZ38" i="3" l="1"/>
  <c r="DA38" i="3" s="1"/>
  <c r="DB38" i="3" s="1"/>
  <c r="CZ27" i="2"/>
  <c r="CT72" i="2"/>
  <c r="CU42" i="3"/>
  <c r="CU43" i="2"/>
  <c r="CS69" i="2"/>
  <c r="CT20" i="3"/>
  <c r="CT81" i="3" s="1"/>
  <c r="CT82" i="3" s="1"/>
  <c r="CU21" i="3"/>
  <c r="CT34" i="2"/>
  <c r="CT69" i="2" s="1"/>
  <c r="DB81" i="2"/>
  <c r="L7" i="12"/>
  <c r="L8" i="12" s="1"/>
  <c r="DB89" i="2"/>
  <c r="CN79" i="3"/>
  <c r="CX27" i="2"/>
  <c r="CO78" i="2"/>
  <c r="CO88" i="2" s="1"/>
  <c r="CP16" i="2"/>
  <c r="CP102" i="3"/>
  <c r="DA51" i="3"/>
  <c r="DA83" i="3"/>
  <c r="DA102" i="2"/>
  <c r="DB83" i="3"/>
  <c r="DB51" i="3"/>
  <c r="L26" i="12"/>
  <c r="DB71" i="2"/>
  <c r="DB39" i="2"/>
  <c r="DB41" i="2"/>
  <c r="CW98" i="2"/>
  <c r="CR82" i="3"/>
  <c r="J17" i="12"/>
  <c r="CP149" i="3"/>
  <c r="CQ13" i="2"/>
  <c r="CV26" i="2"/>
  <c r="CO103" i="3"/>
  <c r="CO118" i="3"/>
  <c r="CO117" i="3" s="1"/>
  <c r="CO33" i="3" s="1"/>
  <c r="CZ71" i="2"/>
  <c r="CV27" i="2" l="1"/>
  <c r="CW26" i="2"/>
  <c r="CU72" i="2"/>
  <c r="CU20" i="3"/>
  <c r="CU81" i="3" s="1"/>
  <c r="CU82" i="3" s="1"/>
  <c r="CV21" i="3"/>
  <c r="CU34" i="2"/>
  <c r="CQ10" i="2"/>
  <c r="CQ68" i="2"/>
  <c r="CR13" i="2"/>
  <c r="CR68" i="2" s="1"/>
  <c r="CQ144" i="3"/>
  <c r="DA95" i="2"/>
  <c r="DB102" i="2"/>
  <c r="DB103" i="2" s="1"/>
  <c r="DB104" i="2" s="1"/>
  <c r="CO79" i="3"/>
  <c r="CO27" i="3"/>
  <c r="CP78" i="2"/>
  <c r="CP88" i="2" s="1"/>
  <c r="CV42" i="3"/>
  <c r="CV43" i="2"/>
  <c r="CW43" i="2" s="1"/>
  <c r="CP103" i="3"/>
  <c r="CP118" i="3"/>
  <c r="CP117" i="3" s="1"/>
  <c r="CP33" i="3" s="1"/>
  <c r="CQ16" i="2" l="1"/>
  <c r="CQ102" i="3"/>
  <c r="CR10" i="2"/>
  <c r="CR102" i="3" s="1"/>
  <c r="CV20" i="3"/>
  <c r="CV81" i="3" s="1"/>
  <c r="CV82" i="3" s="1"/>
  <c r="CW21" i="3"/>
  <c r="CV34" i="2"/>
  <c r="CV69" i="2" s="1"/>
  <c r="CV72" i="2"/>
  <c r="CW27" i="2"/>
  <c r="CQ149" i="3"/>
  <c r="CR149" i="3" s="1"/>
  <c r="CR144" i="3"/>
  <c r="CS13" i="2" s="1"/>
  <c r="CS144" i="3" s="1"/>
  <c r="CP79" i="3"/>
  <c r="CP27" i="3"/>
  <c r="CU69" i="2"/>
  <c r="CW72" i="2"/>
  <c r="K20" i="12" s="1"/>
  <c r="CW42" i="3"/>
  <c r="DA96" i="2"/>
  <c r="DA97" i="2" s="1"/>
  <c r="DA94" i="2"/>
  <c r="DB94" i="2" s="1"/>
  <c r="DB95" i="2"/>
  <c r="DB96" i="2" s="1"/>
  <c r="DB97" i="2" s="1"/>
  <c r="DA26" i="2" l="1"/>
  <c r="DA27" i="2" s="1"/>
  <c r="CW34" i="2"/>
  <c r="CW69" i="2" s="1"/>
  <c r="CX42" i="3"/>
  <c r="CX43" i="2"/>
  <c r="CQ103" i="3"/>
  <c r="CQ118" i="3"/>
  <c r="CQ117" i="3" s="1"/>
  <c r="CQ33" i="3" s="1"/>
  <c r="CW20" i="3"/>
  <c r="CX21" i="3"/>
  <c r="CS149" i="3"/>
  <c r="CT13" i="2"/>
  <c r="CT144" i="3" s="1"/>
  <c r="CS10" i="2"/>
  <c r="CS68" i="2"/>
  <c r="CQ78" i="2"/>
  <c r="CQ88" i="2" s="1"/>
  <c r="CR16" i="2"/>
  <c r="DB26" i="2"/>
  <c r="CR103" i="3"/>
  <c r="CR118" i="3"/>
  <c r="DB98" i="2"/>
  <c r="CU13" i="2" l="1"/>
  <c r="CU144" i="3" s="1"/>
  <c r="CT149" i="3"/>
  <c r="CX20" i="3"/>
  <c r="CX81" i="3" s="1"/>
  <c r="CX82" i="3" s="1"/>
  <c r="CY21" i="3"/>
  <c r="CX34" i="2"/>
  <c r="CR78" i="2"/>
  <c r="J22" i="12"/>
  <c r="CQ79" i="3"/>
  <c r="CR33" i="3"/>
  <c r="CQ27" i="3"/>
  <c r="CS102" i="3"/>
  <c r="CS16" i="2"/>
  <c r="CT10" i="2"/>
  <c r="CT68" i="2"/>
  <c r="DB27" i="2"/>
  <c r="CW81" i="3"/>
  <c r="K23" i="12"/>
  <c r="CX72" i="2"/>
  <c r="CY42" i="3"/>
  <c r="CY43" i="2"/>
  <c r="CV13" i="2" l="1"/>
  <c r="CU149" i="3"/>
  <c r="CV144" i="3"/>
  <c r="CR88" i="2"/>
  <c r="R51" i="9"/>
  <c r="T51" i="9" s="1"/>
  <c r="CT102" i="3"/>
  <c r="CT16" i="2"/>
  <c r="CZ42" i="3"/>
  <c r="CZ43" i="2"/>
  <c r="CW82" i="3"/>
  <c r="K17" i="12"/>
  <c r="CX69" i="2"/>
  <c r="CY72" i="2"/>
  <c r="CY20" i="3"/>
  <c r="CY81" i="3" s="1"/>
  <c r="CY82" i="3" s="1"/>
  <c r="CZ21" i="3"/>
  <c r="CY34" i="2"/>
  <c r="CY69" i="2" s="1"/>
  <c r="CR79" i="3"/>
  <c r="CR117" i="3"/>
  <c r="CR119" i="3" s="1"/>
  <c r="CR27" i="3"/>
  <c r="CS78" i="2"/>
  <c r="CS88" i="2" s="1"/>
  <c r="CS118" i="3"/>
  <c r="CS117" i="3" s="1"/>
  <c r="CS33" i="3" s="1"/>
  <c r="CS103" i="3"/>
  <c r="CU10" i="2"/>
  <c r="CU16" i="2" s="1"/>
  <c r="CU68" i="2"/>
  <c r="CZ20" i="3" l="1"/>
  <c r="CZ81" i="3" s="1"/>
  <c r="CZ82" i="3" s="1"/>
  <c r="DA21" i="3"/>
  <c r="CZ34" i="2"/>
  <c r="CZ69" i="2" s="1"/>
  <c r="CU102" i="3"/>
  <c r="CZ72" i="2"/>
  <c r="DA42" i="3"/>
  <c r="DA43" i="2"/>
  <c r="CS79" i="3"/>
  <c r="CV149" i="3"/>
  <c r="CW149" i="3" s="1"/>
  <c r="CW144" i="3"/>
  <c r="CX13" i="2" s="1"/>
  <c r="CX144" i="3" s="1"/>
  <c r="CU78" i="2"/>
  <c r="CU88" i="2" s="1"/>
  <c r="CT78" i="2"/>
  <c r="CT88" i="2" s="1"/>
  <c r="CT103" i="3"/>
  <c r="CT118" i="3"/>
  <c r="CT117" i="3" s="1"/>
  <c r="CT33" i="3" s="1"/>
  <c r="CV10" i="2"/>
  <c r="CV68" i="2"/>
  <c r="CW13" i="2"/>
  <c r="CW68" i="2" s="1"/>
  <c r="CT79" i="3" l="1"/>
  <c r="CT27" i="3"/>
  <c r="DB42" i="3"/>
  <c r="CX10" i="2"/>
  <c r="CX68" i="2"/>
  <c r="DA72" i="2"/>
  <c r="DB43" i="2"/>
  <c r="CY13" i="2"/>
  <c r="CX149" i="3"/>
  <c r="CU103" i="3"/>
  <c r="CU118" i="3"/>
  <c r="CU117" i="3" s="1"/>
  <c r="CU33" i="3" s="1"/>
  <c r="DB21" i="3"/>
  <c r="DB20" i="3" s="1"/>
  <c r="DA20" i="3"/>
  <c r="DA81" i="3" s="1"/>
  <c r="DA82" i="3" s="1"/>
  <c r="DA34" i="2"/>
  <c r="DA69" i="2" s="1"/>
  <c r="CV16" i="2"/>
  <c r="CV102" i="3"/>
  <c r="DB34" i="2"/>
  <c r="DB69" i="2" s="1"/>
  <c r="CW10" i="2"/>
  <c r="CW102" i="3" s="1"/>
  <c r="CY10" i="2" l="1"/>
  <c r="CY68" i="2"/>
  <c r="CU79" i="3"/>
  <c r="CU27" i="3"/>
  <c r="CW103" i="3"/>
  <c r="CW118" i="3"/>
  <c r="CV103" i="3"/>
  <c r="CV118" i="3"/>
  <c r="CV117" i="3" s="1"/>
  <c r="CV33" i="3" s="1"/>
  <c r="CV78" i="2"/>
  <c r="CV88" i="2" s="1"/>
  <c r="CW16" i="2"/>
  <c r="CX102" i="3"/>
  <c r="CX16" i="2"/>
  <c r="DB81" i="3"/>
  <c r="L23" i="12"/>
  <c r="DB72" i="2"/>
  <c r="L20" i="12" s="1"/>
  <c r="CY144" i="3"/>
  <c r="CY149" i="3" l="1"/>
  <c r="CZ13" i="2"/>
  <c r="CZ144" i="3" s="1"/>
  <c r="CV79" i="3"/>
  <c r="CW33" i="3"/>
  <c r="CV27" i="3"/>
  <c r="DB82" i="3"/>
  <c r="L17" i="12"/>
  <c r="CX78" i="2"/>
  <c r="CX88" i="2" s="1"/>
  <c r="CX103" i="3"/>
  <c r="CX118" i="3"/>
  <c r="CX117" i="3" s="1"/>
  <c r="CX33" i="3" s="1"/>
  <c r="K22" i="12"/>
  <c r="CW78" i="2"/>
  <c r="CW88" i="2" s="1"/>
  <c r="CY102" i="3"/>
  <c r="CY16" i="2"/>
  <c r="DA13" i="2" l="1"/>
  <c r="CZ149" i="3"/>
  <c r="CY118" i="3"/>
  <c r="CY117" i="3" s="1"/>
  <c r="CY33" i="3" s="1"/>
  <c r="CY103" i="3"/>
  <c r="CY78" i="2"/>
  <c r="CY88" i="2" s="1"/>
  <c r="CW79" i="3"/>
  <c r="CW117" i="3"/>
  <c r="CW119" i="3" s="1"/>
  <c r="CW27" i="3"/>
  <c r="CX79" i="3"/>
  <c r="CZ10" i="2"/>
  <c r="CZ68" i="2"/>
  <c r="DB13" i="2"/>
  <c r="DB68" i="2" s="1"/>
  <c r="CZ16" i="2" l="1"/>
  <c r="CZ102" i="3"/>
  <c r="CY79" i="3"/>
  <c r="CY27" i="3"/>
  <c r="DA10" i="2"/>
  <c r="DA16" i="2" s="1"/>
  <c r="DA68" i="2"/>
  <c r="DA144" i="3"/>
  <c r="DA149" i="3" l="1"/>
  <c r="DB149" i="3" s="1"/>
  <c r="DB144" i="3"/>
  <c r="DA78" i="2"/>
  <c r="DA88" i="2" s="1"/>
  <c r="DB10" i="2"/>
  <c r="DB102" i="3" s="1"/>
  <c r="CZ103" i="3"/>
  <c r="CZ118" i="3"/>
  <c r="CZ117" i="3" s="1"/>
  <c r="CZ33" i="3" s="1"/>
  <c r="DA102" i="3"/>
  <c r="CZ78" i="2"/>
  <c r="CZ88" i="2" s="1"/>
  <c r="DB16" i="2"/>
  <c r="DA103" i="3" l="1"/>
  <c r="DA118" i="3"/>
  <c r="DA117" i="3" s="1"/>
  <c r="DA33" i="3" s="1"/>
  <c r="DB78" i="2"/>
  <c r="DB88" i="2" s="1"/>
  <c r="L22" i="12"/>
  <c r="CZ79" i="3"/>
  <c r="CZ27" i="3"/>
  <c r="DB103" i="3"/>
  <c r="DB118" i="3"/>
  <c r="DB33" i="3" l="1"/>
  <c r="DA79" i="3"/>
  <c r="DA27" i="3"/>
  <c r="DB79" i="3" l="1"/>
  <c r="DB117" i="3"/>
  <c r="DB119" i="3" s="1"/>
  <c r="DB27" i="3"/>
  <c r="A2" i="3" l="1"/>
  <c r="CF4" i="3"/>
  <c r="CG4" i="3"/>
  <c r="CH4" i="3"/>
  <c r="CI4" i="3"/>
  <c r="CJ4" i="3"/>
  <c r="CK4" i="3"/>
  <c r="CL4" i="3"/>
  <c r="CM4" i="3"/>
  <c r="CN4" i="3"/>
  <c r="CO4" i="3"/>
  <c r="CP4" i="3"/>
  <c r="CQ4" i="3"/>
  <c r="CR4" i="3"/>
  <c r="CS4" i="3"/>
  <c r="CT4" i="3"/>
  <c r="CU4" i="3"/>
  <c r="CV4" i="3"/>
  <c r="CW4" i="3"/>
  <c r="CX4" i="3"/>
  <c r="CY4" i="3"/>
  <c r="CZ4" i="3"/>
  <c r="DA4" i="3"/>
  <c r="DB4" i="3"/>
  <c r="CF5" i="3"/>
  <c r="CG5" i="3"/>
  <c r="CH5" i="3"/>
  <c r="CI5" i="3"/>
  <c r="CJ5" i="3"/>
  <c r="CK5" i="3"/>
  <c r="CL5" i="3"/>
  <c r="CM5" i="3"/>
  <c r="CN5" i="3"/>
  <c r="CO5" i="3"/>
  <c r="CP5" i="3"/>
  <c r="CQ5" i="3"/>
  <c r="CR5" i="3"/>
  <c r="CS5" i="3"/>
  <c r="CT5" i="3"/>
  <c r="CU5" i="3"/>
  <c r="CV5" i="3"/>
  <c r="CW5" i="3"/>
  <c r="CX5" i="3"/>
  <c r="CY5" i="3"/>
  <c r="CZ5" i="3"/>
  <c r="DA5" i="3"/>
  <c r="DB5" i="3"/>
  <c r="CF6" i="3"/>
  <c r="CG6" i="3"/>
  <c r="CH6" i="3"/>
  <c r="CI6" i="3"/>
  <c r="CJ6" i="3"/>
  <c r="CK6" i="3"/>
  <c r="CL6" i="3"/>
  <c r="CM6" i="3"/>
  <c r="CN6" i="3"/>
  <c r="CO6" i="3"/>
  <c r="CP6" i="3"/>
  <c r="CQ6" i="3"/>
  <c r="CR6" i="3"/>
  <c r="CS6" i="3"/>
  <c r="CT6" i="3"/>
  <c r="CU6" i="3"/>
  <c r="CV6" i="3"/>
  <c r="CW6" i="3"/>
  <c r="CX6" i="3"/>
  <c r="CY6" i="3"/>
  <c r="CZ6" i="3"/>
  <c r="DA6" i="3"/>
  <c r="DB6" i="3"/>
  <c r="CF26" i="3"/>
  <c r="CG26" i="3"/>
  <c r="CH26" i="3"/>
  <c r="CI26" i="3"/>
  <c r="CJ26" i="3"/>
  <c r="CK26" i="3"/>
  <c r="CL26" i="3"/>
  <c r="CM26" i="3"/>
  <c r="CN26" i="3"/>
  <c r="CO26" i="3"/>
  <c r="CP26" i="3"/>
  <c r="CQ26" i="3"/>
  <c r="CR26" i="3"/>
  <c r="CS26" i="3"/>
  <c r="CT26" i="3"/>
  <c r="CU26" i="3"/>
  <c r="CV26" i="3"/>
  <c r="CW26" i="3"/>
  <c r="CX26" i="3"/>
  <c r="CY26" i="3"/>
  <c r="CZ26" i="3"/>
  <c r="DA26" i="3"/>
  <c r="DB26" i="3"/>
  <c r="CI27" i="3"/>
  <c r="CN27" i="3"/>
  <c r="CS27" i="3"/>
  <c r="CX27" i="3"/>
  <c r="CI39" i="3"/>
  <c r="CN39" i="3"/>
  <c r="CS39" i="3"/>
  <c r="CX39" i="3"/>
  <c r="CF43" i="3"/>
  <c r="CG43" i="3"/>
  <c r="CH43" i="3"/>
  <c r="CI43" i="3"/>
  <c r="CJ43" i="3"/>
  <c r="CK43" i="3"/>
  <c r="CL43" i="3"/>
  <c r="CM43" i="3"/>
  <c r="CN43" i="3"/>
  <c r="CO43" i="3"/>
  <c r="CP43" i="3"/>
  <c r="CQ43" i="3"/>
  <c r="CR43" i="3"/>
  <c r="CS43" i="3"/>
  <c r="CT43" i="3"/>
  <c r="CU43" i="3"/>
  <c r="CV43" i="3"/>
  <c r="CW43" i="3"/>
  <c r="CX43" i="3"/>
  <c r="CY43" i="3"/>
  <c r="CZ43" i="3"/>
  <c r="DA43" i="3"/>
  <c r="DB43" i="3"/>
  <c r="CF47" i="3"/>
  <c r="CG47" i="3"/>
  <c r="CH47" i="3"/>
  <c r="CI47" i="3"/>
  <c r="CJ47" i="3"/>
  <c r="CK47" i="3"/>
  <c r="CL47" i="3"/>
  <c r="CM47" i="3"/>
  <c r="CN47" i="3"/>
  <c r="CO47" i="3"/>
  <c r="CP47" i="3"/>
  <c r="CQ47" i="3"/>
  <c r="CR47" i="3"/>
  <c r="CS47" i="3"/>
  <c r="CT47" i="3"/>
  <c r="CU47" i="3"/>
  <c r="CV47" i="3"/>
  <c r="CW47" i="3"/>
  <c r="CX47" i="3"/>
  <c r="CY47" i="3"/>
  <c r="CZ47" i="3"/>
  <c r="DA47" i="3"/>
  <c r="DB47" i="3"/>
  <c r="CF48" i="3"/>
  <c r="CG48" i="3"/>
  <c r="CH48" i="3"/>
  <c r="CI48" i="3"/>
  <c r="CJ48" i="3"/>
  <c r="CK48" i="3"/>
  <c r="CL48" i="3"/>
  <c r="CM48" i="3"/>
  <c r="CN48" i="3"/>
  <c r="CO48" i="3"/>
  <c r="CP48" i="3"/>
  <c r="CQ48" i="3"/>
  <c r="CR48" i="3"/>
  <c r="CS48" i="3"/>
  <c r="CT48" i="3"/>
  <c r="CU48" i="3"/>
  <c r="CV48" i="3"/>
  <c r="CW48" i="3"/>
  <c r="CX48" i="3"/>
  <c r="CY48" i="3"/>
  <c r="CZ48" i="3"/>
  <c r="DA48" i="3"/>
  <c r="DB48" i="3"/>
  <c r="CF56" i="3"/>
  <c r="CG56" i="3"/>
  <c r="CH56" i="3"/>
  <c r="CI56" i="3"/>
  <c r="CJ56" i="3"/>
  <c r="CK56" i="3"/>
  <c r="CL56" i="3"/>
  <c r="CM56" i="3"/>
  <c r="CN56" i="3"/>
  <c r="CO56" i="3"/>
  <c r="CP56" i="3"/>
  <c r="CQ56" i="3"/>
  <c r="CR56" i="3"/>
  <c r="CS56" i="3"/>
  <c r="CT56" i="3"/>
  <c r="CU56" i="3"/>
  <c r="CV56" i="3"/>
  <c r="CW56" i="3"/>
  <c r="CX56" i="3"/>
  <c r="CY56" i="3"/>
  <c r="CZ56" i="3"/>
  <c r="DA56" i="3"/>
  <c r="DB56" i="3"/>
  <c r="CF57" i="3"/>
  <c r="CG57" i="3"/>
  <c r="CH57" i="3"/>
  <c r="CI57" i="3"/>
  <c r="CJ57" i="3"/>
  <c r="CK57" i="3"/>
  <c r="CL57" i="3"/>
  <c r="CM57" i="3"/>
  <c r="CN57" i="3"/>
  <c r="CO57" i="3"/>
  <c r="CP57" i="3"/>
  <c r="CQ57" i="3"/>
  <c r="CR57" i="3"/>
  <c r="CS57" i="3"/>
  <c r="CT57" i="3"/>
  <c r="CU57" i="3"/>
  <c r="CV57" i="3"/>
  <c r="CW57" i="3"/>
  <c r="CX57" i="3"/>
  <c r="CY57" i="3"/>
  <c r="CZ57" i="3"/>
  <c r="DA57" i="3"/>
  <c r="DB57" i="3"/>
  <c r="CF64" i="3"/>
  <c r="CG64" i="3"/>
  <c r="CH64" i="3"/>
  <c r="CI64" i="3"/>
  <c r="CJ64" i="3"/>
  <c r="CK64" i="3"/>
  <c r="CL64" i="3"/>
  <c r="CM64" i="3"/>
  <c r="CN64" i="3"/>
  <c r="CO64" i="3"/>
  <c r="CP64" i="3"/>
  <c r="CQ64" i="3"/>
  <c r="CR64" i="3"/>
  <c r="CS64" i="3"/>
  <c r="CT64" i="3"/>
  <c r="CU64" i="3"/>
  <c r="CV64" i="3"/>
  <c r="CW64" i="3"/>
  <c r="CX64" i="3"/>
  <c r="CY64" i="3"/>
  <c r="CZ64" i="3"/>
  <c r="DA64" i="3"/>
  <c r="DB64" i="3"/>
  <c r="CF65" i="3"/>
  <c r="CG65" i="3"/>
  <c r="CH65" i="3"/>
  <c r="CI65" i="3"/>
  <c r="CJ65" i="3"/>
  <c r="CK65" i="3"/>
  <c r="CL65" i="3"/>
  <c r="CM65" i="3"/>
  <c r="CN65" i="3"/>
  <c r="CO65" i="3"/>
  <c r="CP65" i="3"/>
  <c r="CQ65" i="3"/>
  <c r="CR65" i="3"/>
  <c r="CS65" i="3"/>
  <c r="CT65" i="3"/>
  <c r="CU65" i="3"/>
  <c r="CV65" i="3"/>
  <c r="CW65" i="3"/>
  <c r="CX65" i="3"/>
  <c r="CY65" i="3"/>
  <c r="CZ65" i="3"/>
  <c r="DA65" i="3"/>
  <c r="DB65" i="3"/>
  <c r="CF66" i="3"/>
  <c r="CG66" i="3"/>
  <c r="CH66" i="3"/>
  <c r="CI66" i="3"/>
  <c r="CJ66" i="3"/>
  <c r="CK66" i="3"/>
  <c r="CL66" i="3"/>
  <c r="CM66" i="3"/>
  <c r="CN66" i="3"/>
  <c r="CO66" i="3"/>
  <c r="CP66" i="3"/>
  <c r="CQ66" i="3"/>
  <c r="CR66" i="3"/>
  <c r="CS66" i="3"/>
  <c r="CT66" i="3"/>
  <c r="CU66" i="3"/>
  <c r="CV66" i="3"/>
  <c r="CW66" i="3"/>
  <c r="CX66" i="3"/>
  <c r="CY66" i="3"/>
  <c r="CZ66" i="3"/>
  <c r="DA66" i="3"/>
  <c r="DB66" i="3"/>
  <c r="CF67" i="3"/>
  <c r="CG67" i="3"/>
  <c r="CH67" i="3"/>
  <c r="CI67" i="3"/>
  <c r="CJ67" i="3"/>
  <c r="CK67" i="3"/>
  <c r="CL67" i="3"/>
  <c r="CM67" i="3"/>
  <c r="CN67" i="3"/>
  <c r="CO67" i="3"/>
  <c r="CP67" i="3"/>
  <c r="CQ67" i="3"/>
  <c r="CR67" i="3"/>
  <c r="CS67" i="3"/>
  <c r="CT67" i="3"/>
  <c r="CU67" i="3"/>
  <c r="CV67" i="3"/>
  <c r="CW67" i="3"/>
  <c r="CX67" i="3"/>
  <c r="CY67" i="3"/>
  <c r="CZ67" i="3"/>
  <c r="DA67" i="3"/>
  <c r="DB67" i="3"/>
  <c r="CF68" i="3"/>
  <c r="CG68" i="3"/>
  <c r="CH68" i="3"/>
  <c r="CI68" i="3"/>
  <c r="CJ68" i="3"/>
  <c r="CK68" i="3"/>
  <c r="CL68" i="3"/>
  <c r="CM68" i="3"/>
  <c r="CN68" i="3"/>
  <c r="CO68" i="3"/>
  <c r="CP68" i="3"/>
  <c r="CQ68" i="3"/>
  <c r="CR68" i="3"/>
  <c r="CS68" i="3"/>
  <c r="CT68" i="3"/>
  <c r="CU68" i="3"/>
  <c r="CV68" i="3"/>
  <c r="CW68" i="3"/>
  <c r="CX68" i="3"/>
  <c r="CY68" i="3"/>
  <c r="CZ68" i="3"/>
  <c r="DA68" i="3"/>
  <c r="DB68" i="3"/>
  <c r="CH69" i="3"/>
  <c r="CM69" i="3"/>
  <c r="CR69" i="3"/>
  <c r="CW69" i="3"/>
  <c r="CF71" i="3"/>
  <c r="CG71" i="3"/>
  <c r="CH71" i="3"/>
  <c r="CI71" i="3"/>
  <c r="CJ71" i="3"/>
  <c r="CK71" i="3"/>
  <c r="CL71" i="3"/>
  <c r="CM71" i="3"/>
  <c r="CN71" i="3"/>
  <c r="CO71" i="3"/>
  <c r="CP71" i="3"/>
  <c r="CQ71" i="3"/>
  <c r="CR71" i="3"/>
  <c r="CS71" i="3"/>
  <c r="CT71" i="3"/>
  <c r="CU71" i="3"/>
  <c r="CV71" i="3"/>
  <c r="CW71" i="3"/>
  <c r="CX71" i="3"/>
  <c r="CY71" i="3"/>
  <c r="CZ71" i="3"/>
  <c r="DA71" i="3"/>
  <c r="DB71" i="3"/>
  <c r="CG72" i="3"/>
  <c r="CH72" i="3"/>
  <c r="CI72" i="3"/>
  <c r="CJ72" i="3"/>
  <c r="CK72" i="3"/>
  <c r="CL72" i="3"/>
  <c r="CM72" i="3"/>
  <c r="CN72" i="3"/>
  <c r="CO72" i="3"/>
  <c r="CP72" i="3"/>
  <c r="CQ72" i="3"/>
  <c r="CR72" i="3"/>
  <c r="CS72" i="3"/>
  <c r="CT72" i="3"/>
  <c r="CU72" i="3"/>
  <c r="CV72" i="3"/>
  <c r="CW72" i="3"/>
  <c r="CX72" i="3"/>
  <c r="CY72" i="3"/>
  <c r="CZ72" i="3"/>
  <c r="DA72" i="3"/>
  <c r="DB72" i="3"/>
  <c r="CF75" i="3"/>
  <c r="CG75" i="3"/>
  <c r="CH75" i="3"/>
  <c r="CI75" i="3"/>
  <c r="CJ75" i="3"/>
  <c r="CK75" i="3"/>
  <c r="CL75" i="3"/>
  <c r="CM75" i="3"/>
  <c r="CN75" i="3"/>
  <c r="CO75" i="3"/>
  <c r="CP75" i="3"/>
  <c r="CQ75" i="3"/>
  <c r="CR75" i="3"/>
  <c r="CS75" i="3"/>
  <c r="CT75" i="3"/>
  <c r="CU75" i="3"/>
  <c r="CV75" i="3"/>
  <c r="CW75" i="3"/>
  <c r="CX75" i="3"/>
  <c r="CY75" i="3"/>
  <c r="CZ75" i="3"/>
  <c r="DA75" i="3"/>
  <c r="DB75" i="3"/>
  <c r="CF77" i="3"/>
  <c r="CG77" i="3"/>
  <c r="CH77" i="3"/>
  <c r="CI77" i="3"/>
  <c r="CJ77" i="3"/>
  <c r="CK77" i="3"/>
  <c r="CL77" i="3"/>
  <c r="CM77" i="3"/>
  <c r="CN77" i="3"/>
  <c r="CO77" i="3"/>
  <c r="CP77" i="3"/>
  <c r="CQ77" i="3"/>
  <c r="CR77" i="3"/>
  <c r="CS77" i="3"/>
  <c r="CT77" i="3"/>
  <c r="CU77" i="3"/>
  <c r="CV77" i="3"/>
  <c r="CW77" i="3"/>
  <c r="CX77" i="3"/>
  <c r="CY77" i="3"/>
  <c r="CZ77" i="3"/>
  <c r="DA77" i="3"/>
  <c r="DB77" i="3"/>
  <c r="CF80" i="3"/>
  <c r="CG80" i="3"/>
  <c r="CH80" i="3"/>
  <c r="CI80" i="3"/>
  <c r="CJ80" i="3"/>
  <c r="CK80" i="3"/>
  <c r="CL80" i="3"/>
  <c r="CM80" i="3"/>
  <c r="CN80" i="3"/>
  <c r="CO80" i="3"/>
  <c r="CP80" i="3"/>
  <c r="CQ80" i="3"/>
  <c r="CR80" i="3"/>
  <c r="CS80" i="3"/>
  <c r="CT80" i="3"/>
  <c r="CU80" i="3"/>
  <c r="CV80" i="3"/>
  <c r="CW80" i="3"/>
  <c r="CX80" i="3"/>
  <c r="CY80" i="3"/>
  <c r="CZ80" i="3"/>
  <c r="DA80" i="3"/>
  <c r="DB80" i="3"/>
  <c r="CF84" i="3"/>
  <c r="CG84" i="3"/>
  <c r="CH84" i="3"/>
  <c r="CI84" i="3"/>
  <c r="CJ84" i="3"/>
  <c r="CK84" i="3"/>
  <c r="CL84" i="3"/>
  <c r="CM84" i="3"/>
  <c r="CN84" i="3"/>
  <c r="CO84" i="3"/>
  <c r="CP84" i="3"/>
  <c r="CQ84" i="3"/>
  <c r="CR84" i="3"/>
  <c r="CS84" i="3"/>
  <c r="CT84" i="3"/>
  <c r="CU84" i="3"/>
  <c r="CV84" i="3"/>
  <c r="CW84" i="3"/>
  <c r="CX84" i="3"/>
  <c r="CY84" i="3"/>
  <c r="CZ84" i="3"/>
  <c r="DA84" i="3"/>
  <c r="DB84" i="3"/>
  <c r="CF85" i="3"/>
  <c r="CG85" i="3"/>
  <c r="CH85" i="3"/>
  <c r="CI85" i="3"/>
  <c r="CJ85" i="3"/>
  <c r="CK85" i="3"/>
  <c r="CL85" i="3"/>
  <c r="CM85" i="3"/>
  <c r="CN85" i="3"/>
  <c r="CO85" i="3"/>
  <c r="CP85" i="3"/>
  <c r="CQ85" i="3"/>
  <c r="CR85" i="3"/>
  <c r="CS85" i="3"/>
  <c r="CT85" i="3"/>
  <c r="CU85" i="3"/>
  <c r="CV85" i="3"/>
  <c r="CW85" i="3"/>
  <c r="CX85" i="3"/>
  <c r="CY85" i="3"/>
  <c r="CZ85" i="3"/>
  <c r="DA85" i="3"/>
  <c r="DB85" i="3"/>
  <c r="CF86" i="3"/>
  <c r="CG86" i="3"/>
  <c r="CH86" i="3"/>
  <c r="CI86" i="3"/>
  <c r="CJ86" i="3"/>
  <c r="CK86" i="3"/>
  <c r="CL86" i="3"/>
  <c r="CM86" i="3"/>
  <c r="CN86" i="3"/>
  <c r="CO86" i="3"/>
  <c r="CP86" i="3"/>
  <c r="CQ86" i="3"/>
  <c r="CR86" i="3"/>
  <c r="CS86" i="3"/>
  <c r="CT86" i="3"/>
  <c r="CU86" i="3"/>
  <c r="CV86" i="3"/>
  <c r="CW86" i="3"/>
  <c r="CX86" i="3"/>
  <c r="CY86" i="3"/>
  <c r="CZ86" i="3"/>
  <c r="DA86" i="3"/>
  <c r="DB86" i="3"/>
  <c r="CG87" i="3"/>
  <c r="CI87" i="3"/>
  <c r="CJ87" i="3"/>
  <c r="CK87" i="3"/>
  <c r="CL87" i="3"/>
  <c r="CM87" i="3"/>
  <c r="CN87" i="3"/>
  <c r="CO87" i="3"/>
  <c r="CP87" i="3"/>
  <c r="CQ87" i="3"/>
  <c r="CR87" i="3"/>
  <c r="CS87" i="3"/>
  <c r="CT87" i="3"/>
  <c r="CU87" i="3"/>
  <c r="CV87" i="3"/>
  <c r="CW87" i="3"/>
  <c r="CX87" i="3"/>
  <c r="CY87" i="3"/>
  <c r="CZ87" i="3"/>
  <c r="DA87" i="3"/>
  <c r="DB87" i="3"/>
  <c r="CF88" i="3"/>
  <c r="CG88" i="3"/>
  <c r="CH88" i="3"/>
  <c r="CI88" i="3"/>
  <c r="CJ88" i="3"/>
  <c r="CK88" i="3"/>
  <c r="CL88" i="3"/>
  <c r="CM88" i="3"/>
  <c r="CN88" i="3"/>
  <c r="CO88" i="3"/>
  <c r="CP88" i="3"/>
  <c r="CQ88" i="3"/>
  <c r="CR88" i="3"/>
  <c r="CS88" i="3"/>
  <c r="CT88" i="3"/>
  <c r="CU88" i="3"/>
  <c r="CV88" i="3"/>
  <c r="CW88" i="3"/>
  <c r="CX88" i="3"/>
  <c r="CY88" i="3"/>
  <c r="CZ88" i="3"/>
  <c r="DA88" i="3"/>
  <c r="DB88" i="3"/>
  <c r="CF89" i="3"/>
  <c r="CG89" i="3"/>
  <c r="CH89" i="3"/>
  <c r="CI89" i="3"/>
  <c r="CJ89" i="3"/>
  <c r="CK89" i="3"/>
  <c r="CL89" i="3"/>
  <c r="CM89" i="3"/>
  <c r="CN89" i="3"/>
  <c r="CO89" i="3"/>
  <c r="CP89" i="3"/>
  <c r="CQ89" i="3"/>
  <c r="CR89" i="3"/>
  <c r="CS89" i="3"/>
  <c r="CT89" i="3"/>
  <c r="CU89" i="3"/>
  <c r="CV89" i="3"/>
  <c r="CW89" i="3"/>
  <c r="CX89" i="3"/>
  <c r="CY89" i="3"/>
  <c r="CZ89" i="3"/>
  <c r="DA89" i="3"/>
  <c r="DB89" i="3"/>
  <c r="CF90" i="3"/>
  <c r="CG90" i="3"/>
  <c r="CH90" i="3"/>
  <c r="CI90" i="3"/>
  <c r="CJ90" i="3"/>
  <c r="CK90" i="3"/>
  <c r="CL90" i="3"/>
  <c r="CM90" i="3"/>
  <c r="CN90" i="3"/>
  <c r="CO90" i="3"/>
  <c r="CP90" i="3"/>
  <c r="CQ90" i="3"/>
  <c r="CR90" i="3"/>
  <c r="CS90" i="3"/>
  <c r="CT90" i="3"/>
  <c r="CU90" i="3"/>
  <c r="CV90" i="3"/>
  <c r="CW90" i="3"/>
  <c r="CX90" i="3"/>
  <c r="CY90" i="3"/>
  <c r="CZ90" i="3"/>
  <c r="DA90" i="3"/>
  <c r="DB90" i="3"/>
  <c r="CH91" i="3"/>
  <c r="CM91" i="3"/>
  <c r="CF132" i="3"/>
  <c r="CG132" i="3"/>
  <c r="CH132" i="3"/>
  <c r="CI132" i="3"/>
  <c r="CJ132" i="3"/>
  <c r="CK132" i="3"/>
  <c r="CL132" i="3"/>
  <c r="CM132" i="3"/>
  <c r="CN132" i="3"/>
  <c r="CO132" i="3"/>
  <c r="CP132" i="3"/>
  <c r="CQ132" i="3"/>
  <c r="CR132" i="3"/>
  <c r="CS132" i="3"/>
  <c r="CT132" i="3"/>
  <c r="CU132" i="3"/>
  <c r="CV132" i="3"/>
  <c r="CW132" i="3"/>
  <c r="CX132" i="3"/>
  <c r="CY132" i="3"/>
  <c r="CZ132" i="3"/>
  <c r="DA132" i="3"/>
  <c r="DB132" i="3"/>
  <c r="CF133" i="3"/>
  <c r="CG133" i="3"/>
  <c r="CH133" i="3"/>
  <c r="CI133" i="3"/>
  <c r="CJ133" i="3"/>
  <c r="CK133" i="3"/>
  <c r="CL133" i="3"/>
  <c r="CM133" i="3"/>
  <c r="CN133" i="3"/>
  <c r="CO133" i="3"/>
  <c r="CP133" i="3"/>
  <c r="CQ133" i="3"/>
  <c r="CR133" i="3"/>
  <c r="CS133" i="3"/>
  <c r="CT133" i="3"/>
  <c r="CU133" i="3"/>
  <c r="CV133" i="3"/>
  <c r="CW133" i="3"/>
  <c r="CX133" i="3"/>
  <c r="CY133" i="3"/>
  <c r="CZ133" i="3"/>
  <c r="DA133" i="3"/>
  <c r="DB133" i="3"/>
  <c r="CF134" i="3"/>
  <c r="CG134" i="3"/>
  <c r="CH134" i="3"/>
  <c r="CI134" i="3"/>
  <c r="CJ134" i="3"/>
  <c r="CK134" i="3"/>
  <c r="CL134" i="3"/>
  <c r="CM134" i="3"/>
  <c r="CN134" i="3"/>
  <c r="CO134" i="3"/>
  <c r="CP134" i="3"/>
  <c r="CQ134" i="3"/>
  <c r="CR134" i="3"/>
  <c r="CS134" i="3"/>
  <c r="CT134" i="3"/>
  <c r="CU134" i="3"/>
  <c r="CV134" i="3"/>
  <c r="CW134" i="3"/>
  <c r="CX134" i="3"/>
  <c r="CY134" i="3"/>
  <c r="CZ134" i="3"/>
  <c r="DA134" i="3"/>
  <c r="DB134" i="3"/>
  <c r="CF135" i="3"/>
  <c r="CG135" i="3"/>
  <c r="CH135" i="3"/>
  <c r="CI135" i="3"/>
  <c r="CJ135" i="3"/>
  <c r="CK135" i="3"/>
  <c r="CL135" i="3"/>
  <c r="CM135" i="3"/>
  <c r="CN135" i="3"/>
  <c r="CO135" i="3"/>
  <c r="CP135" i="3"/>
  <c r="CQ135" i="3"/>
  <c r="CR135" i="3"/>
  <c r="CS135" i="3"/>
  <c r="CT135" i="3"/>
  <c r="CU135" i="3"/>
  <c r="CV135" i="3"/>
  <c r="CW135" i="3"/>
  <c r="CX135" i="3"/>
  <c r="CY135" i="3"/>
  <c r="CZ135" i="3"/>
  <c r="DA135" i="3"/>
  <c r="DB135" i="3"/>
  <c r="CF136" i="3"/>
  <c r="CG136" i="3"/>
  <c r="CH136" i="3"/>
  <c r="CI136" i="3"/>
  <c r="CJ136" i="3"/>
  <c r="CK136" i="3"/>
  <c r="CL136" i="3"/>
  <c r="CM136" i="3"/>
  <c r="CN136" i="3"/>
  <c r="CO136" i="3"/>
  <c r="CP136" i="3"/>
  <c r="CQ136" i="3"/>
  <c r="CR136" i="3"/>
  <c r="CS136" i="3"/>
  <c r="CT136" i="3"/>
  <c r="CU136" i="3"/>
  <c r="CV136" i="3"/>
  <c r="CW136" i="3"/>
  <c r="CX136" i="3"/>
  <c r="CY136" i="3"/>
  <c r="CZ136" i="3"/>
  <c r="DA136" i="3"/>
  <c r="DB136" i="3"/>
  <c r="CF137" i="3"/>
  <c r="CG137" i="3"/>
  <c r="CH137" i="3"/>
  <c r="CI137" i="3"/>
  <c r="CJ137" i="3"/>
  <c r="CK137" i="3"/>
  <c r="CL137" i="3"/>
  <c r="CM137" i="3"/>
  <c r="CN137" i="3"/>
  <c r="CO137" i="3"/>
  <c r="CP137" i="3"/>
  <c r="CQ137" i="3"/>
  <c r="CR137" i="3"/>
  <c r="CS137" i="3"/>
  <c r="CT137" i="3"/>
  <c r="CU137" i="3"/>
  <c r="CV137" i="3"/>
  <c r="CW137" i="3"/>
  <c r="CX137" i="3"/>
  <c r="CY137" i="3"/>
  <c r="CZ137" i="3"/>
  <c r="DA137" i="3"/>
  <c r="DB137" i="3"/>
  <c r="CF138" i="3"/>
  <c r="CG138" i="3"/>
  <c r="CH138" i="3"/>
  <c r="CI138" i="3"/>
  <c r="CJ138" i="3"/>
  <c r="CK138" i="3"/>
  <c r="CL138" i="3"/>
  <c r="CM138" i="3"/>
  <c r="CN138" i="3"/>
  <c r="CO138" i="3"/>
  <c r="CP138" i="3"/>
  <c r="CQ138" i="3"/>
  <c r="CR138" i="3"/>
  <c r="CS138" i="3"/>
  <c r="CT138" i="3"/>
  <c r="CU138" i="3"/>
  <c r="CV138" i="3"/>
  <c r="CW138" i="3"/>
  <c r="CX138" i="3"/>
  <c r="CY138" i="3"/>
  <c r="CZ138" i="3"/>
  <c r="DA138" i="3"/>
  <c r="DB138" i="3"/>
  <c r="CF139" i="3"/>
  <c r="CG139" i="3"/>
  <c r="CH139" i="3"/>
  <c r="CI139" i="3"/>
  <c r="CJ139" i="3"/>
  <c r="CK139" i="3"/>
  <c r="CL139" i="3"/>
  <c r="CM139" i="3"/>
  <c r="CN139" i="3"/>
  <c r="CO139" i="3"/>
  <c r="CP139" i="3"/>
  <c r="CQ139" i="3"/>
  <c r="CR139" i="3"/>
  <c r="CS139" i="3"/>
  <c r="CT139" i="3"/>
  <c r="CU139" i="3"/>
  <c r="CV139" i="3"/>
  <c r="CW139" i="3"/>
  <c r="CX139" i="3"/>
  <c r="CY139" i="3"/>
  <c r="CZ139" i="3"/>
  <c r="DA139" i="3"/>
  <c r="DB139" i="3"/>
  <c r="CF140" i="3"/>
  <c r="CG140" i="3"/>
  <c r="CH140" i="3"/>
  <c r="CI140" i="3"/>
  <c r="CJ140" i="3"/>
  <c r="CK140" i="3"/>
  <c r="CL140" i="3"/>
  <c r="CM140" i="3"/>
  <c r="CN140" i="3"/>
  <c r="CO140" i="3"/>
  <c r="CP140" i="3"/>
  <c r="CQ140" i="3"/>
  <c r="CR140" i="3"/>
  <c r="CS140" i="3"/>
  <c r="CT140" i="3"/>
  <c r="CU140" i="3"/>
  <c r="CV140" i="3"/>
  <c r="CW140" i="3"/>
  <c r="CX140" i="3"/>
  <c r="CY140" i="3"/>
  <c r="CZ140" i="3"/>
  <c r="DA140" i="3"/>
  <c r="DB140" i="3"/>
  <c r="CF141" i="3"/>
  <c r="CG141" i="3"/>
  <c r="CH141" i="3"/>
  <c r="CI141" i="3"/>
  <c r="CJ141" i="3"/>
  <c r="CK141" i="3"/>
  <c r="CL141" i="3"/>
  <c r="CM141" i="3"/>
  <c r="CN141" i="3"/>
  <c r="CO141" i="3"/>
  <c r="CP141" i="3"/>
  <c r="CQ141" i="3"/>
  <c r="CR141" i="3"/>
  <c r="CS141" i="3"/>
  <c r="CT141" i="3"/>
  <c r="CU141" i="3"/>
  <c r="CV141" i="3"/>
  <c r="CW141" i="3"/>
  <c r="CX141" i="3"/>
  <c r="CY141" i="3"/>
  <c r="CZ141" i="3"/>
  <c r="DA141" i="3"/>
  <c r="DB141" i="3"/>
  <c r="CF146" i="3"/>
  <c r="CG146" i="3"/>
  <c r="CH146" i="3"/>
  <c r="CI146" i="3"/>
  <c r="CJ146" i="3"/>
  <c r="CK146" i="3"/>
  <c r="CL146" i="3"/>
  <c r="CM146" i="3"/>
  <c r="CN146" i="3"/>
  <c r="CO146" i="3"/>
  <c r="CP146" i="3"/>
  <c r="CQ146" i="3"/>
  <c r="CR146" i="3"/>
  <c r="CS146" i="3"/>
  <c r="CT146" i="3"/>
  <c r="CU146" i="3"/>
  <c r="CV146" i="3"/>
  <c r="CW146" i="3"/>
  <c r="CX146" i="3"/>
  <c r="CY146" i="3"/>
  <c r="CZ146" i="3"/>
  <c r="DA146" i="3"/>
  <c r="DB146" i="3"/>
  <c r="CF147" i="3"/>
  <c r="CG147" i="3"/>
  <c r="CH147" i="3"/>
  <c r="CI147" i="3"/>
  <c r="CJ147" i="3"/>
  <c r="CK147" i="3"/>
  <c r="CL147" i="3"/>
  <c r="CM147" i="3"/>
  <c r="CN147" i="3"/>
  <c r="CO147" i="3"/>
  <c r="CP147" i="3"/>
  <c r="CQ147" i="3"/>
  <c r="CR147" i="3"/>
  <c r="CS147" i="3"/>
  <c r="CT147" i="3"/>
  <c r="CU147" i="3"/>
  <c r="CV147" i="3"/>
  <c r="CW147" i="3"/>
  <c r="CX147" i="3"/>
  <c r="CY147" i="3"/>
  <c r="CZ147" i="3"/>
  <c r="DA147" i="3"/>
  <c r="DB147" i="3"/>
  <c r="CF151" i="3"/>
  <c r="CG151" i="3"/>
  <c r="CH151" i="3"/>
  <c r="CI151" i="3"/>
  <c r="CJ151" i="3"/>
  <c r="CK151" i="3"/>
  <c r="CL151" i="3"/>
  <c r="CM151" i="3"/>
  <c r="CN151" i="3"/>
  <c r="CO151" i="3"/>
  <c r="CP151" i="3"/>
  <c r="CQ151" i="3"/>
  <c r="CR151" i="3"/>
  <c r="CS151" i="3"/>
  <c r="CT151" i="3"/>
  <c r="CU151" i="3"/>
  <c r="CV151" i="3"/>
  <c r="CW151" i="3"/>
  <c r="CX151" i="3"/>
  <c r="CY151" i="3"/>
  <c r="CZ151" i="3"/>
  <c r="DA151" i="3"/>
  <c r="DB151" i="3"/>
  <c r="CH152" i="3"/>
  <c r="CM152" i="3"/>
  <c r="CR152" i="3"/>
  <c r="CW152" i="3"/>
  <c r="DB152" i="3"/>
  <c r="B6" i="10"/>
  <c r="A2" i="2"/>
  <c r="CF17" i="2"/>
  <c r="CG17" i="2"/>
  <c r="CH17" i="2"/>
  <c r="CI17" i="2"/>
  <c r="CJ17" i="2"/>
  <c r="CK17" i="2"/>
  <c r="CL17" i="2"/>
  <c r="CM17" i="2"/>
  <c r="CN17" i="2"/>
  <c r="CO17" i="2"/>
  <c r="CP17" i="2"/>
  <c r="CQ17" i="2"/>
  <c r="CR17" i="2"/>
  <c r="CS17" i="2"/>
  <c r="CT17" i="2"/>
  <c r="CU17" i="2"/>
  <c r="CV17" i="2"/>
  <c r="CW17" i="2"/>
  <c r="CX17" i="2"/>
  <c r="CY17" i="2"/>
  <c r="CZ17" i="2"/>
  <c r="DA17" i="2"/>
  <c r="DB17" i="2"/>
  <c r="CF23" i="2"/>
  <c r="CG23" i="2"/>
  <c r="CH23" i="2"/>
  <c r="CI23" i="2"/>
  <c r="CJ23" i="2"/>
  <c r="CK23" i="2"/>
  <c r="CL23" i="2"/>
  <c r="CM23" i="2"/>
  <c r="CN23" i="2"/>
  <c r="CO23" i="2"/>
  <c r="CP23" i="2"/>
  <c r="CQ23" i="2"/>
  <c r="CR23" i="2"/>
  <c r="CS23" i="2"/>
  <c r="CT23" i="2"/>
  <c r="CU23" i="2"/>
  <c r="CV23" i="2"/>
  <c r="CW23" i="2"/>
  <c r="CX23" i="2"/>
  <c r="CY23" i="2"/>
  <c r="CZ23" i="2"/>
  <c r="DA23" i="2"/>
  <c r="DB23" i="2"/>
  <c r="CF24" i="2"/>
  <c r="CG24" i="2"/>
  <c r="CH24" i="2"/>
  <c r="CI24" i="2"/>
  <c r="CJ24" i="2"/>
  <c r="CK24" i="2"/>
  <c r="CL24" i="2"/>
  <c r="CM24" i="2"/>
  <c r="CN24" i="2"/>
  <c r="CO24" i="2"/>
  <c r="CP24" i="2"/>
  <c r="CQ24" i="2"/>
  <c r="CR24" i="2"/>
  <c r="CS24" i="2"/>
  <c r="CT24" i="2"/>
  <c r="CU24" i="2"/>
  <c r="CV24" i="2"/>
  <c r="CW24" i="2"/>
  <c r="CX24" i="2"/>
  <c r="CY24" i="2"/>
  <c r="CZ24" i="2"/>
  <c r="DA24" i="2"/>
  <c r="DB24" i="2"/>
  <c r="CH25" i="2"/>
  <c r="CM25" i="2"/>
  <c r="CR25" i="2"/>
  <c r="CW25" i="2"/>
  <c r="DB25" i="2"/>
  <c r="CF35" i="2"/>
  <c r="CG35" i="2"/>
  <c r="CH35" i="2"/>
  <c r="CI35" i="2"/>
  <c r="CJ35" i="2"/>
  <c r="CK35" i="2"/>
  <c r="CL35" i="2"/>
  <c r="CM35" i="2"/>
  <c r="CN35" i="2"/>
  <c r="CO35" i="2"/>
  <c r="CP35" i="2"/>
  <c r="CQ35" i="2"/>
  <c r="CR35" i="2"/>
  <c r="CS35" i="2"/>
  <c r="CT35" i="2"/>
  <c r="CU35" i="2"/>
  <c r="CV35" i="2"/>
  <c r="CW35" i="2"/>
  <c r="CX35" i="2"/>
  <c r="CY35" i="2"/>
  <c r="CZ35" i="2"/>
  <c r="DA35" i="2"/>
  <c r="DB35" i="2"/>
  <c r="CF37" i="2"/>
  <c r="CG37" i="2"/>
  <c r="CH37" i="2"/>
  <c r="CI37" i="2"/>
  <c r="CJ37" i="2"/>
  <c r="CK37" i="2"/>
  <c r="CL37" i="2"/>
  <c r="CM37" i="2"/>
  <c r="CN37" i="2"/>
  <c r="CO37" i="2"/>
  <c r="CP37" i="2"/>
  <c r="CQ37" i="2"/>
  <c r="CR37" i="2"/>
  <c r="CS37" i="2"/>
  <c r="CT37" i="2"/>
  <c r="CU37" i="2"/>
  <c r="CV37" i="2"/>
  <c r="CW37" i="2"/>
  <c r="CX37" i="2"/>
  <c r="CY37" i="2"/>
  <c r="CZ37" i="2"/>
  <c r="DA37" i="2"/>
  <c r="DB37" i="2"/>
  <c r="CF42" i="2"/>
  <c r="CG42" i="2"/>
  <c r="CH42" i="2"/>
  <c r="CI42" i="2"/>
  <c r="CJ42" i="2"/>
  <c r="CK42" i="2"/>
  <c r="CL42" i="2"/>
  <c r="CM42" i="2"/>
  <c r="CN42" i="2"/>
  <c r="CO42" i="2"/>
  <c r="CP42" i="2"/>
  <c r="CQ42" i="2"/>
  <c r="CR42" i="2"/>
  <c r="CS42" i="2"/>
  <c r="CT42" i="2"/>
  <c r="CU42" i="2"/>
  <c r="CV42" i="2"/>
  <c r="CW42" i="2"/>
  <c r="CX42" i="2"/>
  <c r="CY42" i="2"/>
  <c r="CZ42" i="2"/>
  <c r="DA42" i="2"/>
  <c r="DB42" i="2"/>
  <c r="CF44" i="2"/>
  <c r="CG44" i="2"/>
  <c r="CH44" i="2"/>
  <c r="CI44" i="2"/>
  <c r="CJ44" i="2"/>
  <c r="CK44" i="2"/>
  <c r="CL44" i="2"/>
  <c r="CM44" i="2"/>
  <c r="CN44" i="2"/>
  <c r="CO44" i="2"/>
  <c r="CP44" i="2"/>
  <c r="CQ44" i="2"/>
  <c r="CR44" i="2"/>
  <c r="CS44" i="2"/>
  <c r="CT44" i="2"/>
  <c r="CU44" i="2"/>
  <c r="CV44" i="2"/>
  <c r="CW44" i="2"/>
  <c r="CX44" i="2"/>
  <c r="CY44" i="2"/>
  <c r="CZ44" i="2"/>
  <c r="DA44" i="2"/>
  <c r="DB44" i="2"/>
  <c r="CF45" i="2"/>
  <c r="CG45" i="2"/>
  <c r="CH45" i="2"/>
  <c r="CI45" i="2"/>
  <c r="CJ45" i="2"/>
  <c r="CK45" i="2"/>
  <c r="CL45" i="2"/>
  <c r="CM45" i="2"/>
  <c r="CN45" i="2"/>
  <c r="CO45" i="2"/>
  <c r="CP45" i="2"/>
  <c r="CQ45" i="2"/>
  <c r="CR45" i="2"/>
  <c r="CS45" i="2"/>
  <c r="CT45" i="2"/>
  <c r="CU45" i="2"/>
  <c r="CV45" i="2"/>
  <c r="CW45" i="2"/>
  <c r="CX45" i="2"/>
  <c r="CY45" i="2"/>
  <c r="CZ45" i="2"/>
  <c r="DA45" i="2"/>
  <c r="DB45" i="2"/>
  <c r="CF51" i="2"/>
  <c r="CG51" i="2"/>
  <c r="CH51" i="2"/>
  <c r="CI51" i="2"/>
  <c r="CJ51" i="2"/>
  <c r="CK51" i="2"/>
  <c r="CL51" i="2"/>
  <c r="CM51" i="2"/>
  <c r="CN51" i="2"/>
  <c r="CO51" i="2"/>
  <c r="CP51" i="2"/>
  <c r="CQ51" i="2"/>
  <c r="CR51" i="2"/>
  <c r="CS51" i="2"/>
  <c r="CT51" i="2"/>
  <c r="CU51" i="2"/>
  <c r="CV51" i="2"/>
  <c r="CW51" i="2"/>
  <c r="CX51" i="2"/>
  <c r="CY51" i="2"/>
  <c r="CZ51" i="2"/>
  <c r="DA51" i="2"/>
  <c r="DB51" i="2"/>
  <c r="CF52" i="2"/>
  <c r="CG52" i="2"/>
  <c r="CH52" i="2"/>
  <c r="CI52" i="2"/>
  <c r="CJ52" i="2"/>
  <c r="CK52" i="2"/>
  <c r="CL52" i="2"/>
  <c r="CM52" i="2"/>
  <c r="CN52" i="2"/>
  <c r="CO52" i="2"/>
  <c r="CP52" i="2"/>
  <c r="CQ52" i="2"/>
  <c r="CR52" i="2"/>
  <c r="CS52" i="2"/>
  <c r="CT52" i="2"/>
  <c r="CU52" i="2"/>
  <c r="CV52" i="2"/>
  <c r="CW52" i="2"/>
  <c r="CX52" i="2"/>
  <c r="CY52" i="2"/>
  <c r="CZ52" i="2"/>
  <c r="DA52" i="2"/>
  <c r="DB52" i="2"/>
  <c r="CG53" i="2"/>
  <c r="CH53" i="2"/>
  <c r="CI53" i="2"/>
  <c r="CJ53" i="2"/>
  <c r="CK53" i="2"/>
  <c r="CL53" i="2"/>
  <c r="CM53" i="2"/>
  <c r="CN53" i="2"/>
  <c r="CO53" i="2"/>
  <c r="CP53" i="2"/>
  <c r="CQ53" i="2"/>
  <c r="CR53" i="2"/>
  <c r="CS53" i="2"/>
  <c r="CT53" i="2"/>
  <c r="CU53" i="2"/>
  <c r="CV53" i="2"/>
  <c r="CW53" i="2"/>
  <c r="CX53" i="2"/>
  <c r="CY53" i="2"/>
  <c r="CZ53" i="2"/>
  <c r="DA53" i="2"/>
  <c r="DB53" i="2"/>
  <c r="CG55" i="2"/>
  <c r="CH55" i="2"/>
  <c r="CI55" i="2"/>
  <c r="CJ55" i="2"/>
  <c r="CK55" i="2"/>
  <c r="CL55" i="2"/>
  <c r="CM55" i="2"/>
  <c r="CN55" i="2"/>
  <c r="CO55" i="2"/>
  <c r="CP55" i="2"/>
  <c r="CQ55" i="2"/>
  <c r="CR55" i="2"/>
  <c r="CS55" i="2"/>
  <c r="CT55" i="2"/>
  <c r="CU55" i="2"/>
  <c r="CV55" i="2"/>
  <c r="CW55" i="2"/>
  <c r="CX55" i="2"/>
  <c r="CY55" i="2"/>
  <c r="CZ55" i="2"/>
  <c r="DA55" i="2"/>
  <c r="DB55" i="2"/>
  <c r="CF56" i="2"/>
  <c r="CG56" i="2"/>
  <c r="CH56" i="2"/>
  <c r="CI56" i="2"/>
  <c r="CJ56" i="2"/>
  <c r="CK56" i="2"/>
  <c r="CL56" i="2"/>
  <c r="CM56" i="2"/>
  <c r="CN56" i="2"/>
  <c r="CO56" i="2"/>
  <c r="CP56" i="2"/>
  <c r="CQ56" i="2"/>
  <c r="CR56" i="2"/>
  <c r="CS56" i="2"/>
  <c r="CT56" i="2"/>
  <c r="CU56" i="2"/>
  <c r="CV56" i="2"/>
  <c r="CW56" i="2"/>
  <c r="CX56" i="2"/>
  <c r="CY56" i="2"/>
  <c r="CZ56" i="2"/>
  <c r="DA56" i="2"/>
  <c r="DB56" i="2"/>
  <c r="CF66" i="2"/>
  <c r="CG66" i="2"/>
  <c r="CH66" i="2"/>
  <c r="CI66" i="2"/>
  <c r="CJ66" i="2"/>
  <c r="CK66" i="2"/>
  <c r="CL66" i="2"/>
  <c r="CM66" i="2"/>
  <c r="CN66" i="2"/>
  <c r="CO66" i="2"/>
  <c r="CP66" i="2"/>
  <c r="CQ66" i="2"/>
  <c r="CR66" i="2"/>
  <c r="CS66" i="2"/>
  <c r="CT66" i="2"/>
  <c r="CU66" i="2"/>
  <c r="CV66" i="2"/>
  <c r="CW66" i="2"/>
  <c r="CX66" i="2"/>
  <c r="CY66" i="2"/>
  <c r="CZ66" i="2"/>
  <c r="DA66" i="2"/>
  <c r="DB66" i="2"/>
  <c r="CF67" i="2"/>
  <c r="CG67" i="2"/>
  <c r="CH67" i="2"/>
  <c r="CI67" i="2"/>
  <c r="CJ67" i="2"/>
  <c r="CK67" i="2"/>
  <c r="CL67" i="2"/>
  <c r="CM67" i="2"/>
  <c r="CN67" i="2"/>
  <c r="CO67" i="2"/>
  <c r="CP67" i="2"/>
  <c r="CQ67" i="2"/>
  <c r="CR67" i="2"/>
  <c r="CS67" i="2"/>
  <c r="CT67" i="2"/>
  <c r="CU67" i="2"/>
  <c r="CV67" i="2"/>
  <c r="CW67" i="2"/>
  <c r="CX67" i="2"/>
  <c r="CY67" i="2"/>
  <c r="CZ67" i="2"/>
  <c r="DA67" i="2"/>
  <c r="DB67" i="2"/>
  <c r="CF70" i="2"/>
  <c r="CG70" i="2"/>
  <c r="CH70" i="2"/>
  <c r="CI70" i="2"/>
  <c r="CJ70" i="2"/>
  <c r="CK70" i="2"/>
  <c r="CL70" i="2"/>
  <c r="CM70" i="2"/>
  <c r="CN70" i="2"/>
  <c r="CO70" i="2"/>
  <c r="CP70" i="2"/>
  <c r="CQ70" i="2"/>
  <c r="CR70" i="2"/>
  <c r="CS70" i="2"/>
  <c r="CT70" i="2"/>
  <c r="CU70" i="2"/>
  <c r="CV70" i="2"/>
  <c r="CW70" i="2"/>
  <c r="CX70" i="2"/>
  <c r="CY70" i="2"/>
  <c r="CZ70" i="2"/>
  <c r="DA70" i="2"/>
  <c r="DB70" i="2"/>
  <c r="CF73" i="2"/>
  <c r="CG73" i="2"/>
  <c r="CH73" i="2"/>
  <c r="CI73" i="2"/>
  <c r="CJ73" i="2"/>
  <c r="CK73" i="2"/>
  <c r="CL73" i="2"/>
  <c r="CM73" i="2"/>
  <c r="CN73" i="2"/>
  <c r="CO73" i="2"/>
  <c r="CP73" i="2"/>
  <c r="CQ73" i="2"/>
  <c r="CR73" i="2"/>
  <c r="CS73" i="2"/>
  <c r="CT73" i="2"/>
  <c r="CU73" i="2"/>
  <c r="CV73" i="2"/>
  <c r="CW73" i="2"/>
  <c r="CX73" i="2"/>
  <c r="CY73" i="2"/>
  <c r="CZ73" i="2"/>
  <c r="DA73" i="2"/>
  <c r="DB73" i="2"/>
  <c r="CF74" i="2"/>
  <c r="CG74" i="2"/>
  <c r="CH74" i="2"/>
  <c r="CI74" i="2"/>
  <c r="CJ74" i="2"/>
  <c r="CK74" i="2"/>
  <c r="CL74" i="2"/>
  <c r="CM74" i="2"/>
  <c r="CN74" i="2"/>
  <c r="CO74" i="2"/>
  <c r="CP74" i="2"/>
  <c r="CQ74" i="2"/>
  <c r="CR74" i="2"/>
  <c r="CS74" i="2"/>
  <c r="CT74" i="2"/>
  <c r="CU74" i="2"/>
  <c r="CV74" i="2"/>
  <c r="CW74" i="2"/>
  <c r="CX74" i="2"/>
  <c r="CY74" i="2"/>
  <c r="CZ74" i="2"/>
  <c r="DA74" i="2"/>
  <c r="DB74" i="2"/>
  <c r="CF83" i="2"/>
  <c r="CG83" i="2"/>
  <c r="CH83" i="2"/>
  <c r="CI83" i="2"/>
  <c r="CJ83" i="2"/>
  <c r="CK83" i="2"/>
  <c r="CL83" i="2"/>
  <c r="CM83" i="2"/>
  <c r="CN83" i="2"/>
  <c r="CO83" i="2"/>
  <c r="CP83" i="2"/>
  <c r="CQ83" i="2"/>
  <c r="CR83" i="2"/>
  <c r="CS83" i="2"/>
  <c r="CT83" i="2"/>
  <c r="CU83" i="2"/>
  <c r="CV83" i="2"/>
  <c r="CW83" i="2"/>
  <c r="CX83" i="2"/>
  <c r="CY83" i="2"/>
  <c r="CZ83" i="2"/>
  <c r="DA83" i="2"/>
  <c r="DB83" i="2"/>
  <c r="CF90" i="2"/>
  <c r="CG90" i="2"/>
  <c r="CH90" i="2"/>
  <c r="CI90" i="2"/>
  <c r="CJ90" i="2"/>
  <c r="CK90" i="2"/>
  <c r="CL90" i="2"/>
  <c r="CM90" i="2"/>
  <c r="CN90" i="2"/>
  <c r="CO90" i="2"/>
  <c r="CP90" i="2"/>
  <c r="CQ90" i="2"/>
  <c r="CR90" i="2"/>
  <c r="CS90" i="2"/>
  <c r="CT90" i="2"/>
  <c r="CU90" i="2"/>
  <c r="CV90" i="2"/>
  <c r="CW90" i="2"/>
  <c r="CX90" i="2"/>
  <c r="CY90" i="2"/>
  <c r="CZ90" i="2"/>
  <c r="DA90" i="2"/>
  <c r="DB90" i="2"/>
  <c r="CF91" i="2"/>
  <c r="CG91" i="2"/>
  <c r="CH91" i="2"/>
  <c r="CI91" i="2"/>
  <c r="CJ91" i="2"/>
  <c r="CK91" i="2"/>
  <c r="CL91" i="2"/>
  <c r="CM91" i="2"/>
  <c r="CN91" i="2"/>
  <c r="CO91" i="2"/>
  <c r="CP91" i="2"/>
  <c r="CQ91" i="2"/>
  <c r="CR91" i="2"/>
  <c r="CS91" i="2"/>
  <c r="CT91" i="2"/>
  <c r="CU91" i="2"/>
  <c r="CV91" i="2"/>
  <c r="CW91" i="2"/>
  <c r="CX91" i="2"/>
  <c r="CY91" i="2"/>
  <c r="CZ91" i="2"/>
  <c r="DA91" i="2"/>
  <c r="DB91" i="2"/>
  <c r="A2" i="1"/>
  <c r="F2" i="12"/>
  <c r="H11" i="12"/>
  <c r="I11" i="12"/>
  <c r="J11" i="12"/>
  <c r="K11" i="12"/>
  <c r="L11" i="12"/>
  <c r="S11" i="12"/>
  <c r="T11" i="12"/>
  <c r="H12" i="12"/>
  <c r="I12" i="12"/>
  <c r="J12" i="12"/>
  <c r="K12" i="12"/>
  <c r="L12" i="12"/>
  <c r="S12" i="12"/>
  <c r="T12" i="12"/>
  <c r="H13" i="12"/>
  <c r="I13" i="12"/>
  <c r="J13" i="12"/>
  <c r="K13" i="12"/>
  <c r="L13" i="12"/>
  <c r="S13" i="12"/>
  <c r="T13" i="12"/>
  <c r="H14" i="12"/>
  <c r="I14" i="12"/>
  <c r="J14" i="12"/>
  <c r="K14" i="12"/>
  <c r="L14" i="12"/>
  <c r="T14" i="12"/>
  <c r="H15" i="12"/>
  <c r="I15" i="12"/>
  <c r="J15" i="12"/>
  <c r="K15" i="12"/>
  <c r="L15" i="12"/>
  <c r="S15" i="12"/>
  <c r="T15" i="12"/>
  <c r="H16" i="12"/>
  <c r="I16" i="12"/>
  <c r="J16" i="12"/>
  <c r="K16" i="12"/>
  <c r="L16" i="12"/>
  <c r="S16" i="12"/>
  <c r="T16" i="12"/>
  <c r="H18" i="12"/>
  <c r="I18" i="12"/>
  <c r="J18" i="12"/>
  <c r="K18" i="12"/>
  <c r="L18" i="12"/>
  <c r="S18" i="12"/>
  <c r="T18" i="12"/>
  <c r="H19" i="12"/>
  <c r="I19" i="12"/>
  <c r="J19" i="12"/>
  <c r="K19" i="12"/>
  <c r="L19" i="12"/>
  <c r="S19" i="12"/>
  <c r="T19" i="12"/>
  <c r="H21" i="12"/>
  <c r="I21" i="12"/>
  <c r="J21" i="12"/>
  <c r="K21" i="12"/>
  <c r="L21" i="12"/>
  <c r="S21" i="12"/>
  <c r="T21" i="12"/>
  <c r="H24" i="12"/>
  <c r="I24" i="12"/>
  <c r="J24" i="12"/>
  <c r="K24" i="12"/>
  <c r="L24" i="12"/>
  <c r="S24" i="12"/>
  <c r="T24" i="12"/>
  <c r="H25" i="12"/>
  <c r="I25" i="12"/>
  <c r="J25" i="12"/>
  <c r="K25" i="12"/>
  <c r="L25" i="12"/>
  <c r="S25" i="12"/>
  <c r="T25" i="12"/>
  <c r="A2" i="4"/>
  <c r="E10" i="9"/>
  <c r="F10" i="9"/>
  <c r="E11" i="9"/>
  <c r="F11" i="9"/>
  <c r="E14" i="9"/>
  <c r="F14" i="9"/>
  <c r="E17" i="9"/>
  <c r="F17" i="9"/>
  <c r="E18" i="9"/>
  <c r="F18" i="9"/>
  <c r="E27" i="9"/>
  <c r="F27" i="9"/>
  <c r="E31" i="9"/>
  <c r="F31" i="9"/>
  <c r="E32" i="9"/>
  <c r="F32" i="9"/>
  <c r="E35" i="9"/>
  <c r="F35" i="9"/>
  <c r="E36" i="9"/>
  <c r="F36" i="9"/>
  <c r="E37" i="9"/>
  <c r="F37" i="9"/>
  <c r="E38" i="9"/>
  <c r="F38" i="9"/>
  <c r="E39" i="9"/>
  <c r="F39" i="9"/>
  <c r="L42" i="9"/>
  <c r="N42" i="9"/>
  <c r="O42" i="9"/>
  <c r="Q42" i="9"/>
  <c r="R42" i="9"/>
  <c r="T42" i="9"/>
  <c r="L45" i="9"/>
  <c r="N45" i="9"/>
  <c r="O45" i="9"/>
  <c r="Q45" i="9"/>
  <c r="R45" i="9"/>
  <c r="T45" i="9"/>
  <c r="L48" i="9"/>
  <c r="N48" i="9"/>
  <c r="O48" i="9"/>
  <c r="Q48" i="9"/>
  <c r="R48" i="9"/>
  <c r="T48" i="9"/>
  <c r="L49" i="9"/>
  <c r="N49" i="9"/>
  <c r="O49" i="9"/>
  <c r="Q49" i="9"/>
  <c r="R49" i="9"/>
  <c r="T49" i="9"/>
  <c r="L52" i="9"/>
  <c r="N52" i="9"/>
  <c r="O52" i="9"/>
  <c r="Q52" i="9"/>
  <c r="R52" i="9"/>
  <c r="T52" i="9"/>
  <c r="L53" i="9"/>
  <c r="N53" i="9"/>
  <c r="O53" i="9"/>
  <c r="Q53" i="9"/>
  <c r="R53" i="9"/>
  <c r="T53" i="9"/>
  <c r="L54" i="9"/>
  <c r="N54" i="9"/>
  <c r="O54" i="9"/>
  <c r="Q54" i="9"/>
  <c r="R54" i="9"/>
  <c r="T54" i="9"/>
  <c r="L55" i="9"/>
  <c r="N55" i="9"/>
  <c r="O55" i="9"/>
  <c r="Q55" i="9"/>
  <c r="R55" i="9"/>
  <c r="T55" i="9"/>
  <c r="L56" i="9"/>
  <c r="N56" i="9"/>
  <c r="O56" i="9"/>
  <c r="Q56" i="9"/>
  <c r="R56" i="9"/>
  <c r="T56" i="9"/>
  <c r="L57" i="9"/>
  <c r="O57" i="9"/>
  <c r="R57" i="9"/>
  <c r="L58" i="9"/>
  <c r="O58" i="9"/>
  <c r="R58" i="9"/>
  <c r="L59" i="9"/>
  <c r="O59" i="9"/>
  <c r="R59" i="9"/>
  <c r="L60" i="9"/>
  <c r="O60" i="9"/>
  <c r="R60" i="9"/>
  <c r="L63" i="9"/>
  <c r="N63" i="9"/>
  <c r="O63" i="9"/>
  <c r="Q63" i="9"/>
  <c r="R63" i="9"/>
  <c r="T63" i="9"/>
  <c r="L64" i="9"/>
  <c r="O64" i="9"/>
  <c r="R64" i="9"/>
  <c r="L65" i="9"/>
  <c r="O65" i="9"/>
  <c r="R65" i="9"/>
  <c r="L66" i="9"/>
  <c r="O66" i="9"/>
  <c r="R66" i="9"/>
  <c r="A2" i="6"/>
  <c r="B16" i="6"/>
  <c r="B17" i="6"/>
  <c r="C22" i="6"/>
  <c r="D22" i="6"/>
  <c r="E22" i="6"/>
  <c r="F22" i="6"/>
  <c r="C23" i="6"/>
  <c r="D23" i="6"/>
  <c r="E23" i="6"/>
  <c r="F23" i="6"/>
  <c r="C24" i="6"/>
  <c r="D24" i="6"/>
  <c r="E24" i="6"/>
  <c r="F24" i="6"/>
  <c r="C25" i="6"/>
  <c r="D25" i="6"/>
  <c r="E25" i="6"/>
  <c r="F25" i="6"/>
  <c r="C26" i="6"/>
  <c r="D26" i="6"/>
  <c r="E26" i="6"/>
  <c r="F26" i="6"/>
  <c r="C27" i="6"/>
  <c r="D27" i="6"/>
  <c r="E27" i="6"/>
  <c r="F27" i="6"/>
  <c r="C28" i="6"/>
  <c r="D28" i="6"/>
  <c r="E28" i="6"/>
  <c r="F28" i="6"/>
  <c r="C29" i="6"/>
  <c r="D29" i="6"/>
  <c r="E29" i="6"/>
  <c r="F29" i="6"/>
  <c r="C30" i="6"/>
  <c r="D30" i="6"/>
  <c r="E30" i="6"/>
  <c r="F30" i="6"/>
  <c r="C31" i="6"/>
  <c r="D31" i="6"/>
  <c r="E31" i="6"/>
  <c r="F31" i="6"/>
  <c r="C32" i="6"/>
  <c r="D32" i="6"/>
  <c r="E32" i="6"/>
  <c r="F32" i="6"/>
  <c r="C33" i="6"/>
  <c r="D33" i="6"/>
  <c r="E33" i="6"/>
  <c r="F33" i="6"/>
  <c r="C37" i="6"/>
  <c r="D37" i="6"/>
  <c r="E37" i="6"/>
  <c r="F37" i="6"/>
  <c r="G37" i="6"/>
  <c r="H37" i="6"/>
  <c r="I37" i="6"/>
  <c r="J37" i="6"/>
  <c r="K37" i="6"/>
  <c r="L37" i="6"/>
  <c r="M37" i="6"/>
  <c r="N37" i="6"/>
  <c r="D38" i="6"/>
  <c r="E38" i="6"/>
  <c r="F38" i="6"/>
  <c r="G38" i="6"/>
  <c r="H38" i="6"/>
  <c r="I38" i="6"/>
  <c r="J38" i="6"/>
  <c r="K38" i="6"/>
  <c r="L38" i="6"/>
  <c r="M38" i="6"/>
  <c r="N38" i="6"/>
  <c r="D40" i="6"/>
  <c r="E40" i="6"/>
  <c r="F40" i="6"/>
  <c r="G40" i="6"/>
  <c r="H40" i="6"/>
  <c r="I40" i="6"/>
  <c r="J40" i="6"/>
  <c r="K40" i="6"/>
  <c r="L40" i="6"/>
  <c r="M40" i="6"/>
  <c r="N40" i="6"/>
  <c r="D42" i="6"/>
  <c r="E42" i="6"/>
  <c r="F42" i="6"/>
  <c r="G42" i="6"/>
  <c r="H42" i="6"/>
  <c r="I42" i="6"/>
  <c r="J42" i="6"/>
  <c r="K43" i="6"/>
  <c r="D44" i="6"/>
  <c r="E44" i="6"/>
  <c r="F44" i="6"/>
  <c r="G44" i="6"/>
  <c r="H44" i="6"/>
  <c r="I44" i="6"/>
  <c r="J44" i="6"/>
  <c r="K44" i="6"/>
  <c r="B45" i="6"/>
  <c r="C45" i="6"/>
  <c r="B46" i="6"/>
  <c r="B47" i="6"/>
  <c r="B52" i="6"/>
  <c r="B53" i="6"/>
  <c r="B54" i="6"/>
  <c r="B56" i="6"/>
  <c r="B58" i="6"/>
  <c r="B59" i="6"/>
  <c r="B66" i="6"/>
  <c r="B67" i="6"/>
  <c r="B68" i="6"/>
  <c r="B70" i="6"/>
  <c r="B71" i="6"/>
  <c r="B72" i="6"/>
  <c r="B73" i="6"/>
  <c r="C77" i="6"/>
  <c r="D77" i="6"/>
  <c r="E77" i="6"/>
  <c r="F77" i="6"/>
  <c r="G77" i="6"/>
  <c r="C79" i="6"/>
  <c r="D79" i="6"/>
  <c r="E79" i="6"/>
  <c r="F79" i="6"/>
  <c r="G79" i="6"/>
  <c r="G80" i="6"/>
  <c r="B81" i="6"/>
  <c r="B83" i="6"/>
  <c r="B8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Elvis Credendio</author>
    <author>Elvis F Credendio F</author>
  </authors>
  <commentList>
    <comment ref="CF21" authorId="0" shapeId="0" xr:uid="{ED848FEF-E6FF-4D31-9D47-F2A14E49BC61}">
      <text>
        <r>
          <rPr>
            <b/>
            <sz val="8"/>
            <color indexed="81"/>
            <rFont val="Tahoma"/>
            <family val="2"/>
          </rPr>
          <t>Elvis Credendio:</t>
        </r>
        <r>
          <rPr>
            <sz val="8"/>
            <color indexed="81"/>
            <rFont val="Tahoma"/>
            <family val="2"/>
          </rPr>
          <t xml:space="preserve">
PLR</t>
        </r>
      </text>
    </comment>
    <comment ref="CF31" authorId="0" shapeId="0" xr:uid="{0B768324-5510-4041-A702-89666680856F}">
      <text>
        <r>
          <rPr>
            <b/>
            <sz val="8"/>
            <color indexed="81"/>
            <rFont val="Tahoma"/>
            <family val="2"/>
          </rPr>
          <t>Elvis Credendio:</t>
        </r>
        <r>
          <rPr>
            <sz val="8"/>
            <color indexed="81"/>
            <rFont val="Tahoma"/>
            <family val="2"/>
          </rPr>
          <t xml:space="preserve">
Late delivery penalty fee</t>
        </r>
      </text>
    </comment>
    <comment ref="CG31" authorId="0" shapeId="0" xr:uid="{EF24B01C-D52D-4F28-9F2B-98363297B8F8}">
      <text>
        <r>
          <rPr>
            <b/>
            <sz val="8"/>
            <color indexed="81"/>
            <rFont val="Tahoma"/>
            <family val="2"/>
          </rPr>
          <t>Elvis Credendio:</t>
        </r>
        <r>
          <rPr>
            <sz val="8"/>
            <color indexed="81"/>
            <rFont val="Tahoma"/>
            <family val="2"/>
          </rPr>
          <t xml:space="preserve">
Late delivery penalty fee</t>
        </r>
      </text>
    </comment>
    <comment ref="CI31" authorId="0" shapeId="0" xr:uid="{6F29554A-D2BA-4173-A209-DC578E2156AF}">
      <text>
        <r>
          <rPr>
            <b/>
            <sz val="8"/>
            <color indexed="81"/>
            <rFont val="Tahoma"/>
            <family val="2"/>
          </rPr>
          <t>Elvis Credendio:</t>
        </r>
        <r>
          <rPr>
            <sz val="8"/>
            <color indexed="81"/>
            <rFont val="Tahoma"/>
            <family val="2"/>
          </rPr>
          <t xml:space="preserve">
Late delivery penalty fee</t>
        </r>
      </text>
    </comment>
    <comment ref="CJ31" authorId="0" shapeId="0" xr:uid="{7E99992B-E86A-41C4-B4C9-8A9E2E1FB8CF}">
      <text>
        <r>
          <rPr>
            <b/>
            <sz val="8"/>
            <color indexed="81"/>
            <rFont val="Tahoma"/>
            <family val="2"/>
          </rPr>
          <t>Elvis Credendio:</t>
        </r>
        <r>
          <rPr>
            <sz val="8"/>
            <color indexed="81"/>
            <rFont val="Tahoma"/>
            <family val="2"/>
          </rPr>
          <t xml:space="preserve">
Late delivery penalty fee</t>
        </r>
      </text>
    </comment>
    <comment ref="CK31" authorId="0" shapeId="0" xr:uid="{C0C02B79-BF49-46D0-8AD0-C875716AC415}">
      <text>
        <r>
          <rPr>
            <b/>
            <sz val="8"/>
            <color indexed="81"/>
            <rFont val="Tahoma"/>
            <family val="2"/>
          </rPr>
          <t>Elvis Credendio:</t>
        </r>
        <r>
          <rPr>
            <sz val="8"/>
            <color indexed="81"/>
            <rFont val="Tahoma"/>
            <family val="2"/>
          </rPr>
          <t xml:space="preserve">
Late delivery penalty fee</t>
        </r>
      </text>
    </comment>
    <comment ref="CL31" authorId="0" shapeId="0" xr:uid="{665B38BE-34CC-461A-877C-369C87B493CA}">
      <text>
        <r>
          <rPr>
            <b/>
            <sz val="8"/>
            <color indexed="81"/>
            <rFont val="Tahoma"/>
            <family val="2"/>
          </rPr>
          <t>Elvis Credendio:</t>
        </r>
        <r>
          <rPr>
            <sz val="8"/>
            <color indexed="81"/>
            <rFont val="Tahoma"/>
            <family val="2"/>
          </rPr>
          <t xml:space="preserve">
Late delivery penalty fee</t>
        </r>
      </text>
    </comment>
    <comment ref="BB49" authorId="1" shapeId="0" xr:uid="{4C90DA86-35D1-4156-82F7-5EB869634A5F}">
      <text>
        <r>
          <rPr>
            <b/>
            <sz val="8"/>
            <color indexed="81"/>
            <rFont val="Tahoma"/>
            <family val="2"/>
          </rPr>
          <t>Elvis F Credendio F:</t>
        </r>
        <r>
          <rPr>
            <sz val="8"/>
            <color indexed="81"/>
            <rFont val="Tahoma"/>
            <family val="2"/>
          </rPr>
          <t xml:space="preserve">
IPO - R$977.5mn at R$9.35/sh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Elvis F Credendio F</author>
    <author>Mariangela Castro</author>
  </authors>
  <commentList>
    <comment ref="AX11" authorId="0" shapeId="0" xr:uid="{174AE9EB-CA62-4F56-A7A8-54C1C2246D81}">
      <text>
        <r>
          <rPr>
            <b/>
            <sz val="8"/>
            <color indexed="81"/>
            <rFont val="Tahoma"/>
            <family val="2"/>
          </rPr>
          <t>Elvis F Credendio F:</t>
        </r>
        <r>
          <rPr>
            <sz val="8"/>
            <color indexed="81"/>
            <rFont val="Tahoma"/>
            <family val="2"/>
          </rPr>
          <t xml:space="preserve">
MCMV "Faixa 1" + receivables from Multiplan</t>
        </r>
      </text>
    </comment>
    <comment ref="AZ11" authorId="0" shapeId="0" xr:uid="{A0B590D1-6223-4F06-93F4-46DC232EE1A7}">
      <text>
        <r>
          <rPr>
            <b/>
            <sz val="8"/>
            <color indexed="81"/>
            <rFont val="Tahoma"/>
            <family val="2"/>
          </rPr>
          <t>Elvis F Credendio F:</t>
        </r>
        <r>
          <rPr>
            <sz val="8"/>
            <color indexed="81"/>
            <rFont val="Tahoma"/>
            <family val="2"/>
          </rPr>
          <t xml:space="preserve">
MCMV "Faixa 1" + receivables from Multiplan</t>
        </r>
      </text>
    </comment>
    <comment ref="BA11" authorId="0" shapeId="0" xr:uid="{42D0EE2B-0409-4654-B180-45E0DB0F7196}">
      <text>
        <r>
          <rPr>
            <b/>
            <sz val="8"/>
            <color indexed="81"/>
            <rFont val="Tahoma"/>
            <family val="2"/>
          </rPr>
          <t>Elvis F Credendio F:</t>
        </r>
        <r>
          <rPr>
            <sz val="8"/>
            <color indexed="81"/>
            <rFont val="Tahoma"/>
            <family val="2"/>
          </rPr>
          <t xml:space="preserve">
MCMV "Faixa 1" + receivables from Multiplan</t>
        </r>
      </text>
    </comment>
    <comment ref="BB11" authorId="0" shapeId="0" xr:uid="{2C8FCECC-65CC-49FA-AFDA-E77474E12BE5}">
      <text>
        <r>
          <rPr>
            <b/>
            <sz val="8"/>
            <color indexed="81"/>
            <rFont val="Tahoma"/>
            <family val="2"/>
          </rPr>
          <t>Elvis F Credendio F:</t>
        </r>
        <r>
          <rPr>
            <sz val="8"/>
            <color indexed="81"/>
            <rFont val="Tahoma"/>
            <family val="2"/>
          </rPr>
          <t xml:space="preserve">
MCMV "Faixa 1" + receivables from Multiplan</t>
        </r>
      </text>
    </comment>
    <comment ref="BC11" authorId="0" shapeId="0" xr:uid="{7540EB20-A5F2-4587-957D-A2F938200DED}">
      <text>
        <r>
          <rPr>
            <b/>
            <sz val="8"/>
            <color indexed="81"/>
            <rFont val="Tahoma"/>
            <family val="2"/>
          </rPr>
          <t>Elvis F Credendio F:</t>
        </r>
        <r>
          <rPr>
            <sz val="8"/>
            <color indexed="81"/>
            <rFont val="Tahoma"/>
            <family val="2"/>
          </rPr>
          <t xml:space="preserve">
MCMV "Faixa 1" + receivables from Multiplan</t>
        </r>
      </text>
    </comment>
    <comment ref="BE11" authorId="0" shapeId="0" xr:uid="{59B12F93-7687-40F9-B6BC-BF0BBFF3E218}">
      <text>
        <r>
          <rPr>
            <b/>
            <sz val="8"/>
            <color indexed="81"/>
            <rFont val="Tahoma"/>
            <family val="2"/>
          </rPr>
          <t>Elvis F Credendio F:</t>
        </r>
        <r>
          <rPr>
            <sz val="8"/>
            <color indexed="81"/>
            <rFont val="Tahoma"/>
            <family val="2"/>
          </rPr>
          <t xml:space="preserve">
MCMV "Faixa 1" + receivables from Multiplan</t>
        </r>
      </text>
    </comment>
    <comment ref="BF11" authorId="0" shapeId="0" xr:uid="{8C2F9529-6E36-49FF-8772-C2806BF30328}">
      <text>
        <r>
          <rPr>
            <b/>
            <sz val="8"/>
            <color indexed="81"/>
            <rFont val="Tahoma"/>
            <family val="2"/>
          </rPr>
          <t>Elvis F Credendio F:</t>
        </r>
        <r>
          <rPr>
            <sz val="8"/>
            <color indexed="81"/>
            <rFont val="Tahoma"/>
            <family val="2"/>
          </rPr>
          <t xml:space="preserve">
MCMV "Faixa 1" + receivables from Multiplan</t>
        </r>
      </text>
    </comment>
    <comment ref="BG11" authorId="0" shapeId="0" xr:uid="{EA4A0F2D-BFBE-4DDA-A803-F3A88D3E88B6}">
      <text>
        <r>
          <rPr>
            <b/>
            <sz val="8"/>
            <color indexed="81"/>
            <rFont val="Tahoma"/>
            <family val="2"/>
          </rPr>
          <t>Elvis F Credendio F:</t>
        </r>
        <r>
          <rPr>
            <sz val="8"/>
            <color indexed="81"/>
            <rFont val="Tahoma"/>
            <family val="2"/>
          </rPr>
          <t xml:space="preserve">
MCMV "Faixa 1" + receivables from Multiplan</t>
        </r>
      </text>
    </comment>
    <comment ref="BH11" authorId="0" shapeId="0" xr:uid="{D1A6214B-CFF9-4343-9563-8FA1782A4083}">
      <text>
        <r>
          <rPr>
            <b/>
            <sz val="8"/>
            <color indexed="81"/>
            <rFont val="Tahoma"/>
            <family val="2"/>
          </rPr>
          <t>Elvis F Credendio F:</t>
        </r>
        <r>
          <rPr>
            <sz val="8"/>
            <color indexed="81"/>
            <rFont val="Tahoma"/>
            <family val="2"/>
          </rPr>
          <t xml:space="preserve">
MCMV "Faixa 1" + receivables from Multiplan</t>
        </r>
      </text>
    </comment>
    <comment ref="BJ11" authorId="0" shapeId="0" xr:uid="{7C337F70-9669-46E0-A122-6B7D8F7A4D04}">
      <text>
        <r>
          <rPr>
            <b/>
            <sz val="8"/>
            <color indexed="81"/>
            <rFont val="Tahoma"/>
            <family val="2"/>
          </rPr>
          <t>Elvis F Credendio F:</t>
        </r>
        <r>
          <rPr>
            <sz val="8"/>
            <color indexed="81"/>
            <rFont val="Tahoma"/>
            <family val="2"/>
          </rPr>
          <t xml:space="preserve">
MCMV "Faixa 1" + receivables from Multiplan</t>
        </r>
      </text>
    </comment>
    <comment ref="BK11" authorId="0" shapeId="0" xr:uid="{8ACE082F-C03D-4771-AB50-8498396ADD8B}">
      <text>
        <r>
          <rPr>
            <b/>
            <sz val="8"/>
            <color indexed="81"/>
            <rFont val="Tahoma"/>
            <family val="2"/>
          </rPr>
          <t>Elvis F Credendio F:</t>
        </r>
        <r>
          <rPr>
            <sz val="8"/>
            <color indexed="81"/>
            <rFont val="Tahoma"/>
            <family val="2"/>
          </rPr>
          <t xml:space="preserve">
MCMV "Faixa 1" + receivables from Multiplan</t>
        </r>
      </text>
    </comment>
    <comment ref="BL11" authorId="0" shapeId="0" xr:uid="{D5E5A9EA-4B19-4372-85EB-2ADDE371B88A}">
      <text>
        <r>
          <rPr>
            <b/>
            <sz val="8"/>
            <color indexed="81"/>
            <rFont val="Tahoma"/>
            <family val="2"/>
          </rPr>
          <t>Elvis F Credendio F:</t>
        </r>
        <r>
          <rPr>
            <sz val="8"/>
            <color indexed="81"/>
            <rFont val="Tahoma"/>
            <family val="2"/>
          </rPr>
          <t xml:space="preserve">
MCMV "Faixa 1" + receivables from Multiplan</t>
        </r>
      </text>
    </comment>
    <comment ref="BM11" authorId="0" shapeId="0" xr:uid="{C6E45870-5BB3-4415-B027-10DB1349CB20}">
      <text>
        <r>
          <rPr>
            <b/>
            <sz val="8"/>
            <color indexed="81"/>
            <rFont val="Tahoma"/>
            <family val="2"/>
          </rPr>
          <t>Elvis F Credendio F:</t>
        </r>
        <r>
          <rPr>
            <sz val="8"/>
            <color indexed="81"/>
            <rFont val="Tahoma"/>
            <family val="2"/>
          </rPr>
          <t xml:space="preserve">
MCMV "Faixa 1" + receivables from Multiplan</t>
        </r>
      </text>
    </comment>
    <comment ref="BO11" authorId="0" shapeId="0" xr:uid="{4905380B-55F3-4796-9985-26E102D68B6C}">
      <text>
        <r>
          <rPr>
            <b/>
            <sz val="8"/>
            <color indexed="81"/>
            <rFont val="Tahoma"/>
            <family val="2"/>
          </rPr>
          <t>Elvis F Credendio F:</t>
        </r>
        <r>
          <rPr>
            <sz val="8"/>
            <color indexed="81"/>
            <rFont val="Tahoma"/>
            <family val="2"/>
          </rPr>
          <t xml:space="preserve">
MCMV "Faixa 1" + receivables from Multiplan</t>
        </r>
      </text>
    </comment>
    <comment ref="BP11" authorId="0" shapeId="0" xr:uid="{B1709339-0A15-47B0-AC3B-E17E55210484}">
      <text>
        <r>
          <rPr>
            <b/>
            <sz val="8"/>
            <color indexed="81"/>
            <rFont val="Tahoma"/>
            <family val="2"/>
          </rPr>
          <t>Elvis F Credendio F:</t>
        </r>
        <r>
          <rPr>
            <sz val="8"/>
            <color indexed="81"/>
            <rFont val="Tahoma"/>
            <family val="2"/>
          </rPr>
          <t xml:space="preserve">
MCMV "Faixa 1" + receivables from Multiplan</t>
        </r>
      </text>
    </comment>
    <comment ref="BZ73" authorId="0" shapeId="0" xr:uid="{947EF3EC-371A-438F-AA8D-4A1E21B3F3EF}">
      <text>
        <r>
          <rPr>
            <b/>
            <sz val="8"/>
            <color indexed="81"/>
            <rFont val="Tahoma"/>
            <family val="2"/>
          </rPr>
          <t>Elvis F Credendio F:</t>
        </r>
        <r>
          <rPr>
            <sz val="8"/>
            <color indexed="81"/>
            <rFont val="Tahoma"/>
            <family val="2"/>
          </rPr>
          <t xml:space="preserve">
Sale of shares</t>
        </r>
      </text>
    </comment>
    <comment ref="BB74" authorId="0" shapeId="0" xr:uid="{5147C6A5-6DE9-43FC-835E-C040EB1755F1}">
      <text>
        <r>
          <rPr>
            <b/>
            <sz val="8"/>
            <color indexed="81"/>
            <rFont val="Tahoma"/>
            <family val="2"/>
          </rPr>
          <t>Elvis F Credendio F:</t>
        </r>
        <r>
          <rPr>
            <sz val="8"/>
            <color indexed="81"/>
            <rFont val="Tahoma"/>
            <family val="2"/>
          </rPr>
          <t xml:space="preserve">
IPO - R$977.5mn at R$9.35/sh </t>
        </r>
      </text>
    </comment>
    <comment ref="CB74" authorId="1" shapeId="0" xr:uid="{E2E479C9-E58A-4724-8645-06DFC5ECA159}">
      <text>
        <r>
          <rPr>
            <b/>
            <sz val="8"/>
            <color indexed="81"/>
            <rFont val="Arial"/>
            <family val="2"/>
          </rPr>
          <t>Mariangela Castro:</t>
        </r>
        <r>
          <rPr>
            <sz val="8"/>
            <color indexed="81"/>
            <rFont val="Arial"/>
            <family val="2"/>
          </rPr>
          <t xml:space="preserve">
Follow-on offering</t>
        </r>
      </text>
    </comment>
  </commentList>
</comments>
</file>

<file path=xl/sharedStrings.xml><?xml version="1.0" encoding="utf-8"?>
<sst xmlns="http://schemas.openxmlformats.org/spreadsheetml/2006/main" count="582" uniqueCount="447">
  <si>
    <t>Quarter</t>
  </si>
  <si>
    <t>Year</t>
  </si>
  <si>
    <t>Macro variables</t>
  </si>
  <si>
    <t>Net Revenues</t>
  </si>
  <si>
    <t>Operating Costs</t>
  </si>
  <si>
    <t>Other Operating Expenses</t>
  </si>
  <si>
    <t>Equity Income</t>
  </si>
  <si>
    <t>Payout (%)</t>
  </si>
  <si>
    <t>EBIT Margin</t>
  </si>
  <si>
    <t>EPS</t>
  </si>
  <si>
    <t>Adj. EPS</t>
  </si>
  <si>
    <t>DPS</t>
  </si>
  <si>
    <t>Capitalized Interest</t>
  </si>
  <si>
    <t>Total Interest Expense</t>
  </si>
  <si>
    <t>% of CDI</t>
  </si>
  <si>
    <t>Liabilities</t>
  </si>
  <si>
    <t>Check</t>
  </si>
  <si>
    <t>Net Debt/Equity (%)</t>
  </si>
  <si>
    <t>Net Debt/EBITDA (x)</t>
  </si>
  <si>
    <t>Completed units</t>
  </si>
  <si>
    <t>Properties for Sale</t>
  </si>
  <si>
    <t>Depreciation</t>
  </si>
  <si>
    <t>Capex</t>
  </si>
  <si>
    <t>Backlog</t>
  </si>
  <si>
    <t>Result in the period</t>
  </si>
  <si>
    <t>ROIC</t>
  </si>
  <si>
    <t>Goodwill</t>
  </si>
  <si>
    <t>Capitalized interest</t>
  </si>
  <si>
    <t>TBVPS</t>
  </si>
  <si>
    <t>FCFF</t>
  </si>
  <si>
    <t>FCFE</t>
  </si>
  <si>
    <t>Launches and sales</t>
  </si>
  <si>
    <t># of Units Sold</t>
  </si>
  <si>
    <t>Sales speed</t>
  </si>
  <si>
    <t xml:space="preserve">  Completed</t>
  </si>
  <si>
    <t>Revenue recognition</t>
  </si>
  <si>
    <t>Rate of recognition (%)</t>
  </si>
  <si>
    <t>Revenue from backlog</t>
  </si>
  <si>
    <t>Land Bank</t>
  </si>
  <si>
    <t>Deliveries</t>
  </si>
  <si>
    <t>P/E</t>
  </si>
  <si>
    <t>Target P/E</t>
  </si>
  <si>
    <t>Brazil - Homebuilders</t>
  </si>
  <si>
    <t>Daniel Gasparete</t>
  </si>
  <si>
    <t>Itaú BBA - Real Estate</t>
  </si>
  <si>
    <t>Mariangela Castro</t>
  </si>
  <si>
    <t>Elvis Credendio</t>
  </si>
  <si>
    <t>Extraordinary items</t>
  </si>
  <si>
    <t>Development revenues</t>
  </si>
  <si>
    <t>Gross revenues</t>
  </si>
  <si>
    <t>Service revenues</t>
  </si>
  <si>
    <t>Taxes and deductions</t>
  </si>
  <si>
    <t>Expenses</t>
  </si>
  <si>
    <t>Income Statement (R$000')</t>
  </si>
  <si>
    <t>Margins (%)</t>
  </si>
  <si>
    <t>Net sales (100%)</t>
  </si>
  <si>
    <t>Net sales (at stake)</t>
  </si>
  <si>
    <t>Launches (100%)</t>
  </si>
  <si>
    <t>Launches (at stake)</t>
  </si>
  <si>
    <t>Units launched</t>
  </si>
  <si>
    <t>Share (%)</t>
  </si>
  <si>
    <t>Price per unit launched (R$000'/unit)</t>
  </si>
  <si>
    <t>Price per unit sold (R$000'/unit)</t>
  </si>
  <si>
    <t>Inventory sales speed (%)</t>
  </si>
  <si>
    <t>Launches sales speed (%)</t>
  </si>
  <si>
    <t>Net inventory sales</t>
  </si>
  <si>
    <t>Units delivered</t>
  </si>
  <si>
    <t>% of gross revenues</t>
  </si>
  <si>
    <t>Development costs</t>
  </si>
  <si>
    <t>Capitalized interest expenses</t>
  </si>
  <si>
    <t>Service costs</t>
  </si>
  <si>
    <t>Gross profit</t>
  </si>
  <si>
    <t>Operating expenses</t>
  </si>
  <si>
    <t>Selling expenses</t>
  </si>
  <si>
    <t>G&amp;A expenses</t>
  </si>
  <si>
    <t>Net financial results</t>
  </si>
  <si>
    <t>Financial income</t>
  </si>
  <si>
    <t>Financial expenses</t>
  </si>
  <si>
    <t>D&amp;A</t>
  </si>
  <si>
    <t>Gross margin</t>
  </si>
  <si>
    <t>% of net revenues</t>
  </si>
  <si>
    <t>% of net sales</t>
  </si>
  <si>
    <t>as % of net revenues</t>
  </si>
  <si>
    <t>Operating income</t>
  </si>
  <si>
    <t>Income before income tax</t>
  </si>
  <si>
    <t>Income tax</t>
  </si>
  <si>
    <t>Deffered taxes</t>
  </si>
  <si>
    <t>Minority interest</t>
  </si>
  <si>
    <t>Declared dividends</t>
  </si>
  <si>
    <t>Net income</t>
  </si>
  <si>
    <t>Majority income</t>
  </si>
  <si>
    <t>Non-operating income (expenses)</t>
  </si>
  <si>
    <t>Tax rate (% of revenues)</t>
  </si>
  <si>
    <t>Cash tax rate (% of collection)</t>
  </si>
  <si>
    <t>Securitization-related liabilities</t>
  </si>
  <si>
    <t>Securitization financial expenses</t>
  </si>
  <si>
    <t>Securitization rate</t>
  </si>
  <si>
    <t>Financial expenses (ex-securitization)</t>
  </si>
  <si>
    <t>Financial expenses rate</t>
  </si>
  <si>
    <t>Equity issuance</t>
  </si>
  <si>
    <t>Share repurchase</t>
  </si>
  <si>
    <t>Dividends (R$000')</t>
  </si>
  <si>
    <t>Per share (R$)</t>
  </si>
  <si>
    <t>Shares outstanding (ex-treasury, 000')</t>
  </si>
  <si>
    <t>(=) Net revenues</t>
  </si>
  <si>
    <t>(-) COGS (ex-interest)</t>
  </si>
  <si>
    <t>(=) Adjusted gross profit</t>
  </si>
  <si>
    <t>(-) Operating expenses</t>
  </si>
  <si>
    <t>(=) EBIT</t>
  </si>
  <si>
    <t>(=) EBITDA</t>
  </si>
  <si>
    <t>(+) D&amp;A</t>
  </si>
  <si>
    <t>EBITDA margin</t>
  </si>
  <si>
    <t>(+/-) Other income (expenses)</t>
  </si>
  <si>
    <t>(=) EBT</t>
  </si>
  <si>
    <t>(-) Income taxes</t>
  </si>
  <si>
    <t>(-) Minority interest</t>
  </si>
  <si>
    <t>(+) Interest income</t>
  </si>
  <si>
    <t>(-) Interest expense</t>
  </si>
  <si>
    <t>Income statement summary</t>
  </si>
  <si>
    <t>(+) Loans from related parties</t>
  </si>
  <si>
    <t>(-) Cash</t>
  </si>
  <si>
    <t>(=) Net debt/(net cash position)</t>
  </si>
  <si>
    <t>(=) Net income (reported)</t>
  </si>
  <si>
    <t>(=) Net income (adjusted)</t>
  </si>
  <si>
    <t>(=) Gross debt</t>
  </si>
  <si>
    <t>(-) Dividend payments</t>
  </si>
  <si>
    <t>(-) Share buybacks</t>
  </si>
  <si>
    <r>
      <rPr>
        <b/>
        <sz val="8"/>
        <rFont val="Aptos Narrow"/>
        <family val="2"/>
      </rPr>
      <t>∆</t>
    </r>
    <r>
      <rPr>
        <b/>
        <sz val="8"/>
        <rFont val="Arial"/>
        <family val="2"/>
      </rPr>
      <t xml:space="preserve"> Adjusted net debt</t>
    </r>
  </si>
  <si>
    <t>(+/-) Other adjustments</t>
  </si>
  <si>
    <t>(=) Adj. net debt/(net cash position)</t>
  </si>
  <si>
    <t>Balance sheet (R$000')</t>
  </si>
  <si>
    <t>Shareholders' equity (including minorities)</t>
  </si>
  <si>
    <t>Adj. Net Debt/Equity (%)</t>
  </si>
  <si>
    <t>(-) Capex</t>
  </si>
  <si>
    <t>BoP Cash</t>
  </si>
  <si>
    <t>EoP Cash</t>
  </si>
  <si>
    <t>(=) Net income</t>
  </si>
  <si>
    <t>(+/-) ∆ Working capital</t>
  </si>
  <si>
    <t>(+) Increase in debt</t>
  </si>
  <si>
    <t>(+/-) Capital increase/dividends</t>
  </si>
  <si>
    <t>Cash flow from financing activities</t>
  </si>
  <si>
    <t>Cash flow from investment activities</t>
  </si>
  <si>
    <t>Cash flow from operations</t>
  </si>
  <si>
    <t>Cash flow</t>
  </si>
  <si>
    <t>Cash flow statement</t>
  </si>
  <si>
    <t>Avg. debt rate (%)</t>
  </si>
  <si>
    <t>Avg. cash rate (%)</t>
  </si>
  <si>
    <t>Financial results calculation (R$000')</t>
  </si>
  <si>
    <t>Development gross margin (ex-interest)</t>
  </si>
  <si>
    <t>Services gross margin (ex-interest)</t>
  </si>
  <si>
    <t>Adj. gross margin (ex-interest)</t>
  </si>
  <si>
    <t>% of landbank</t>
  </si>
  <si>
    <t>Units under construction</t>
  </si>
  <si>
    <t>Receivables from related parties</t>
  </si>
  <si>
    <t>Cash and equivalents</t>
  </si>
  <si>
    <t>Under-construction contracts</t>
  </si>
  <si>
    <t>Perfomed contracts</t>
  </si>
  <si>
    <t>Inventory (properties for sale)</t>
  </si>
  <si>
    <t>Landbank at cost</t>
  </si>
  <si>
    <t>Prepaid expenses</t>
  </si>
  <si>
    <t>Deferred Taxes and Contributions</t>
  </si>
  <si>
    <t>Recoverable taxes</t>
  </si>
  <si>
    <t>Other operating assets</t>
  </si>
  <si>
    <t xml:space="preserve"> Non-current assets</t>
  </si>
  <si>
    <t>Investments</t>
  </si>
  <si>
    <t>Property, plant and equipment</t>
  </si>
  <si>
    <t>Construction loans</t>
  </si>
  <si>
    <t>Loans and borrowings</t>
  </si>
  <si>
    <t>Debentures and other borrowings</t>
  </si>
  <si>
    <t>Suppliers</t>
  </si>
  <si>
    <t>Payroll liabilities</t>
  </si>
  <si>
    <t>Taxes payable</t>
  </si>
  <si>
    <t>Deferred tax liabilities</t>
  </si>
  <si>
    <t>Dividends payable</t>
  </si>
  <si>
    <t>Provisions</t>
  </si>
  <si>
    <t>Advances from clients</t>
  </si>
  <si>
    <t>Accounts receivables from clients</t>
  </si>
  <si>
    <t>Shareholders' equity</t>
  </si>
  <si>
    <t>Non-controlling interests</t>
  </si>
  <si>
    <t>Treasury shares</t>
  </si>
  <si>
    <t>Stock option plan</t>
  </si>
  <si>
    <t>Retained earnings</t>
  </si>
  <si>
    <t>Share capital</t>
  </si>
  <si>
    <t>Other payables</t>
  </si>
  <si>
    <t>Total liabilities and equity</t>
  </si>
  <si>
    <t>Total assets</t>
  </si>
  <si>
    <t>Current assets</t>
  </si>
  <si>
    <t>Client financing (direct sales)</t>
  </si>
  <si>
    <t>Avg. client financing rate (%)</t>
  </si>
  <si>
    <t>(+) Securitization-related liabilities</t>
  </si>
  <si>
    <t>Loans to related parties</t>
  </si>
  <si>
    <t>Working capital assumptions</t>
  </si>
  <si>
    <t>Securitization term (years)</t>
  </si>
  <si>
    <t>New securitization term (years)</t>
  </si>
  <si>
    <t>(-) Scheduled amortization</t>
  </si>
  <si>
    <t>(+) Securitization issuance</t>
  </si>
  <si>
    <t>(=) FCF generation (cash burn)</t>
  </si>
  <si>
    <t>(+/-) Increase (decrease) in debentures</t>
  </si>
  <si>
    <t>Debt and leverage</t>
  </si>
  <si>
    <t>Cash flow (indirect method)</t>
  </si>
  <si>
    <t>(+) Construction loans</t>
  </si>
  <si>
    <t>(+) Debentures and other borrowings</t>
  </si>
  <si>
    <t>% of receivables and inventories</t>
  </si>
  <si>
    <t>% of majority income</t>
  </si>
  <si>
    <t>Services gross margin (%)</t>
  </si>
  <si>
    <t>Development gross margin (%)</t>
  </si>
  <si>
    <t>Growth rate (%)</t>
  </si>
  <si>
    <t>Net revenue</t>
  </si>
  <si>
    <t>EBITDA</t>
  </si>
  <si>
    <t>Gross margin (bps)</t>
  </si>
  <si>
    <t>Adj. gross margin (bps)</t>
  </si>
  <si>
    <t>Net margin (bps)</t>
  </si>
  <si>
    <t>Adj. gross profit</t>
  </si>
  <si>
    <t>Invested capital</t>
  </si>
  <si>
    <t>Net margin</t>
  </si>
  <si>
    <t>Asset turnover</t>
  </si>
  <si>
    <t>Operating leverage</t>
  </si>
  <si>
    <t>ROE (adj. net income)</t>
  </si>
  <si>
    <t>Adj. net margin</t>
  </si>
  <si>
    <t>(=) DuPont ROE (adj. net income)</t>
  </si>
  <si>
    <t>Returns</t>
  </si>
  <si>
    <t>Tangible book value</t>
  </si>
  <si>
    <t>Other adjustments to book value</t>
  </si>
  <si>
    <t>Tanglible book value</t>
  </si>
  <si>
    <t>(+/-) Net financial results</t>
  </si>
  <si>
    <t>Accounts receivable</t>
  </si>
  <si>
    <t>LTM revenues</t>
  </si>
  <si>
    <t>Accounts receivable days</t>
  </si>
  <si>
    <t>Cash flow impact</t>
  </si>
  <si>
    <t>Performed receivables days</t>
  </si>
  <si>
    <t>Under-construction accounts receivable</t>
  </si>
  <si>
    <t>Perfomed accounts receivable</t>
  </si>
  <si>
    <t>Under-construction receivables days</t>
  </si>
  <si>
    <t>LTM COGS</t>
  </si>
  <si>
    <t>Inventory days</t>
  </si>
  <si>
    <t>Land at cost</t>
  </si>
  <si>
    <t>% of inventory under construction</t>
  </si>
  <si>
    <t>Units under construction at cost</t>
  </si>
  <si>
    <t>Completed units in inventory at cost</t>
  </si>
  <si>
    <t>% of inventory completed</t>
  </si>
  <si>
    <t>Land purchase obligations</t>
  </si>
  <si>
    <t>Real estate purchase obligations</t>
  </si>
  <si>
    <t>Land &amp; under construction inventory</t>
  </si>
  <si>
    <t>% of land &amp; under construction inventory</t>
  </si>
  <si>
    <t>Client advances</t>
  </si>
  <si>
    <t>LTM net sales</t>
  </si>
  <si>
    <t>% of LTM net sales</t>
  </si>
  <si>
    <t>Accounts payable days</t>
  </si>
  <si>
    <t>PP&amp;E</t>
  </si>
  <si>
    <t>Intangible assets</t>
  </si>
  <si>
    <t>Depreciation rate %</t>
  </si>
  <si>
    <t>Book value</t>
  </si>
  <si>
    <t>Goodwill amortization</t>
  </si>
  <si>
    <t>Interest capitalization</t>
  </si>
  <si>
    <t>Other adjustments to net profit</t>
  </si>
  <si>
    <t>Tangible earnings</t>
  </si>
  <si>
    <t>Adj. ROE</t>
  </si>
  <si>
    <t xml:space="preserve">  Projects not started</t>
  </si>
  <si>
    <t>Inventory at sales value</t>
  </si>
  <si>
    <t>% interest capitalization</t>
  </si>
  <si>
    <t>Yield</t>
  </si>
  <si>
    <t>Landbank at sales value</t>
  </si>
  <si>
    <t>Years of launches</t>
  </si>
  <si>
    <t>(+) Launch sales</t>
  </si>
  <si>
    <t>(+) Gross inventory sales</t>
  </si>
  <si>
    <t>(-) Sales cancellations</t>
  </si>
  <si>
    <t>(=) Net sales</t>
  </si>
  <si>
    <t>Sales-to-supply ratio</t>
  </si>
  <si>
    <t>Supply (launches + BoP inventory)</t>
  </si>
  <si>
    <t>Revenue backlog</t>
  </si>
  <si>
    <t>Net sales in the period</t>
  </si>
  <si>
    <t>Sales supply</t>
  </si>
  <si>
    <t>Rate of recognition (PoC %)</t>
  </si>
  <si>
    <t>Revenue from sales in the period</t>
  </si>
  <si>
    <t>Other revenues</t>
  </si>
  <si>
    <t>As % of development revenue</t>
  </si>
  <si>
    <t>Cost of equity (Ke)</t>
  </si>
  <si>
    <t>Current stock price</t>
  </si>
  <si>
    <t>Current quarter</t>
  </si>
  <si>
    <t>Real growth rate</t>
  </si>
  <si>
    <t>Nominal growth rate</t>
  </si>
  <si>
    <t>Tangible book value (R$/sh)</t>
  </si>
  <si>
    <t>Dividends (R$/sh)</t>
  </si>
  <si>
    <t>-</t>
  </si>
  <si>
    <t>Nominal terms</t>
  </si>
  <si>
    <t>(+) NTN-B 10y</t>
  </si>
  <si>
    <t>(+) Long-term inflation</t>
  </si>
  <si>
    <t>(=) Risk free rate</t>
  </si>
  <si>
    <t>(a) Equity risk premium</t>
  </si>
  <si>
    <t>(b) Beta</t>
  </si>
  <si>
    <t>(a) x (b) = Stock risk premium</t>
  </si>
  <si>
    <t>Stabilized return-on-equity</t>
  </si>
  <si>
    <t>Return-on-equity</t>
  </si>
  <si>
    <t>Book value per share (R$)</t>
  </si>
  <si>
    <t>Forecasted upside</t>
  </si>
  <si>
    <t>Shares outstanding (ex-treasury)</t>
  </si>
  <si>
    <t>Target quarter</t>
  </si>
  <si>
    <t>DPS 1Y fwd (R$/sh)</t>
  </si>
  <si>
    <t>Tangible book value (TBV)</t>
  </si>
  <si>
    <t>Target P/TBV</t>
  </si>
  <si>
    <t>Target P/TBV multiple</t>
  </si>
  <si>
    <t>Forecasted upside (1Y fwd)</t>
  </si>
  <si>
    <t>TP - Gordon Growth (P/TBV)</t>
  </si>
  <si>
    <t>Adj. EPS (R$/sh)</t>
  </si>
  <si>
    <t>Adj. EPS (1Y fwd, blended)</t>
  </si>
  <si>
    <t>Fair share price (R$/sh)</t>
  </si>
  <si>
    <t>Fair equity value</t>
  </si>
  <si>
    <t>Assets valued separately</t>
  </si>
  <si>
    <t>Target P/E 1Y fwd multiple</t>
  </si>
  <si>
    <t>DCF calculation</t>
  </si>
  <si>
    <t>Discount factor</t>
  </si>
  <si>
    <t>FCFE at present value</t>
  </si>
  <si>
    <t>Terminal value</t>
  </si>
  <si>
    <t xml:space="preserve">  Under construction</t>
  </si>
  <si>
    <t>Project deliveries at sales value</t>
  </si>
  <si>
    <t>FCFE (nominal terms)</t>
  </si>
  <si>
    <t>Target price (R$/sh)</t>
  </si>
  <si>
    <t>Discount rate &amp; target price</t>
  </si>
  <si>
    <t>Dividend yield (%)</t>
  </si>
  <si>
    <t>P/TBV</t>
  </si>
  <si>
    <t>Target dividend yield (%)</t>
  </si>
  <si>
    <t>Valuation multiples</t>
  </si>
  <si>
    <t>NPV of dividends + exit multiple</t>
  </si>
  <si>
    <t>Stock ticker</t>
  </si>
  <si>
    <t>IBBA rating</t>
  </si>
  <si>
    <t>Actual / estimate</t>
  </si>
  <si>
    <t>Costs backlog</t>
  </si>
  <si>
    <t>Results backlog (to be recognized)</t>
  </si>
  <si>
    <t>Backlog margin (REF margin)</t>
  </si>
  <si>
    <t>Prevailing sales</t>
  </si>
  <si>
    <t>Prevaling costs</t>
  </si>
  <si>
    <t>Costs incurred in the period</t>
  </si>
  <si>
    <t>Prevailing result</t>
  </si>
  <si>
    <t>Prevailing REF margin</t>
  </si>
  <si>
    <t>REF margin added in the period</t>
  </si>
  <si>
    <t>IPCA q/q</t>
  </si>
  <si>
    <t>IPCA y/y</t>
  </si>
  <si>
    <t>IGP-M y/y</t>
  </si>
  <si>
    <t>CURY3</t>
  </si>
  <si>
    <t>Client financing / other</t>
  </si>
  <si>
    <t>Juliana Veiga</t>
  </si>
  <si>
    <t/>
  </si>
  <si>
    <t>Fair equity value per share</t>
  </si>
  <si>
    <t>Adj. P/E (ex-dividends at PV)</t>
  </si>
  <si>
    <t>Fair equity value (R$/sh)</t>
  </si>
  <si>
    <t>Gordon Growth (P/E) - 2-stages</t>
  </si>
  <si>
    <t>Dividends at present value (R$/sh)</t>
  </si>
  <si>
    <t>Nominal-IRR (p.a.)</t>
  </si>
  <si>
    <t>Excess return over Ke (per year)</t>
  </si>
  <si>
    <t>IRR calculation (2-year timeframe)</t>
  </si>
  <si>
    <t>GDP growth y/y</t>
  </si>
  <si>
    <t>IGP-M q/q</t>
  </si>
  <si>
    <t>Selic rate (avg)</t>
  </si>
  <si>
    <t>CPI q/q</t>
  </si>
  <si>
    <t>CPI y/y</t>
  </si>
  <si>
    <t>Treasury rate</t>
  </si>
  <si>
    <t>Outperform</t>
  </si>
  <si>
    <t>Cancellations as % of gross sales</t>
  </si>
  <si>
    <t>Cel.: +55 11 3073-3032</t>
  </si>
  <si>
    <t>Cel.: +55 11 3073-3906</t>
  </si>
  <si>
    <t>Cel.: +55 11 3073-3102</t>
  </si>
  <si>
    <t>Cel.: +55 11 3073-2025</t>
  </si>
  <si>
    <t>Company ID</t>
  </si>
  <si>
    <t>Company Name</t>
  </si>
  <si>
    <t>Ticker</t>
  </si>
  <si>
    <t>Recommendation</t>
  </si>
  <si>
    <t>Target</t>
  </si>
  <si>
    <t>LastUpdate</t>
  </si>
  <si>
    <t>ADR</t>
  </si>
  <si>
    <t>ADR Target</t>
  </si>
  <si>
    <t>WACC</t>
  </si>
  <si>
    <t>PerpetuityGrowth</t>
  </si>
  <si>
    <t>Ke</t>
  </si>
  <si>
    <t>Beta</t>
  </si>
  <si>
    <t>YearEnd</t>
  </si>
  <si>
    <t>Shares Out (thousands)</t>
  </si>
  <si>
    <t>OP</t>
  </si>
  <si>
    <t xml:space="preserve"> </t>
  </si>
  <si>
    <t>Period</t>
  </si>
  <si>
    <t>2021A</t>
  </si>
  <si>
    <t>2022A</t>
  </si>
  <si>
    <t>2023A</t>
  </si>
  <si>
    <t>2024A</t>
  </si>
  <si>
    <t>2025E</t>
  </si>
  <si>
    <t>2026E</t>
  </si>
  <si>
    <t>2027E</t>
  </si>
  <si>
    <t>2028E</t>
  </si>
  <si>
    <t>2029E</t>
  </si>
  <si>
    <t>Net Revenues Adjusted</t>
  </si>
  <si>
    <t>EBITDA Adjusted</t>
  </si>
  <si>
    <t>EBIT</t>
  </si>
  <si>
    <t>EBIT Adjusted</t>
  </si>
  <si>
    <t>Net income Adjusted</t>
  </si>
  <si>
    <t>Effective tax rate (%)</t>
  </si>
  <si>
    <t>Dividends</t>
  </si>
  <si>
    <t>Net debt</t>
  </si>
  <si>
    <t>Shareholder's equity</t>
  </si>
  <si>
    <t>CAPEX</t>
  </si>
  <si>
    <t>Fixed assets</t>
  </si>
  <si>
    <t>Cash&amp;equivalents</t>
  </si>
  <si>
    <t>Current liabilities</t>
  </si>
  <si>
    <t>Short term debt</t>
  </si>
  <si>
    <t>Cury</t>
  </si>
  <si>
    <t>1Yr FWD</t>
  </si>
  <si>
    <t>2030E</t>
  </si>
  <si>
    <t>2025Q1A</t>
  </si>
  <si>
    <t>2025Q2A</t>
  </si>
  <si>
    <t>2025Q3A</t>
  </si>
  <si>
    <t>2025Q4E</t>
  </si>
  <si>
    <t>2026Q1E</t>
  </si>
  <si>
    <t>2026Q2E</t>
  </si>
  <si>
    <t>2026Q3E</t>
  </si>
  <si>
    <t>2026Q4E</t>
  </si>
  <si>
    <t>QoQ (%)</t>
  </si>
  <si>
    <t>YoY (%)</t>
  </si>
  <si>
    <t>Net Sales (100%)</t>
  </si>
  <si>
    <t>(=) Gross profit</t>
  </si>
  <si>
    <t>Adj. gross margin</t>
  </si>
  <si>
    <t>(-) Selling expenses</t>
  </si>
  <si>
    <t>(-) G&amp;A</t>
  </si>
  <si>
    <t>(+) Equity Income</t>
  </si>
  <si>
    <t>Net Sales (at stake)</t>
  </si>
  <si>
    <t>ROE</t>
  </si>
  <si>
    <t>A/E (%)</t>
  </si>
  <si>
    <t>Model Update</t>
  </si>
  <si>
    <t>New</t>
  </si>
  <si>
    <t>Old</t>
  </si>
  <si>
    <t>Δ (%)</t>
  </si>
  <si>
    <t>Adj. P/E (ex-dividends)</t>
  </si>
  <si>
    <t>P/BV</t>
  </si>
  <si>
    <t>Current Price</t>
  </si>
  <si>
    <t xml:space="preserve">Dividend at present value </t>
  </si>
  <si>
    <t>BVPS</t>
  </si>
  <si>
    <t>CURY</t>
  </si>
  <si>
    <t>Annualized ROE</t>
  </si>
  <si>
    <t>Net revenues</t>
  </si>
  <si>
    <t xml:space="preserve">Net income </t>
  </si>
  <si>
    <t>FCF generation (cash burn)</t>
  </si>
  <si>
    <t>1Q26A</t>
  </si>
  <si>
    <t>Receita</t>
  </si>
  <si>
    <t>G&amp;A</t>
  </si>
  <si>
    <t>Mg bruta</t>
  </si>
  <si>
    <t>LL</t>
  </si>
  <si>
    <t>FCF</t>
  </si>
  <si>
    <t>2Q26A</t>
  </si>
  <si>
    <t>2Q25A</t>
  </si>
  <si>
    <t>2Q26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</si>
</sst>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 #,##0.00_-;_-* &quot;-&quot;??_-;_-@_-"/>
    <numFmt numFmtId="164" formatCode="_(* #,##0_);_(* \(#,##0\);_(* &quot;-&quot;_);_(@_)"/>
    <numFmt numFmtId="165" formatCode="_(&quot;$&quot;* #,##0.00_);_(&quot;$&quot;* \(#,##0.00\);_(&quot;$&quot;* &quot;-&quot;??_);_(@_)"/>
    <numFmt numFmtId="166" formatCode="_(* #,##0.00_);_(* \(#,##0.00\);_(* &quot;-&quot;??_);_(@_)"/>
    <numFmt numFmtId="167" formatCode="0.0%"/>
    <numFmt numFmtId="168" formatCode="_(* #,##0_);_(* \(#,##0\);_(* &quot;-&quot;??_);_(@_)"/>
    <numFmt numFmtId="169" formatCode="_(* #,##0.0000_);_(* \(#,##0.0000\);_(* &quot;-&quot;??_);_(@_)"/>
    <numFmt numFmtId="170" formatCode="_(* #,##0.0_);_(* \(#,##0.0\);_(* &quot;-&quot;??_);_(@_)"/>
    <numFmt numFmtId="171" formatCode="#,##0.0"/>
    <numFmt numFmtId="172" formatCode="0.0\x"/>
    <numFmt numFmtId="173" formatCode="0.0_);\(0.0\)"/>
    <numFmt numFmtId="174" formatCode="_(* #,##0.00_);_(* \(#,##0.00\);_(* &quot;-&quot;_);_(@_)"/>
    <numFmt numFmtId="175" formatCode="0.00\x"/>
    <numFmt numFmtId="176" formatCode="_(&quot;R$ &quot;* #,##0.00_);_(&quot;R$ &quot;* \(#,##0.00\);_(&quot;R$ &quot;* &quot;-&quot;??_);_(@_)"/>
    <numFmt numFmtId="177" formatCode="&quot;R$&quot;\ #,##0.0;[Red]\-&quot;R$&quot;\ #,##0.0"/>
    <numFmt numFmtId="178" formatCode="0&quot;bps&quot;"/>
    <numFmt numFmtId="179" formatCode="_(* #,##0.0%_);_(* \(#,##0.0%\);_(* &quot;-&quot;??_);_(@_)"/>
    <numFmt numFmtId="180" formatCode="\R&quot;$&quot;\ 0.00"/>
    <numFmt numFmtId="181" formatCode="0&quot;A&quot;"/>
    <numFmt numFmtId="182" formatCode="0.0&quot;bps&quot;"/>
    <numFmt numFmtId="183" formatCode="0.0&quot;p.p.&quot;"/>
    <numFmt numFmtId="184" formatCode="0.0&quot;x&quot;"/>
    <numFmt numFmtId="185" formatCode="_-* #,##0_-;\-* #,##0_-;_-* &quot;-&quot;??_-;_-@_-"/>
  </numFmts>
  <fonts count="58" x14ac:knownFonts="1">
    <font>
      <sz val="11"/>
      <color theme="1"/>
      <name val="Aptos Narrow"/>
      <family val="2"/>
      <scheme val="minor"/>
    </font>
    <font>
      <sz val="11"/>
      <color theme="1"/>
      <name val="Aptos Narrow"/>
      <family val="2"/>
      <scheme val="minor"/>
    </font>
    <font>
      <b/>
      <sz val="15"/>
      <color theme="3"/>
      <name val="Aptos Narrow"/>
      <family val="2"/>
      <scheme val="minor"/>
    </font>
    <font>
      <sz val="10"/>
      <name val="Arial"/>
      <family val="2"/>
    </font>
    <font>
      <b/>
      <sz val="8"/>
      <color indexed="81"/>
      <name val="Tahoma"/>
      <family val="2"/>
    </font>
    <font>
      <sz val="8"/>
      <color indexed="81"/>
      <name val="Tahoma"/>
      <family val="2"/>
    </font>
    <font>
      <sz val="11"/>
      <color theme="1"/>
      <name val="Arial"/>
      <family val="2"/>
    </font>
    <font>
      <sz val="10"/>
      <color theme="1"/>
      <name val="Aptos Narrow"/>
      <family val="2"/>
      <scheme val="minor"/>
    </font>
    <font>
      <b/>
      <sz val="10"/>
      <color theme="1"/>
      <name val="Arial"/>
      <family val="2"/>
    </font>
    <font>
      <sz val="10"/>
      <color theme="1"/>
      <name val="Arial"/>
      <family val="2"/>
    </font>
    <font>
      <b/>
      <sz val="24"/>
      <name val="Arial"/>
      <family val="2"/>
    </font>
    <font>
      <sz val="8"/>
      <color theme="1"/>
      <name val="Arial"/>
      <family val="2"/>
    </font>
    <font>
      <sz val="8"/>
      <name val="Arial"/>
      <family val="2"/>
    </font>
    <font>
      <b/>
      <sz val="8"/>
      <name val="Arial"/>
      <family val="2"/>
    </font>
    <font>
      <b/>
      <sz val="8"/>
      <color theme="0"/>
      <name val="Arial"/>
      <family val="2"/>
    </font>
    <font>
      <sz val="8"/>
      <color theme="0"/>
      <name val="Arial"/>
      <family val="2"/>
    </font>
    <font>
      <b/>
      <sz val="8"/>
      <color indexed="8"/>
      <name val="Arial"/>
      <family val="2"/>
    </font>
    <font>
      <sz val="8"/>
      <color indexed="8"/>
      <name val="Arial"/>
      <family val="2"/>
    </font>
    <font>
      <sz val="8"/>
      <color indexed="10"/>
      <name val="Arial"/>
      <family val="2"/>
    </font>
    <font>
      <i/>
      <sz val="8"/>
      <color indexed="10"/>
      <name val="Arial"/>
      <family val="2"/>
    </font>
    <font>
      <i/>
      <sz val="8"/>
      <name val="Arial"/>
      <family val="2"/>
    </font>
    <font>
      <sz val="8"/>
      <color rgb="FF384E42"/>
      <name val="Arial"/>
      <family val="2"/>
    </font>
    <font>
      <b/>
      <sz val="8"/>
      <color rgb="FF384E42"/>
      <name val="Arial"/>
      <family val="2"/>
    </font>
    <font>
      <b/>
      <sz val="8"/>
      <color theme="2" tint="-0.89999084444715716"/>
      <name val="Arial"/>
      <family val="2"/>
    </font>
    <font>
      <b/>
      <sz val="11"/>
      <color theme="2" tint="-0.89999084444715716"/>
      <name val="Arial"/>
      <family val="2"/>
    </font>
    <font>
      <b/>
      <sz val="12"/>
      <color theme="2" tint="-0.89999084444715716"/>
      <name val="Arial"/>
      <family val="2"/>
    </font>
    <font>
      <sz val="8"/>
      <color rgb="FFFF0000"/>
      <name val="Arial"/>
      <family val="2"/>
    </font>
    <font>
      <b/>
      <sz val="8"/>
      <name val="Aptos Narrow"/>
      <family val="2"/>
    </font>
    <font>
      <i/>
      <sz val="8"/>
      <color rgb="FFFF0000"/>
      <name val="Arial"/>
      <family val="2"/>
    </font>
    <font>
      <b/>
      <i/>
      <sz val="8"/>
      <name val="Arial"/>
      <family val="2"/>
    </font>
    <font>
      <b/>
      <sz val="8"/>
      <color rgb="FF000000"/>
      <name val="Arial"/>
      <family val="2"/>
    </font>
    <font>
      <sz val="9"/>
      <name val="Arial"/>
      <family val="2"/>
    </font>
    <font>
      <sz val="9"/>
      <color theme="1"/>
      <name val="Arial"/>
      <family val="2"/>
    </font>
    <font>
      <b/>
      <sz val="9"/>
      <color theme="0"/>
      <name val="Arial"/>
      <family val="2"/>
    </font>
    <font>
      <b/>
      <sz val="9"/>
      <name val="Arial"/>
      <family val="2"/>
    </font>
    <font>
      <sz val="9"/>
      <color indexed="8"/>
      <name val="Arial"/>
      <family val="2"/>
    </font>
    <font>
      <b/>
      <i/>
      <sz val="9"/>
      <name val="Arial"/>
      <family val="2"/>
    </font>
    <font>
      <i/>
      <sz val="9"/>
      <name val="Arial"/>
      <family val="2"/>
    </font>
    <font>
      <sz val="9"/>
      <color theme="0"/>
      <name val="Arial"/>
      <family val="2"/>
    </font>
    <font>
      <b/>
      <sz val="8"/>
      <color rgb="FF0070C0"/>
      <name val="Arial"/>
      <family val="2"/>
    </font>
    <font>
      <sz val="8"/>
      <color rgb="FF0070C0"/>
      <name val="Arial"/>
      <family val="2"/>
    </font>
    <font>
      <i/>
      <sz val="8"/>
      <color rgb="FF7030A0"/>
      <name val="Arial"/>
      <family val="2"/>
    </font>
    <font>
      <i/>
      <sz val="8"/>
      <color rgb="FF0070C0"/>
      <name val="Arial"/>
      <family val="2"/>
    </font>
    <font>
      <sz val="8"/>
      <color rgb="FF008000"/>
      <name val="Arial"/>
      <family val="2"/>
    </font>
    <font>
      <b/>
      <sz val="8"/>
      <color rgb="FF008000"/>
      <name val="Arial"/>
      <family val="2"/>
    </font>
    <font>
      <sz val="8"/>
      <color rgb="FF7030A0"/>
      <name val="Arial"/>
      <family val="2"/>
    </font>
    <font>
      <b/>
      <sz val="8"/>
      <color rgb="FFFF0000"/>
      <name val="Arial"/>
      <family val="2"/>
    </font>
    <font>
      <i/>
      <sz val="8"/>
      <color rgb="FF008000"/>
      <name val="Arial"/>
      <family val="2"/>
    </font>
    <font>
      <sz val="11"/>
      <color theme="2"/>
      <name val="Arial"/>
      <family val="2"/>
    </font>
    <font>
      <sz val="11"/>
      <color theme="2"/>
      <name val="Aptos Narrow"/>
      <family val="2"/>
      <scheme val="minor"/>
    </font>
    <font>
      <b/>
      <u/>
      <sz val="10"/>
      <name val="Arial"/>
      <family val="2"/>
    </font>
    <font>
      <u/>
      <sz val="11"/>
      <color theme="1"/>
      <name val="Aptos Narrow"/>
      <family val="2"/>
      <scheme val="minor"/>
    </font>
    <font>
      <sz val="10"/>
      <name val="Arial"/>
      <family val="2"/>
    </font>
    <font>
      <b/>
      <sz val="9"/>
      <color theme="1"/>
      <name val="Arial"/>
      <family val="2"/>
    </font>
    <font>
      <i/>
      <sz val="9"/>
      <color theme="1"/>
      <name val="Arial"/>
      <family val="2"/>
    </font>
    <font>
      <b/>
      <sz val="8"/>
      <color indexed="81"/>
      <name val="Arial"/>
      <family val="2"/>
    </font>
    <font>
      <sz val="8"/>
      <color indexed="81"/>
      <name val="Arial"/>
      <family val="2"/>
    </font>
    <font>
      <b/>
      <u/>
      <sz val="8"/>
      <name val="Arial"/>
      <family val="2"/>
    </font>
  </fonts>
  <fills count="12">
    <fill>
      <patternFill patternType="none"/>
    </fill>
    <fill>
      <patternFill patternType="gray125"/>
    </fill>
    <fill>
      <patternFill patternType="solid">
        <fgColor rgb="FFE7EDEA"/>
        <bgColor indexed="64"/>
      </patternFill>
    </fill>
    <fill>
      <patternFill patternType="solid">
        <fgColor theme="2" tint="-0.89999084444715716"/>
        <bgColor indexed="64"/>
      </patternFill>
    </fill>
    <fill>
      <patternFill patternType="solid">
        <fgColor rgb="FFFFFF99"/>
        <bgColor indexed="64"/>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4.9989318521683403E-2"/>
        <bgColor indexed="64"/>
      </patternFill>
    </fill>
  </fills>
  <borders count="38">
    <border>
      <left/>
      <right/>
      <top/>
      <bottom/>
      <diagonal/>
    </border>
    <border>
      <left/>
      <right/>
      <top/>
      <bottom style="thick">
        <color theme="4"/>
      </bottom>
      <diagonal/>
    </border>
    <border>
      <left style="thin">
        <color indexed="64"/>
      </left>
      <right style="thin">
        <color indexed="64"/>
      </right>
      <top/>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bottom style="dotted">
        <color indexed="64"/>
      </bottom>
      <diagonal/>
    </border>
    <border>
      <left style="thin">
        <color indexed="64"/>
      </left>
      <right style="thin">
        <color indexed="64"/>
      </right>
      <top/>
      <bottom style="dotted">
        <color indexed="64"/>
      </bottom>
      <diagonal/>
    </border>
    <border>
      <left/>
      <right/>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otted">
        <color indexed="64"/>
      </top>
      <bottom/>
      <diagonal/>
    </border>
    <border>
      <left/>
      <right/>
      <top style="thin">
        <color indexed="64"/>
      </top>
      <bottom/>
      <diagonal/>
    </border>
    <border>
      <left style="thin">
        <color indexed="64"/>
      </left>
      <right style="thin">
        <color indexed="64"/>
      </right>
      <top style="thin">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ashed">
        <color indexed="64"/>
      </bottom>
      <diagonal/>
    </border>
    <border>
      <left/>
      <right style="thin">
        <color indexed="64"/>
      </right>
      <top/>
      <bottom style="thin">
        <color indexed="64"/>
      </bottom>
      <diagonal/>
    </border>
    <border>
      <left style="thin">
        <color indexed="64"/>
      </left>
      <right/>
      <top style="double">
        <color indexed="64"/>
      </top>
      <bottom/>
      <diagonal/>
    </border>
    <border>
      <left style="thin">
        <color indexed="64"/>
      </left>
      <right/>
      <top/>
      <bottom style="dashed">
        <color indexed="64"/>
      </bottom>
      <diagonal/>
    </border>
    <border>
      <left style="thin">
        <color indexed="64"/>
      </left>
      <right/>
      <top/>
      <bottom/>
      <diagonal/>
    </border>
    <border>
      <left style="thin">
        <color theme="1"/>
      </left>
      <right style="thin">
        <color theme="1"/>
      </right>
      <top style="thin">
        <color theme="1"/>
      </top>
      <bottom style="thin">
        <color theme="1"/>
      </bottom>
      <diagonal/>
    </border>
    <border>
      <left/>
      <right/>
      <top/>
      <bottom style="medium">
        <color theme="1"/>
      </bottom>
      <diagonal/>
    </border>
    <border>
      <left/>
      <right style="dotted">
        <color indexed="64"/>
      </right>
      <top style="double">
        <color indexed="64"/>
      </top>
      <bottom/>
      <diagonal/>
    </border>
    <border>
      <left/>
      <right style="dotted">
        <color indexed="64"/>
      </right>
      <top/>
      <bottom/>
      <diagonal/>
    </border>
    <border>
      <left/>
      <right style="dotted">
        <color indexed="64"/>
      </right>
      <top/>
      <bottom style="dotted">
        <color indexed="64"/>
      </bottom>
      <diagonal/>
    </border>
    <border>
      <left/>
      <right style="dotted">
        <color indexed="64"/>
      </right>
      <top style="dotted">
        <color indexed="64"/>
      </top>
      <bottom/>
      <diagonal/>
    </border>
    <border>
      <left/>
      <right style="dotted">
        <color indexed="64"/>
      </right>
      <top/>
      <bottom style="thin">
        <color indexed="64"/>
      </bottom>
      <diagonal/>
    </border>
    <border>
      <left style="dotted">
        <color indexed="64"/>
      </left>
      <right/>
      <top style="double">
        <color indexed="64"/>
      </top>
      <bottom/>
      <diagonal/>
    </border>
    <border>
      <left style="dotted">
        <color indexed="64"/>
      </left>
      <right/>
      <top/>
      <bottom/>
      <diagonal/>
    </border>
    <border>
      <left style="dotted">
        <color indexed="64"/>
      </left>
      <right/>
      <top/>
      <bottom style="dotted">
        <color indexed="64"/>
      </bottom>
      <diagonal/>
    </border>
    <border>
      <left style="dotted">
        <color indexed="64"/>
      </left>
      <right/>
      <top/>
      <bottom style="thin">
        <color indexed="64"/>
      </bottom>
      <diagonal/>
    </border>
  </borders>
  <cellStyleXfs count="14">
    <xf numFmtId="0" fontId="0" fillId="0" borderId="0"/>
    <xf numFmtId="16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 fillId="0" borderId="0"/>
    <xf numFmtId="0" fontId="1" fillId="0" borderId="0"/>
    <xf numFmtId="0" fontId="7" fillId="0" borderId="0"/>
    <xf numFmtId="0" fontId="2" fillId="0" borderId="1" applyNumberFormat="0" applyFill="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646">
    <xf numFmtId="0" fontId="0" fillId="0" borderId="0" xfId="0"/>
    <xf numFmtId="0" fontId="6" fillId="0" borderId="0" xfId="8" applyFont="1" applyAlignment="1">
      <alignment vertical="center"/>
    </xf>
    <xf numFmtId="0" fontId="8" fillId="0" borderId="0" xfId="9" applyFont="1"/>
    <xf numFmtId="0" fontId="9" fillId="0" borderId="0" xfId="9" applyFont="1"/>
    <xf numFmtId="177" fontId="10" fillId="0" borderId="0" xfId="8" applyNumberFormat="1" applyFont="1" applyAlignment="1">
      <alignment horizontal="left"/>
    </xf>
    <xf numFmtId="0" fontId="6" fillId="0" borderId="0" xfId="0" applyFont="1"/>
    <xf numFmtId="0" fontId="11" fillId="0" borderId="0" xfId="0" applyFont="1"/>
    <xf numFmtId="0" fontId="12" fillId="0" borderId="0" xfId="0" applyFont="1" applyAlignment="1">
      <alignment vertical="center"/>
    </xf>
    <xf numFmtId="0" fontId="12" fillId="0" borderId="2" xfId="0" applyFont="1" applyBorder="1" applyAlignment="1">
      <alignment vertical="center"/>
    </xf>
    <xf numFmtId="4" fontId="12" fillId="0" borderId="0" xfId="0" applyNumberFormat="1" applyFont="1" applyAlignment="1">
      <alignment vertical="center"/>
    </xf>
    <xf numFmtId="9" fontId="12" fillId="0" borderId="2" xfId="0" applyNumberFormat="1" applyFont="1" applyBorder="1" applyAlignment="1">
      <alignment vertical="center"/>
    </xf>
    <xf numFmtId="0" fontId="13" fillId="0" borderId="0" xfId="0" applyFont="1" applyAlignment="1">
      <alignment vertical="center"/>
    </xf>
    <xf numFmtId="167" fontId="12" fillId="0" borderId="0" xfId="4" applyNumberFormat="1" applyFont="1" applyFill="1" applyBorder="1" applyAlignment="1">
      <alignment vertical="center"/>
    </xf>
    <xf numFmtId="167" fontId="12" fillId="0" borderId="2" xfId="4" applyNumberFormat="1" applyFont="1" applyFill="1" applyBorder="1" applyAlignment="1">
      <alignment vertical="center"/>
    </xf>
    <xf numFmtId="167" fontId="12" fillId="0" borderId="0" xfId="4" applyNumberFormat="1" applyFont="1" applyFill="1" applyAlignment="1">
      <alignment vertical="center"/>
    </xf>
    <xf numFmtId="0" fontId="15" fillId="0" borderId="0" xfId="0" applyFont="1" applyAlignment="1">
      <alignment vertical="center"/>
    </xf>
    <xf numFmtId="0" fontId="13" fillId="0" borderId="0" xfId="0" applyFont="1" applyAlignment="1">
      <alignment horizontal="left" vertical="center"/>
    </xf>
    <xf numFmtId="168" fontId="16" fillId="0" borderId="0" xfId="1" applyNumberFormat="1" applyFont="1" applyFill="1" applyAlignment="1">
      <alignment horizontal="right" vertical="center"/>
    </xf>
    <xf numFmtId="168" fontId="16" fillId="0" borderId="2" xfId="1" applyNumberFormat="1" applyFont="1" applyFill="1" applyBorder="1" applyAlignment="1">
      <alignment horizontal="right" vertical="center"/>
    </xf>
    <xf numFmtId="0" fontId="12" fillId="0" borderId="0" xfId="0" applyFont="1" applyAlignment="1">
      <alignment horizontal="left" vertical="center"/>
    </xf>
    <xf numFmtId="168" fontId="17" fillId="0" borderId="2" xfId="1" applyNumberFormat="1" applyFont="1" applyFill="1" applyBorder="1" applyAlignment="1">
      <alignment horizontal="right" vertical="center"/>
    </xf>
    <xf numFmtId="167" fontId="12" fillId="0" borderId="0" xfId="4" applyNumberFormat="1" applyFont="1" applyFill="1" applyAlignment="1">
      <alignment horizontal="right" vertical="center"/>
    </xf>
    <xf numFmtId="167" fontId="12" fillId="0" borderId="2" xfId="4" applyNumberFormat="1" applyFont="1" applyFill="1" applyBorder="1" applyAlignment="1">
      <alignment horizontal="right" vertical="center"/>
    </xf>
    <xf numFmtId="168" fontId="12" fillId="0" borderId="0" xfId="0" applyNumberFormat="1" applyFont="1" applyAlignment="1">
      <alignment horizontal="right" vertical="center"/>
    </xf>
    <xf numFmtId="167" fontId="20" fillId="0" borderId="2" xfId="4" applyNumberFormat="1" applyFont="1" applyFill="1" applyBorder="1" applyAlignment="1">
      <alignment horizontal="right" vertical="center"/>
    </xf>
    <xf numFmtId="9" fontId="19" fillId="0" borderId="0" xfId="4" applyFont="1" applyFill="1" applyAlignment="1">
      <alignment vertical="center"/>
    </xf>
    <xf numFmtId="9" fontId="19" fillId="0" borderId="0" xfId="4" applyFont="1" applyFill="1" applyBorder="1" applyAlignment="1">
      <alignment vertical="center"/>
    </xf>
    <xf numFmtId="168" fontId="17" fillId="0" borderId="0" xfId="1" applyNumberFormat="1" applyFont="1" applyFill="1" applyAlignment="1">
      <alignment horizontal="right" vertical="center"/>
    </xf>
    <xf numFmtId="168" fontId="12" fillId="0" borderId="2" xfId="1" applyNumberFormat="1" applyFont="1" applyFill="1" applyBorder="1" applyAlignment="1">
      <alignment horizontal="right" vertical="center"/>
    </xf>
    <xf numFmtId="0" fontId="20" fillId="0" borderId="0" xfId="0" applyFont="1" applyAlignment="1">
      <alignment horizontal="left" vertical="center"/>
    </xf>
    <xf numFmtId="0" fontId="20" fillId="0" borderId="0" xfId="0" applyFont="1" applyAlignment="1">
      <alignment vertical="center"/>
    </xf>
    <xf numFmtId="0" fontId="13" fillId="0" borderId="5" xfId="0" applyFont="1" applyBorder="1" applyAlignment="1">
      <alignment horizontal="left" vertical="center"/>
    </xf>
    <xf numFmtId="9" fontId="12" fillId="0" borderId="0" xfId="4" applyFont="1" applyFill="1" applyAlignment="1">
      <alignment vertical="center"/>
    </xf>
    <xf numFmtId="166" fontId="12" fillId="0" borderId="0" xfId="1" applyFont="1" applyFill="1" applyAlignment="1">
      <alignment vertical="center"/>
    </xf>
    <xf numFmtId="0" fontId="14" fillId="3" borderId="3" xfId="0" applyFont="1" applyFill="1" applyBorder="1" applyAlignment="1">
      <alignment horizontal="left" vertical="center"/>
    </xf>
    <xf numFmtId="166" fontId="14" fillId="3" borderId="3" xfId="1" applyFont="1" applyFill="1" applyBorder="1" applyAlignment="1">
      <alignment horizontal="right" vertical="center"/>
    </xf>
    <xf numFmtId="166" fontId="14" fillId="3" borderId="4" xfId="1" applyFont="1" applyFill="1" applyBorder="1" applyAlignment="1">
      <alignment horizontal="right" vertical="center"/>
    </xf>
    <xf numFmtId="168" fontId="13" fillId="0" borderId="0" xfId="1" applyNumberFormat="1" applyFont="1" applyFill="1" applyAlignment="1">
      <alignment horizontal="right" vertical="center"/>
    </xf>
    <xf numFmtId="168" fontId="13" fillId="0" borderId="2" xfId="1" applyNumberFormat="1" applyFont="1" applyFill="1" applyBorder="1" applyAlignment="1">
      <alignment horizontal="right" vertical="center"/>
    </xf>
    <xf numFmtId="167" fontId="12" fillId="0" borderId="6" xfId="4" applyNumberFormat="1" applyFont="1" applyFill="1" applyBorder="1" applyAlignment="1">
      <alignment vertical="center"/>
    </xf>
    <xf numFmtId="169" fontId="16" fillId="0" borderId="0" xfId="1" applyNumberFormat="1" applyFont="1" applyFill="1" applyAlignment="1">
      <alignment horizontal="right" vertical="center"/>
    </xf>
    <xf numFmtId="169" fontId="16" fillId="0" borderId="2" xfId="1" applyNumberFormat="1" applyFont="1" applyFill="1" applyBorder="1" applyAlignment="1">
      <alignment horizontal="right" vertical="center"/>
    </xf>
    <xf numFmtId="1" fontId="14" fillId="3" borderId="4" xfId="0" applyNumberFormat="1" applyFont="1" applyFill="1" applyBorder="1" applyAlignment="1">
      <alignment horizontal="right" vertical="center"/>
    </xf>
    <xf numFmtId="166" fontId="14" fillId="3" borderId="3" xfId="0" applyNumberFormat="1" applyFont="1" applyFill="1" applyBorder="1" applyAlignment="1">
      <alignment horizontal="right" vertical="center"/>
    </xf>
    <xf numFmtId="1" fontId="14" fillId="3" borderId="3" xfId="0" applyNumberFormat="1" applyFont="1" applyFill="1" applyBorder="1" applyAlignment="1">
      <alignment horizontal="right" vertical="center"/>
    </xf>
    <xf numFmtId="167" fontId="12" fillId="0" borderId="0" xfId="4" applyNumberFormat="1" applyFont="1" applyFill="1" applyBorder="1" applyAlignment="1">
      <alignment horizontal="right" vertical="center"/>
    </xf>
    <xf numFmtId="168" fontId="13" fillId="0" borderId="0" xfId="0" applyNumberFormat="1" applyFont="1" applyAlignment="1">
      <alignment horizontal="right" vertical="center"/>
    </xf>
    <xf numFmtId="168" fontId="13" fillId="0" borderId="5" xfId="0" applyNumberFormat="1" applyFont="1" applyBorder="1" applyAlignment="1">
      <alignment horizontal="right" vertical="center"/>
    </xf>
    <xf numFmtId="168" fontId="13" fillId="0" borderId="6" xfId="0" applyNumberFormat="1" applyFont="1" applyBorder="1" applyAlignment="1">
      <alignment horizontal="right" vertical="center"/>
    </xf>
    <xf numFmtId="9" fontId="12" fillId="0" borderId="0" xfId="4" applyFont="1" applyFill="1" applyAlignment="1">
      <alignment horizontal="right" vertical="center"/>
    </xf>
    <xf numFmtId="9" fontId="12" fillId="0" borderId="0" xfId="4" applyFont="1" applyFill="1" applyBorder="1" applyAlignment="1">
      <alignment horizontal="right" vertical="center"/>
    </xf>
    <xf numFmtId="9" fontId="12" fillId="0" borderId="2" xfId="4" applyFont="1" applyFill="1" applyBorder="1" applyAlignment="1">
      <alignment horizontal="right" vertical="center"/>
    </xf>
    <xf numFmtId="0" fontId="12" fillId="0" borderId="0" xfId="0" applyFont="1" applyAlignment="1">
      <alignment horizontal="right" vertical="center"/>
    </xf>
    <xf numFmtId="0" fontId="12" fillId="0" borderId="2" xfId="0" applyFont="1" applyBorder="1" applyAlignment="1">
      <alignment horizontal="right" vertical="center"/>
    </xf>
    <xf numFmtId="168" fontId="13" fillId="0" borderId="2" xfId="0" applyNumberFormat="1" applyFont="1" applyBorder="1" applyAlignment="1">
      <alignment horizontal="right" vertical="center"/>
    </xf>
    <xf numFmtId="168" fontId="12" fillId="0" borderId="2" xfId="0" applyNumberFormat="1" applyFont="1" applyBorder="1" applyAlignment="1">
      <alignment horizontal="right" vertical="center"/>
    </xf>
    <xf numFmtId="0" fontId="13" fillId="0" borderId="0" xfId="0" applyFont="1" applyAlignment="1">
      <alignment horizontal="right" vertical="center"/>
    </xf>
    <xf numFmtId="167" fontId="13" fillId="0" borderId="2" xfId="4" applyNumberFormat="1" applyFont="1" applyFill="1" applyBorder="1" applyAlignment="1">
      <alignment horizontal="right" vertical="center"/>
    </xf>
    <xf numFmtId="167" fontId="13" fillId="0" borderId="0" xfId="4" applyNumberFormat="1" applyFont="1" applyFill="1" applyAlignment="1">
      <alignment horizontal="right" vertical="center"/>
    </xf>
    <xf numFmtId="166" fontId="12" fillId="0" borderId="0" xfId="0" applyNumberFormat="1" applyFont="1" applyAlignment="1">
      <alignment horizontal="right" vertical="center"/>
    </xf>
    <xf numFmtId="0" fontId="22" fillId="0" borderId="0" xfId="0" applyFont="1" applyAlignment="1">
      <alignment vertical="center"/>
    </xf>
    <xf numFmtId="0" fontId="21" fillId="0" borderId="0" xfId="0" applyFont="1" applyAlignment="1">
      <alignment vertical="center"/>
    </xf>
    <xf numFmtId="0" fontId="23" fillId="0" borderId="0" xfId="0" applyFont="1" applyAlignment="1">
      <alignment vertical="center"/>
    </xf>
    <xf numFmtId="168" fontId="12" fillId="0" borderId="0" xfId="0" applyNumberFormat="1" applyFont="1" applyAlignment="1">
      <alignment vertical="center"/>
    </xf>
    <xf numFmtId="166" fontId="12" fillId="0" borderId="0" xfId="1" applyFont="1" applyAlignment="1">
      <alignment vertical="center"/>
    </xf>
    <xf numFmtId="168" fontId="12" fillId="0" borderId="0" xfId="1" applyNumberFormat="1" applyFont="1" applyFill="1" applyBorder="1" applyAlignment="1">
      <alignment vertical="center"/>
    </xf>
    <xf numFmtId="168" fontId="20" fillId="0" borderId="0" xfId="1" applyNumberFormat="1" applyFont="1" applyFill="1" applyBorder="1" applyAlignment="1">
      <alignment horizontal="right" vertical="center"/>
    </xf>
    <xf numFmtId="0" fontId="13" fillId="0" borderId="7" xfId="0" applyFont="1" applyBorder="1" applyAlignment="1">
      <alignment horizontal="left" vertical="center"/>
    </xf>
    <xf numFmtId="168" fontId="12" fillId="0" borderId="0" xfId="1" applyNumberFormat="1" applyFont="1" applyFill="1" applyBorder="1" applyAlignment="1">
      <alignment horizontal="right" vertical="center"/>
    </xf>
    <xf numFmtId="168" fontId="20" fillId="0" borderId="2" xfId="1" applyNumberFormat="1" applyFont="1" applyFill="1" applyBorder="1" applyAlignment="1">
      <alignment horizontal="right" vertical="center"/>
    </xf>
    <xf numFmtId="0" fontId="12" fillId="0" borderId="5" xfId="0" applyFont="1" applyBorder="1" applyAlignment="1">
      <alignment horizontal="left" vertical="center"/>
    </xf>
    <xf numFmtId="168" fontId="12" fillId="0" borderId="6" xfId="1" applyNumberFormat="1" applyFont="1" applyFill="1" applyBorder="1" applyAlignment="1">
      <alignment horizontal="right" vertical="center"/>
    </xf>
    <xf numFmtId="168" fontId="12" fillId="0" borderId="0" xfId="1" applyNumberFormat="1" applyFont="1" applyFill="1" applyBorder="1" applyAlignment="1">
      <alignment horizontal="right" vertical="center" wrapText="1"/>
    </xf>
    <xf numFmtId="9" fontId="12" fillId="0" borderId="0" xfId="0" applyNumberFormat="1" applyFont="1" applyAlignment="1">
      <alignment vertical="center"/>
    </xf>
    <xf numFmtId="0" fontId="13" fillId="0" borderId="5" xfId="0" applyFont="1" applyBorder="1" applyAlignment="1">
      <alignment vertical="center"/>
    </xf>
    <xf numFmtId="0" fontId="12" fillId="0" borderId="5" xfId="0" applyFont="1" applyBorder="1" applyAlignment="1">
      <alignment vertical="center"/>
    </xf>
    <xf numFmtId="167" fontId="12" fillId="0" borderId="2" xfId="4" applyNumberFormat="1" applyFont="1" applyBorder="1" applyAlignment="1">
      <alignment vertical="center"/>
    </xf>
    <xf numFmtId="3" fontId="12" fillId="0" borderId="0" xfId="0" applyNumberFormat="1" applyFont="1" applyAlignment="1">
      <alignment vertical="center"/>
    </xf>
    <xf numFmtId="170" fontId="12" fillId="0" borderId="2" xfId="0" applyNumberFormat="1" applyFont="1" applyBorder="1" applyAlignment="1">
      <alignment horizontal="right" vertical="center"/>
    </xf>
    <xf numFmtId="9" fontId="12" fillId="0" borderId="2" xfId="4" applyFont="1" applyBorder="1" applyAlignment="1">
      <alignment horizontal="right" vertical="center"/>
    </xf>
    <xf numFmtId="0" fontId="15" fillId="0" borderId="0" xfId="0" applyFont="1" applyAlignment="1">
      <alignment horizontal="right" vertical="center"/>
    </xf>
    <xf numFmtId="168" fontId="13" fillId="0" borderId="5" xfId="1" applyNumberFormat="1" applyFont="1" applyFill="1" applyBorder="1" applyAlignment="1">
      <alignment horizontal="right" vertical="center"/>
    </xf>
    <xf numFmtId="168" fontId="13" fillId="0" borderId="6" xfId="1" applyNumberFormat="1" applyFont="1" applyFill="1" applyBorder="1" applyAlignment="1">
      <alignment horizontal="right" vertical="center"/>
    </xf>
    <xf numFmtId="168" fontId="13" fillId="0" borderId="7" xfId="1" applyNumberFormat="1" applyFont="1" applyFill="1" applyBorder="1" applyAlignment="1">
      <alignment horizontal="right" vertical="center"/>
    </xf>
    <xf numFmtId="168" fontId="13" fillId="0" borderId="8" xfId="1" applyNumberFormat="1" applyFont="1" applyFill="1" applyBorder="1" applyAlignment="1">
      <alignment horizontal="right" vertical="center"/>
    </xf>
    <xf numFmtId="168" fontId="12" fillId="0" borderId="0" xfId="1" applyNumberFormat="1" applyFont="1" applyFill="1" applyAlignment="1">
      <alignment horizontal="right" vertical="center"/>
    </xf>
    <xf numFmtId="0" fontId="20" fillId="0" borderId="0" xfId="0" applyFont="1" applyAlignment="1">
      <alignment horizontal="right" vertical="center"/>
    </xf>
    <xf numFmtId="168" fontId="20" fillId="0" borderId="0" xfId="1" applyNumberFormat="1" applyFont="1" applyFill="1" applyAlignment="1">
      <alignment horizontal="right" vertical="center"/>
    </xf>
    <xf numFmtId="168" fontId="12" fillId="0" borderId="5" xfId="1" applyNumberFormat="1" applyFont="1" applyFill="1" applyBorder="1" applyAlignment="1">
      <alignment horizontal="right" vertical="center"/>
    </xf>
    <xf numFmtId="0" fontId="18" fillId="0" borderId="0" xfId="0" applyFont="1" applyAlignment="1">
      <alignment horizontal="right" vertical="center"/>
    </xf>
    <xf numFmtId="164" fontId="13" fillId="0" borderId="0" xfId="2" applyFont="1" applyFill="1" applyAlignment="1">
      <alignment horizontal="right" vertical="center"/>
    </xf>
    <xf numFmtId="164" fontId="13" fillId="0" borderId="2" xfId="2" applyFont="1" applyFill="1" applyBorder="1" applyAlignment="1">
      <alignment horizontal="right" vertical="center"/>
    </xf>
    <xf numFmtId="164" fontId="12" fillId="0" borderId="0" xfId="2" applyFont="1" applyFill="1" applyAlignment="1">
      <alignment horizontal="right" vertical="center"/>
    </xf>
    <xf numFmtId="164" fontId="12" fillId="0" borderId="2" xfId="2" applyFont="1" applyFill="1" applyBorder="1" applyAlignment="1">
      <alignment horizontal="right" vertical="center"/>
    </xf>
    <xf numFmtId="164" fontId="13" fillId="0" borderId="0" xfId="0" applyNumberFormat="1" applyFont="1" applyAlignment="1">
      <alignment horizontal="right" vertical="center"/>
    </xf>
    <xf numFmtId="164" fontId="13" fillId="0" borderId="2" xfId="0" applyNumberFormat="1" applyFont="1" applyBorder="1" applyAlignment="1">
      <alignment horizontal="right" vertical="center"/>
    </xf>
    <xf numFmtId="167" fontId="13" fillId="0" borderId="5" xfId="4" applyNumberFormat="1" applyFont="1" applyFill="1" applyBorder="1" applyAlignment="1">
      <alignment horizontal="right" vertical="center"/>
    </xf>
    <xf numFmtId="167" fontId="13" fillId="0" borderId="6" xfId="4" applyNumberFormat="1" applyFont="1" applyFill="1" applyBorder="1" applyAlignment="1">
      <alignment horizontal="right" vertical="center"/>
    </xf>
    <xf numFmtId="168" fontId="12" fillId="0" borderId="5" xfId="0" applyNumberFormat="1" applyFont="1" applyBorder="1" applyAlignment="1">
      <alignment horizontal="right" vertical="center"/>
    </xf>
    <xf numFmtId="167" fontId="12" fillId="0" borderId="5" xfId="4" applyNumberFormat="1" applyFont="1" applyFill="1" applyBorder="1" applyAlignment="1">
      <alignment horizontal="right" vertical="center"/>
    </xf>
    <xf numFmtId="167" fontId="12" fillId="0" borderId="6" xfId="4" applyNumberFormat="1" applyFont="1" applyFill="1" applyBorder="1" applyAlignment="1">
      <alignment horizontal="right" vertical="center"/>
    </xf>
    <xf numFmtId="167" fontId="12" fillId="0" borderId="2" xfId="4" applyNumberFormat="1" applyFont="1" applyBorder="1" applyAlignment="1">
      <alignment horizontal="right" vertical="center"/>
    </xf>
    <xf numFmtId="168" fontId="12" fillId="0" borderId="6" xfId="0" applyNumberFormat="1" applyFont="1" applyBorder="1" applyAlignment="1">
      <alignment horizontal="right" vertical="center"/>
    </xf>
    <xf numFmtId="0" fontId="25" fillId="0" borderId="0" xfId="8" applyFont="1" applyAlignment="1">
      <alignment horizontal="left"/>
    </xf>
    <xf numFmtId="0" fontId="24" fillId="0" borderId="9" xfId="10" applyFont="1" applyBorder="1" applyAlignment="1">
      <alignment vertical="center"/>
    </xf>
    <xf numFmtId="0" fontId="6" fillId="0" borderId="9" xfId="8" applyFont="1" applyBorder="1" applyAlignment="1">
      <alignment vertical="center"/>
    </xf>
    <xf numFmtId="169" fontId="16" fillId="0" borderId="5" xfId="1" applyNumberFormat="1" applyFont="1" applyFill="1" applyBorder="1" applyAlignment="1">
      <alignment horizontal="right" vertical="center"/>
    </xf>
    <xf numFmtId="169" fontId="16" fillId="0" borderId="6" xfId="1" applyNumberFormat="1" applyFont="1" applyFill="1" applyBorder="1" applyAlignment="1">
      <alignment horizontal="right" vertical="center"/>
    </xf>
    <xf numFmtId="167" fontId="12" fillId="4" borderId="5" xfId="4" applyNumberFormat="1" applyFont="1" applyFill="1" applyBorder="1" applyAlignment="1">
      <alignment horizontal="right" vertical="center"/>
    </xf>
    <xf numFmtId="167" fontId="12" fillId="0" borderId="0" xfId="4" applyNumberFormat="1" applyFont="1" applyBorder="1" applyAlignment="1">
      <alignment horizontal="right" vertical="center"/>
    </xf>
    <xf numFmtId="167" fontId="12" fillId="0" borderId="0" xfId="4" applyNumberFormat="1" applyFont="1" applyAlignment="1">
      <alignment vertical="center"/>
    </xf>
    <xf numFmtId="9" fontId="12" fillId="0" borderId="0" xfId="4" applyFont="1" applyAlignment="1">
      <alignment vertical="center"/>
    </xf>
    <xf numFmtId="168" fontId="12" fillId="0" borderId="0" xfId="1" applyNumberFormat="1" applyFont="1" applyAlignment="1">
      <alignment vertical="center"/>
    </xf>
    <xf numFmtId="9" fontId="12" fillId="0" borderId="0" xfId="1" applyNumberFormat="1" applyFont="1" applyAlignment="1">
      <alignment vertical="center"/>
    </xf>
    <xf numFmtId="9" fontId="12" fillId="0" borderId="0" xfId="1" applyNumberFormat="1" applyFont="1" applyFill="1" applyBorder="1" applyAlignment="1">
      <alignment vertical="center"/>
    </xf>
    <xf numFmtId="168" fontId="13" fillId="0" borderId="0" xfId="1" applyNumberFormat="1" applyFont="1" applyFill="1" applyBorder="1" applyAlignment="1">
      <alignment horizontal="right" vertical="center"/>
    </xf>
    <xf numFmtId="168" fontId="13" fillId="0" borderId="5" xfId="1" applyNumberFormat="1" applyFont="1" applyBorder="1" applyAlignment="1">
      <alignment horizontal="right" vertical="center"/>
    </xf>
    <xf numFmtId="168" fontId="13" fillId="0" borderId="6" xfId="1" applyNumberFormat="1" applyFont="1" applyBorder="1" applyAlignment="1">
      <alignment horizontal="right" vertical="center"/>
    </xf>
    <xf numFmtId="168" fontId="12" fillId="0" borderId="0" xfId="1" applyNumberFormat="1" applyFont="1" applyBorder="1" applyAlignment="1">
      <alignment horizontal="right" vertical="center"/>
    </xf>
    <xf numFmtId="0" fontId="14" fillId="3" borderId="10" xfId="0" applyFont="1" applyFill="1" applyBorder="1" applyAlignment="1">
      <alignment horizontal="left" vertical="center"/>
    </xf>
    <xf numFmtId="166" fontId="14" fillId="3" borderId="10" xfId="1" applyFont="1" applyFill="1" applyBorder="1" applyAlignment="1">
      <alignment horizontal="right" vertical="center"/>
    </xf>
    <xf numFmtId="166" fontId="14" fillId="3" borderId="11" xfId="1" applyFont="1" applyFill="1" applyBorder="1" applyAlignment="1">
      <alignment horizontal="right" vertical="center"/>
    </xf>
    <xf numFmtId="0" fontId="12" fillId="5" borderId="0" xfId="0" applyFont="1" applyFill="1" applyAlignment="1">
      <alignment vertical="center"/>
    </xf>
    <xf numFmtId="167" fontId="12" fillId="0" borderId="0" xfId="0" applyNumberFormat="1" applyFont="1" applyAlignment="1">
      <alignment vertical="center"/>
    </xf>
    <xf numFmtId="166" fontId="14" fillId="3" borderId="10" xfId="0" applyNumberFormat="1" applyFont="1" applyFill="1" applyBorder="1" applyAlignment="1">
      <alignment horizontal="right" vertical="center"/>
    </xf>
    <xf numFmtId="1" fontId="14" fillId="3" borderId="10" xfId="0" applyNumberFormat="1" applyFont="1" applyFill="1" applyBorder="1" applyAlignment="1">
      <alignment horizontal="right" vertical="center"/>
    </xf>
    <xf numFmtId="1" fontId="14" fillId="3" borderId="11" xfId="0" applyNumberFormat="1" applyFont="1" applyFill="1" applyBorder="1" applyAlignment="1">
      <alignment horizontal="right" vertical="center"/>
    </xf>
    <xf numFmtId="0" fontId="13" fillId="5" borderId="0" xfId="0" applyFont="1" applyFill="1" applyAlignment="1">
      <alignment horizontal="left" vertical="center"/>
    </xf>
    <xf numFmtId="168" fontId="13" fillId="5" borderId="0" xfId="0" applyNumberFormat="1" applyFont="1" applyFill="1" applyAlignment="1">
      <alignment horizontal="right" vertical="center"/>
    </xf>
    <xf numFmtId="168" fontId="13" fillId="5" borderId="2" xfId="0" applyNumberFormat="1" applyFont="1" applyFill="1" applyBorder="1" applyAlignment="1">
      <alignment horizontal="right" vertical="center"/>
    </xf>
    <xf numFmtId="167" fontId="13" fillId="5" borderId="0" xfId="4" applyNumberFormat="1" applyFont="1" applyFill="1" applyAlignment="1">
      <alignment horizontal="right" vertical="center"/>
    </xf>
    <xf numFmtId="167" fontId="13" fillId="5" borderId="2" xfId="4" applyNumberFormat="1" applyFont="1" applyFill="1" applyBorder="1" applyAlignment="1">
      <alignment horizontal="right" vertical="center"/>
    </xf>
    <xf numFmtId="168" fontId="12" fillId="0" borderId="0" xfId="4" applyNumberFormat="1" applyFont="1" applyFill="1" applyBorder="1" applyAlignment="1">
      <alignment horizontal="right" vertical="center"/>
    </xf>
    <xf numFmtId="164" fontId="12" fillId="0" borderId="6" xfId="2" applyFont="1" applyFill="1" applyBorder="1" applyAlignment="1">
      <alignment horizontal="right" vertical="center"/>
    </xf>
    <xf numFmtId="167" fontId="12" fillId="0" borderId="0" xfId="4" applyNumberFormat="1" applyFont="1" applyAlignment="1">
      <alignment horizontal="right" vertical="center"/>
    </xf>
    <xf numFmtId="9" fontId="12" fillId="0" borderId="0" xfId="0" applyNumberFormat="1" applyFont="1" applyAlignment="1">
      <alignment horizontal="right" vertical="center"/>
    </xf>
    <xf numFmtId="167" fontId="12" fillId="0" borderId="0" xfId="0" applyNumberFormat="1" applyFont="1" applyAlignment="1">
      <alignment horizontal="right" vertical="center"/>
    </xf>
    <xf numFmtId="9" fontId="26" fillId="0" borderId="0" xfId="0" applyNumberFormat="1" applyFont="1" applyAlignment="1">
      <alignment horizontal="right" vertical="center"/>
    </xf>
    <xf numFmtId="171" fontId="12" fillId="0" borderId="0" xfId="0" applyNumberFormat="1" applyFont="1" applyAlignment="1">
      <alignment horizontal="right" vertical="center"/>
    </xf>
    <xf numFmtId="3" fontId="12" fillId="0" borderId="0" xfId="0" applyNumberFormat="1" applyFont="1" applyAlignment="1">
      <alignment horizontal="right" vertical="center"/>
    </xf>
    <xf numFmtId="164" fontId="20" fillId="0" borderId="0" xfId="2" applyFont="1" applyFill="1" applyAlignment="1">
      <alignment horizontal="right" vertical="center"/>
    </xf>
    <xf numFmtId="4" fontId="12" fillId="0" borderId="0" xfId="4" applyNumberFormat="1" applyFont="1" applyAlignment="1">
      <alignment horizontal="right" vertical="center"/>
    </xf>
    <xf numFmtId="168" fontId="12" fillId="0" borderId="0" xfId="1" applyNumberFormat="1" applyFont="1" applyAlignment="1">
      <alignment horizontal="right" vertical="center"/>
    </xf>
    <xf numFmtId="167" fontId="12" fillId="0" borderId="5" xfId="4" applyNumberFormat="1" applyFont="1" applyBorder="1" applyAlignment="1">
      <alignment horizontal="right" vertical="center"/>
    </xf>
    <xf numFmtId="170" fontId="12" fillId="0" borderId="5" xfId="0" applyNumberFormat="1" applyFont="1" applyBorder="1" applyAlignment="1">
      <alignment horizontal="right" vertical="center"/>
    </xf>
    <xf numFmtId="170" fontId="12" fillId="0" borderId="6" xfId="0" applyNumberFormat="1" applyFont="1" applyBorder="1" applyAlignment="1">
      <alignment horizontal="right" vertical="center"/>
    </xf>
    <xf numFmtId="0" fontId="12" fillId="5" borderId="0" xfId="0" applyFont="1" applyFill="1" applyAlignment="1">
      <alignment horizontal="left" vertical="center"/>
    </xf>
    <xf numFmtId="168" fontId="16" fillId="0" borderId="0" xfId="1" applyNumberFormat="1" applyFont="1" applyFill="1" applyBorder="1" applyAlignment="1">
      <alignment horizontal="right" vertical="center"/>
    </xf>
    <xf numFmtId="168" fontId="17" fillId="0" borderId="0" xfId="1" applyNumberFormat="1" applyFont="1" applyFill="1" applyBorder="1" applyAlignment="1">
      <alignment horizontal="right" vertical="center"/>
    </xf>
    <xf numFmtId="0" fontId="12" fillId="0" borderId="0" xfId="0" applyFont="1" applyAlignment="1">
      <alignment horizontal="left" vertical="center" indent="1"/>
    </xf>
    <xf numFmtId="0" fontId="20" fillId="0" borderId="0" xfId="0" applyFont="1" applyAlignment="1">
      <alignment horizontal="left" vertical="center" indent="1"/>
    </xf>
    <xf numFmtId="9" fontId="12" fillId="0" borderId="12" xfId="4" applyFont="1" applyFill="1" applyBorder="1" applyAlignment="1">
      <alignment vertical="center"/>
    </xf>
    <xf numFmtId="9" fontId="12" fillId="0" borderId="12" xfId="4" applyFont="1" applyFill="1" applyBorder="1" applyAlignment="1">
      <alignment horizontal="right" vertical="center"/>
    </xf>
    <xf numFmtId="9" fontId="12" fillId="0" borderId="13" xfId="4" applyFont="1" applyFill="1" applyBorder="1" applyAlignment="1">
      <alignment horizontal="right" vertical="center"/>
    </xf>
    <xf numFmtId="167" fontId="20" fillId="0" borderId="0" xfId="4" applyNumberFormat="1" applyFont="1" applyFill="1" applyBorder="1" applyAlignment="1">
      <alignment horizontal="right" vertical="center"/>
    </xf>
    <xf numFmtId="9" fontId="20" fillId="0" borderId="0" xfId="4" applyFont="1" applyFill="1" applyBorder="1" applyAlignment="1">
      <alignment horizontal="left" vertical="center" indent="1"/>
    </xf>
    <xf numFmtId="9" fontId="20" fillId="0" borderId="0" xfId="4" applyFont="1" applyFill="1" applyBorder="1" applyAlignment="1">
      <alignment horizontal="left" vertical="center" indent="2"/>
    </xf>
    <xf numFmtId="0" fontId="13" fillId="0" borderId="14" xfId="0" applyFont="1" applyBorder="1" applyAlignment="1">
      <alignment horizontal="left" vertical="center"/>
    </xf>
    <xf numFmtId="168" fontId="16" fillId="0" borderId="14" xfId="1" applyNumberFormat="1" applyFont="1" applyFill="1" applyBorder="1" applyAlignment="1">
      <alignment horizontal="right" vertical="center"/>
    </xf>
    <xf numFmtId="168" fontId="16" fillId="0" borderId="15" xfId="1" applyNumberFormat="1" applyFont="1" applyFill="1" applyBorder="1" applyAlignment="1">
      <alignment horizontal="right" vertical="center"/>
    </xf>
    <xf numFmtId="0" fontId="12" fillId="0" borderId="14" xfId="0" applyFont="1" applyBorder="1" applyAlignment="1">
      <alignment horizontal="left" vertical="center"/>
    </xf>
    <xf numFmtId="168" fontId="17" fillId="0" borderId="15" xfId="1" applyNumberFormat="1" applyFont="1" applyFill="1" applyBorder="1" applyAlignment="1">
      <alignment horizontal="right" vertical="center"/>
    </xf>
    <xf numFmtId="168" fontId="12" fillId="0" borderId="16" xfId="0" applyNumberFormat="1" applyFont="1" applyBorder="1" applyAlignment="1">
      <alignment vertical="center"/>
    </xf>
    <xf numFmtId="168" fontId="13" fillId="0" borderId="2" xfId="0" applyNumberFormat="1" applyFont="1" applyBorder="1" applyAlignment="1">
      <alignment vertical="center"/>
    </xf>
    <xf numFmtId="167" fontId="12" fillId="0" borderId="0" xfId="0" applyNumberFormat="1" applyFont="1" applyAlignment="1">
      <alignment horizontal="left" vertical="center"/>
    </xf>
    <xf numFmtId="167" fontId="12" fillId="0" borderId="0" xfId="1" applyNumberFormat="1" applyFont="1" applyFill="1" applyBorder="1" applyAlignment="1">
      <alignment horizontal="right" vertical="center"/>
    </xf>
    <xf numFmtId="167" fontId="12" fillId="0" borderId="2" xfId="1" applyNumberFormat="1" applyFont="1" applyFill="1" applyBorder="1" applyAlignment="1">
      <alignment horizontal="right" vertical="center"/>
    </xf>
    <xf numFmtId="0" fontId="13" fillId="0" borderId="17" xfId="0" applyFont="1" applyBorder="1" applyAlignment="1">
      <alignment vertical="center"/>
    </xf>
    <xf numFmtId="168" fontId="13" fillId="0" borderId="17" xfId="1" applyNumberFormat="1" applyFont="1" applyBorder="1" applyAlignment="1">
      <alignment horizontal="right" vertical="center"/>
    </xf>
    <xf numFmtId="168" fontId="13" fillId="0" borderId="18" xfId="1" applyNumberFormat="1" applyFont="1" applyBorder="1" applyAlignment="1">
      <alignment horizontal="right" vertical="center"/>
    </xf>
    <xf numFmtId="4" fontId="13" fillId="5" borderId="0" xfId="1" applyNumberFormat="1" applyFont="1" applyFill="1" applyAlignment="1">
      <alignment vertical="center"/>
    </xf>
    <xf numFmtId="4" fontId="12" fillId="0" borderId="0" xfId="1" applyNumberFormat="1" applyFont="1" applyFill="1" applyAlignment="1">
      <alignment vertical="center"/>
    </xf>
    <xf numFmtId="4" fontId="13" fillId="0" borderId="5" xfId="1" applyNumberFormat="1" applyFont="1" applyFill="1" applyBorder="1" applyAlignment="1">
      <alignment vertical="center"/>
    </xf>
    <xf numFmtId="4" fontId="13" fillId="0" borderId="0" xfId="1" applyNumberFormat="1" applyFont="1" applyFill="1" applyAlignment="1">
      <alignment horizontal="left" vertical="center"/>
    </xf>
    <xf numFmtId="4" fontId="12" fillId="0" borderId="0" xfId="1" applyNumberFormat="1" applyFont="1" applyFill="1" applyAlignment="1">
      <alignment horizontal="left" vertical="center" indent="2"/>
    </xf>
    <xf numFmtId="4" fontId="13" fillId="0" borderId="0" xfId="1" applyNumberFormat="1" applyFont="1" applyFill="1" applyAlignment="1">
      <alignment vertical="center"/>
    </xf>
    <xf numFmtId="4" fontId="12" fillId="0" borderId="0" xfId="1" applyNumberFormat="1" applyFont="1" applyFill="1" applyAlignment="1">
      <alignment horizontal="left" vertical="center" indent="1"/>
    </xf>
    <xf numFmtId="4" fontId="12" fillId="0" borderId="0" xfId="1" applyNumberFormat="1" applyFont="1" applyFill="1" applyBorder="1" applyAlignment="1">
      <alignment horizontal="left" vertical="center" indent="1"/>
    </xf>
    <xf numFmtId="4" fontId="12" fillId="5" borderId="0" xfId="1" applyNumberFormat="1" applyFont="1" applyFill="1" applyAlignment="1">
      <alignment horizontal="left" vertical="center" indent="1"/>
    </xf>
    <xf numFmtId="0" fontId="12" fillId="0" borderId="8" xfId="0" applyFont="1" applyBorder="1" applyAlignment="1">
      <alignment vertical="center"/>
    </xf>
    <xf numFmtId="167" fontId="28" fillId="0" borderId="0" xfId="4" applyNumberFormat="1" applyFont="1" applyFill="1" applyAlignment="1">
      <alignment horizontal="right" vertical="center"/>
    </xf>
    <xf numFmtId="167" fontId="28" fillId="0" borderId="0" xfId="4" applyNumberFormat="1" applyFont="1" applyFill="1" applyBorder="1" applyAlignment="1">
      <alignment horizontal="right" vertical="center"/>
    </xf>
    <xf numFmtId="18" fontId="12" fillId="0" borderId="0" xfId="0" applyNumberFormat="1" applyFont="1" applyAlignment="1">
      <alignment horizontal="left" vertical="center"/>
    </xf>
    <xf numFmtId="18" fontId="20" fillId="0" borderId="0" xfId="0" applyNumberFormat="1" applyFont="1" applyAlignment="1">
      <alignment horizontal="left" vertical="center" indent="1"/>
    </xf>
    <xf numFmtId="18" fontId="13" fillId="0" borderId="5" xfId="0" applyNumberFormat="1" applyFont="1" applyBorder="1" applyAlignment="1">
      <alignment horizontal="left" vertical="center"/>
    </xf>
    <xf numFmtId="18" fontId="12" fillId="0" borderId="5" xfId="0" applyNumberFormat="1" applyFont="1" applyBorder="1" applyAlignment="1">
      <alignment horizontal="left" vertical="center"/>
    </xf>
    <xf numFmtId="0" fontId="26" fillId="0" borderId="0" xfId="0" applyFont="1" applyAlignment="1">
      <alignment horizontal="left" vertical="center"/>
    </xf>
    <xf numFmtId="168" fontId="26" fillId="0" borderId="0" xfId="1" applyNumberFormat="1" applyFont="1" applyFill="1" applyAlignment="1">
      <alignment horizontal="right" vertical="center"/>
    </xf>
    <xf numFmtId="168" fontId="26" fillId="0" borderId="2" xfId="1" applyNumberFormat="1" applyFont="1" applyFill="1" applyBorder="1" applyAlignment="1">
      <alignment horizontal="right" vertical="center"/>
    </xf>
    <xf numFmtId="170" fontId="20" fillId="0" borderId="0" xfId="1" applyNumberFormat="1" applyFont="1" applyFill="1" applyBorder="1" applyAlignment="1">
      <alignment horizontal="right" vertical="center"/>
    </xf>
    <xf numFmtId="170" fontId="20" fillId="0" borderId="2" xfId="1" applyNumberFormat="1" applyFont="1" applyFill="1" applyBorder="1" applyAlignment="1">
      <alignment horizontal="right" vertical="center"/>
    </xf>
    <xf numFmtId="0" fontId="20" fillId="0" borderId="0" xfId="0" applyFont="1" applyAlignment="1">
      <alignment horizontal="left" vertical="center" indent="2"/>
    </xf>
    <xf numFmtId="0" fontId="12" fillId="0" borderId="14" xfId="0" applyFont="1" applyBorder="1" applyAlignment="1">
      <alignment horizontal="left" vertical="center" indent="1"/>
    </xf>
    <xf numFmtId="168" fontId="12" fillId="0" borderId="14" xfId="1" applyNumberFormat="1" applyFont="1" applyFill="1" applyBorder="1" applyAlignment="1">
      <alignment horizontal="right" vertical="center"/>
    </xf>
    <xf numFmtId="168" fontId="12" fillId="0" borderId="15" xfId="1" applyNumberFormat="1" applyFont="1" applyFill="1" applyBorder="1" applyAlignment="1">
      <alignment horizontal="right" vertical="center"/>
    </xf>
    <xf numFmtId="4" fontId="13" fillId="0" borderId="0" xfId="1" applyNumberFormat="1" applyFont="1" applyFill="1" applyBorder="1" applyAlignment="1">
      <alignment vertical="center"/>
    </xf>
    <xf numFmtId="167" fontId="13" fillId="0" borderId="0" xfId="4" applyNumberFormat="1" applyFont="1" applyFill="1" applyBorder="1" applyAlignment="1">
      <alignment horizontal="right" vertical="center"/>
    </xf>
    <xf numFmtId="178" fontId="20" fillId="0" borderId="0" xfId="4" applyNumberFormat="1" applyFont="1" applyFill="1" applyAlignment="1">
      <alignment horizontal="right" vertical="center"/>
    </xf>
    <xf numFmtId="178" fontId="20" fillId="0" borderId="2" xfId="4" applyNumberFormat="1" applyFont="1" applyFill="1" applyBorder="1" applyAlignment="1">
      <alignment horizontal="right" vertical="center"/>
    </xf>
    <xf numFmtId="4" fontId="12" fillId="0" borderId="0" xfId="1" applyNumberFormat="1" applyFont="1" applyFill="1" applyBorder="1" applyAlignment="1">
      <alignment vertical="center"/>
    </xf>
    <xf numFmtId="4" fontId="20" fillId="5" borderId="0" xfId="1" applyNumberFormat="1" applyFont="1" applyFill="1" applyAlignment="1">
      <alignment vertical="center"/>
    </xf>
    <xf numFmtId="4" fontId="29" fillId="0" borderId="5" xfId="1" applyNumberFormat="1" applyFont="1" applyFill="1" applyBorder="1" applyAlignment="1">
      <alignment vertical="center"/>
    </xf>
    <xf numFmtId="178" fontId="29" fillId="0" borderId="5" xfId="4" applyNumberFormat="1" applyFont="1" applyFill="1" applyBorder="1" applyAlignment="1">
      <alignment horizontal="right" vertical="center"/>
    </xf>
    <xf numFmtId="178" fontId="29" fillId="0" borderId="6" xfId="4" applyNumberFormat="1" applyFont="1" applyFill="1" applyBorder="1" applyAlignment="1">
      <alignment horizontal="right" vertical="center"/>
    </xf>
    <xf numFmtId="0" fontId="12" fillId="0" borderId="5" xfId="0" applyFont="1" applyBorder="1" applyAlignment="1">
      <alignment horizontal="left" vertical="center" indent="1"/>
    </xf>
    <xf numFmtId="168" fontId="17" fillId="0" borderId="5" xfId="1" applyNumberFormat="1" applyFont="1" applyFill="1" applyBorder="1" applyAlignment="1">
      <alignment horizontal="right" vertical="center"/>
    </xf>
    <xf numFmtId="168" fontId="17" fillId="0" borderId="6" xfId="1" applyNumberFormat="1" applyFont="1" applyFill="1" applyBorder="1" applyAlignment="1">
      <alignment horizontal="right" vertical="center"/>
    </xf>
    <xf numFmtId="167" fontId="13" fillId="0" borderId="0" xfId="0" applyNumberFormat="1" applyFont="1" applyAlignment="1">
      <alignment horizontal="left" vertical="center"/>
    </xf>
    <xf numFmtId="18" fontId="13" fillId="0" borderId="0" xfId="0" applyNumberFormat="1" applyFont="1" applyAlignment="1">
      <alignment horizontal="left" vertical="center"/>
    </xf>
    <xf numFmtId="167" fontId="13" fillId="0" borderId="0" xfId="0" applyNumberFormat="1" applyFont="1" applyAlignment="1">
      <alignment horizontal="right" vertical="center"/>
    </xf>
    <xf numFmtId="167" fontId="13" fillId="0" borderId="2" xfId="4" applyNumberFormat="1" applyFont="1" applyBorder="1" applyAlignment="1">
      <alignment horizontal="right" vertical="center"/>
    </xf>
    <xf numFmtId="175" fontId="12" fillId="0" borderId="2" xfId="4" applyNumberFormat="1" applyFont="1" applyBorder="1" applyAlignment="1">
      <alignment horizontal="right" vertical="center"/>
    </xf>
    <xf numFmtId="175" fontId="12" fillId="0" borderId="0" xfId="0" applyNumberFormat="1" applyFont="1" applyAlignment="1">
      <alignment horizontal="right" vertical="center"/>
    </xf>
    <xf numFmtId="167" fontId="13" fillId="0" borderId="14" xfId="0" applyNumberFormat="1" applyFont="1" applyBorder="1" applyAlignment="1">
      <alignment horizontal="right" vertical="center"/>
    </xf>
    <xf numFmtId="167" fontId="13" fillId="0" borderId="15" xfId="4" applyNumberFormat="1" applyFont="1" applyBorder="1" applyAlignment="1">
      <alignment horizontal="right" vertical="center"/>
    </xf>
    <xf numFmtId="0" fontId="13" fillId="5" borderId="0" xfId="0" applyFont="1" applyFill="1" applyAlignment="1">
      <alignment vertical="center"/>
    </xf>
    <xf numFmtId="168" fontId="12" fillId="0" borderId="14" xfId="0" applyNumberFormat="1" applyFont="1" applyBorder="1" applyAlignment="1">
      <alignment horizontal="right" vertical="center"/>
    </xf>
    <xf numFmtId="167" fontId="13" fillId="0" borderId="14" xfId="4" applyNumberFormat="1" applyFont="1" applyFill="1" applyBorder="1" applyAlignment="1">
      <alignment horizontal="right" vertical="center"/>
    </xf>
    <xf numFmtId="167" fontId="13" fillId="0" borderId="15" xfId="4" applyNumberFormat="1" applyFont="1" applyFill="1" applyBorder="1" applyAlignment="1">
      <alignment horizontal="right" vertical="center"/>
    </xf>
    <xf numFmtId="0" fontId="12" fillId="0" borderId="14" xfId="0" applyFont="1" applyBorder="1" applyAlignment="1">
      <alignment vertical="center"/>
    </xf>
    <xf numFmtId="179" fontId="12" fillId="0" borderId="2" xfId="0" applyNumberFormat="1" applyFont="1" applyBorder="1" applyAlignment="1">
      <alignment horizontal="right" vertical="center"/>
    </xf>
    <xf numFmtId="1" fontId="12" fillId="0" borderId="17" xfId="0" applyNumberFormat="1" applyFont="1" applyBorder="1" applyAlignment="1">
      <alignment horizontal="left" vertical="center"/>
    </xf>
    <xf numFmtId="168" fontId="12" fillId="0" borderId="17" xfId="1" applyNumberFormat="1" applyFont="1" applyFill="1" applyBorder="1" applyAlignment="1">
      <alignment horizontal="right" vertical="center"/>
    </xf>
    <xf numFmtId="168" fontId="12" fillId="0" borderId="18" xfId="1" applyNumberFormat="1" applyFont="1" applyFill="1" applyBorder="1" applyAlignment="1">
      <alignment horizontal="right" vertical="center"/>
    </xf>
    <xf numFmtId="0" fontId="13" fillId="0" borderId="5" xfId="0" applyFont="1" applyBorder="1" applyAlignment="1">
      <alignment horizontal="right" vertical="center"/>
    </xf>
    <xf numFmtId="167" fontId="13" fillId="0" borderId="6" xfId="4" applyNumberFormat="1" applyFont="1" applyBorder="1" applyAlignment="1">
      <alignment horizontal="right" vertical="center"/>
    </xf>
    <xf numFmtId="0" fontId="13" fillId="3" borderId="10" xfId="0" applyFont="1" applyFill="1" applyBorder="1" applyAlignment="1">
      <alignment horizontal="left" vertical="center"/>
    </xf>
    <xf numFmtId="0" fontId="13" fillId="5" borderId="5" xfId="0" applyFont="1" applyFill="1" applyBorder="1" applyAlignment="1">
      <alignment vertical="center"/>
    </xf>
    <xf numFmtId="167" fontId="13" fillId="0" borderId="5" xfId="4" applyNumberFormat="1" applyFont="1" applyBorder="1" applyAlignment="1">
      <alignment horizontal="right" vertical="center"/>
    </xf>
    <xf numFmtId="10" fontId="12" fillId="0" borderId="0" xfId="1" applyNumberFormat="1" applyFont="1" applyAlignment="1">
      <alignment vertical="center"/>
    </xf>
    <xf numFmtId="0" fontId="12" fillId="5" borderId="0" xfId="7" applyFont="1" applyFill="1" applyAlignment="1">
      <alignment vertical="center"/>
    </xf>
    <xf numFmtId="166" fontId="12" fillId="5" borderId="0" xfId="1" applyFont="1" applyFill="1" applyAlignment="1">
      <alignment horizontal="right" vertical="center"/>
    </xf>
    <xf numFmtId="0" fontId="12" fillId="0" borderId="0" xfId="7" applyFont="1" applyAlignment="1">
      <alignment vertical="center"/>
    </xf>
    <xf numFmtId="168" fontId="12" fillId="5" borderId="0" xfId="1" applyNumberFormat="1" applyFont="1" applyFill="1" applyAlignment="1">
      <alignment vertical="center"/>
    </xf>
    <xf numFmtId="0" fontId="13" fillId="5" borderId="0" xfId="7" applyFont="1" applyFill="1" applyAlignment="1">
      <alignment vertical="center"/>
    </xf>
    <xf numFmtId="9" fontId="12" fillId="0" borderId="0" xfId="7" applyNumberFormat="1" applyFont="1" applyAlignment="1">
      <alignment vertical="center"/>
    </xf>
    <xf numFmtId="166" fontId="12" fillId="0" borderId="0" xfId="7" applyNumberFormat="1" applyFont="1" applyAlignment="1">
      <alignment vertical="center"/>
    </xf>
    <xf numFmtId="0" fontId="12" fillId="5" borderId="19" xfId="7" applyFont="1" applyFill="1" applyBorder="1" applyAlignment="1">
      <alignment vertical="center"/>
    </xf>
    <xf numFmtId="0" fontId="12" fillId="5" borderId="5" xfId="0" applyFont="1" applyFill="1" applyBorder="1" applyAlignment="1">
      <alignment vertical="center"/>
    </xf>
    <xf numFmtId="0" fontId="14" fillId="3" borderId="9" xfId="0" applyFont="1" applyFill="1" applyBorder="1" applyAlignment="1">
      <alignment vertical="center"/>
    </xf>
    <xf numFmtId="0" fontId="14" fillId="3" borderId="9" xfId="0" applyFont="1" applyFill="1" applyBorder="1" applyAlignment="1">
      <alignment horizontal="center" vertical="center"/>
    </xf>
    <xf numFmtId="0" fontId="14" fillId="3" borderId="9" xfId="0" applyFont="1" applyFill="1" applyBorder="1" applyAlignment="1">
      <alignment horizontal="right" vertical="center"/>
    </xf>
    <xf numFmtId="39" fontId="13" fillId="5" borderId="0" xfId="0" applyNumberFormat="1" applyFont="1" applyFill="1" applyAlignment="1">
      <alignment vertical="center"/>
    </xf>
    <xf numFmtId="39" fontId="28" fillId="5" borderId="0" xfId="0" applyNumberFormat="1" applyFont="1" applyFill="1" applyAlignment="1">
      <alignment vertical="center"/>
    </xf>
    <xf numFmtId="172" fontId="30" fillId="2" borderId="0" xfId="1" applyNumberFormat="1" applyFont="1" applyFill="1" applyBorder="1" applyAlignment="1">
      <alignment horizontal="right" vertical="center"/>
    </xf>
    <xf numFmtId="37" fontId="12" fillId="2" borderId="0" xfId="7" applyNumberFormat="1" applyFont="1" applyFill="1" applyAlignment="1">
      <alignment vertical="center"/>
    </xf>
    <xf numFmtId="0" fontId="13" fillId="0" borderId="0" xfId="7" applyFont="1" applyAlignment="1">
      <alignment vertical="center"/>
    </xf>
    <xf numFmtId="0" fontId="12" fillId="0" borderId="14" xfId="7" applyFont="1" applyBorder="1" applyAlignment="1">
      <alignment vertical="center"/>
    </xf>
    <xf numFmtId="0" fontId="12" fillId="0" borderId="5" xfId="7" applyFont="1" applyBorder="1" applyAlignment="1">
      <alignment vertical="center"/>
    </xf>
    <xf numFmtId="0" fontId="13" fillId="0" borderId="5" xfId="7" applyFont="1" applyBorder="1" applyAlignment="1">
      <alignment vertical="center"/>
    </xf>
    <xf numFmtId="180" fontId="13" fillId="5" borderId="0" xfId="3" applyNumberFormat="1" applyFont="1" applyFill="1" applyBorder="1" applyAlignment="1">
      <alignment horizontal="right" vertical="center"/>
    </xf>
    <xf numFmtId="0" fontId="13" fillId="4" borderId="0" xfId="7" applyFont="1" applyFill="1" applyAlignment="1">
      <alignment vertical="center"/>
    </xf>
    <xf numFmtId="180" fontId="13" fillId="4" borderId="0" xfId="3" applyNumberFormat="1" applyFont="1" applyFill="1" applyBorder="1" applyAlignment="1">
      <alignment horizontal="right" vertical="center"/>
    </xf>
    <xf numFmtId="0" fontId="13" fillId="4" borderId="5" xfId="7" applyFont="1" applyFill="1" applyBorder="1" applyAlignment="1">
      <alignment vertical="center"/>
    </xf>
    <xf numFmtId="167" fontId="13" fillId="4" borderId="5" xfId="4" applyNumberFormat="1" applyFont="1" applyFill="1" applyBorder="1" applyAlignment="1">
      <alignment vertical="center"/>
    </xf>
    <xf numFmtId="4" fontId="12" fillId="0" borderId="0" xfId="7" applyNumberFormat="1" applyFont="1" applyAlignment="1">
      <alignment vertical="center"/>
    </xf>
    <xf numFmtId="0" fontId="13" fillId="0" borderId="14" xfId="7" applyFont="1" applyBorder="1" applyAlignment="1">
      <alignment vertical="center"/>
    </xf>
    <xf numFmtId="164" fontId="12" fillId="5" borderId="0" xfId="0" applyNumberFormat="1" applyFont="1" applyFill="1" applyAlignment="1">
      <alignment vertical="center"/>
    </xf>
    <xf numFmtId="3" fontId="12" fillId="5" borderId="0" xfId="7" applyNumberFormat="1" applyFont="1" applyFill="1" applyAlignment="1">
      <alignment vertical="center"/>
    </xf>
    <xf numFmtId="164" fontId="13" fillId="0" borderId="0" xfId="0" applyNumberFormat="1" applyFont="1" applyAlignment="1">
      <alignment vertical="center"/>
    </xf>
    <xf numFmtId="3" fontId="13" fillId="0" borderId="0" xfId="7" applyNumberFormat="1" applyFont="1" applyAlignment="1">
      <alignment vertical="center"/>
    </xf>
    <xf numFmtId="0" fontId="13" fillId="4" borderId="5" xfId="0" applyFont="1" applyFill="1" applyBorder="1" applyAlignment="1">
      <alignment horizontal="right" vertical="center"/>
    </xf>
    <xf numFmtId="0" fontId="13" fillId="0" borderId="14" xfId="0" applyFont="1" applyBorder="1" applyAlignment="1">
      <alignment vertical="center"/>
    </xf>
    <xf numFmtId="164" fontId="13" fillId="0" borderId="14" xfId="0" applyNumberFormat="1" applyFont="1" applyBorder="1" applyAlignment="1">
      <alignment vertical="center"/>
    </xf>
    <xf numFmtId="3" fontId="13" fillId="0" borderId="14" xfId="7" applyNumberFormat="1" applyFont="1" applyBorder="1" applyAlignment="1">
      <alignment horizontal="right" vertical="center"/>
    </xf>
    <xf numFmtId="3" fontId="13" fillId="2" borderId="14" xfId="7" applyNumberFormat="1" applyFont="1" applyFill="1" applyBorder="1" applyAlignment="1">
      <alignment vertical="center"/>
    </xf>
    <xf numFmtId="167" fontId="12" fillId="5" borderId="0" xfId="3" applyNumberFormat="1" applyFont="1" applyFill="1" applyBorder="1" applyAlignment="1">
      <alignment horizontal="right" vertical="center"/>
    </xf>
    <xf numFmtId="180" fontId="13" fillId="4" borderId="17" xfId="3" applyNumberFormat="1" applyFont="1" applyFill="1" applyBorder="1" applyAlignment="1">
      <alignment horizontal="right" vertical="center"/>
    </xf>
    <xf numFmtId="39" fontId="13" fillId="5" borderId="14" xfId="0" applyNumberFormat="1" applyFont="1" applyFill="1" applyBorder="1" applyAlignment="1">
      <alignment vertical="center"/>
    </xf>
    <xf numFmtId="172" fontId="13" fillId="0" borderId="0" xfId="7" applyNumberFormat="1" applyFont="1" applyAlignment="1">
      <alignment vertical="center"/>
    </xf>
    <xf numFmtId="167" fontId="13" fillId="0" borderId="0" xfId="7" applyNumberFormat="1" applyFont="1" applyAlignment="1">
      <alignment vertical="center"/>
    </xf>
    <xf numFmtId="175" fontId="13" fillId="0" borderId="14" xfId="7" applyNumberFormat="1" applyFont="1" applyBorder="1" applyAlignment="1">
      <alignment vertical="center"/>
    </xf>
    <xf numFmtId="167" fontId="13" fillId="0" borderId="0" xfId="0" applyNumberFormat="1" applyFont="1" applyAlignment="1">
      <alignment vertical="center"/>
    </xf>
    <xf numFmtId="167" fontId="12" fillId="5" borderId="5" xfId="0" applyNumberFormat="1" applyFont="1" applyFill="1" applyBorder="1" applyAlignment="1">
      <alignment vertical="center"/>
    </xf>
    <xf numFmtId="0" fontId="13" fillId="5" borderId="5" xfId="7" applyFont="1" applyFill="1" applyBorder="1" applyAlignment="1">
      <alignment vertical="center"/>
    </xf>
    <xf numFmtId="167" fontId="13" fillId="5" borderId="5" xfId="4" applyNumberFormat="1" applyFont="1" applyFill="1" applyBorder="1" applyAlignment="1">
      <alignment vertical="center"/>
    </xf>
    <xf numFmtId="176" fontId="13" fillId="5" borderId="0" xfId="3" applyNumberFormat="1" applyFont="1" applyFill="1" applyAlignment="1">
      <alignment horizontal="right" vertical="center"/>
    </xf>
    <xf numFmtId="0" fontId="13" fillId="0" borderId="0" xfId="0" applyFont="1"/>
    <xf numFmtId="0" fontId="12" fillId="0" borderId="0" xfId="0" applyFont="1"/>
    <xf numFmtId="0" fontId="12" fillId="0" borderId="0" xfId="5" applyFont="1"/>
    <xf numFmtId="0" fontId="12" fillId="0" borderId="0" xfId="5" applyFont="1" applyAlignment="1">
      <alignment horizontal="left"/>
    </xf>
    <xf numFmtId="167" fontId="12" fillId="0" borderId="0" xfId="4" applyNumberFormat="1" applyFont="1" applyFill="1" applyAlignment="1">
      <alignment horizontal="center"/>
    </xf>
    <xf numFmtId="0" fontId="12" fillId="0" borderId="0" xfId="0" applyFont="1" applyAlignment="1">
      <alignment horizontal="left"/>
    </xf>
    <xf numFmtId="0" fontId="13" fillId="0" borderId="0" xfId="0" applyFont="1" applyAlignment="1">
      <alignment horizontal="left"/>
    </xf>
    <xf numFmtId="168" fontId="12" fillId="0" borderId="0" xfId="1" applyNumberFormat="1" applyFont="1" applyFill="1" applyAlignment="1">
      <alignment horizontal="right"/>
    </xf>
    <xf numFmtId="0" fontId="12" fillId="2" borderId="0" xfId="1" applyNumberFormat="1" applyFont="1" applyFill="1" applyAlignment="1">
      <alignment horizontal="center"/>
    </xf>
    <xf numFmtId="37" fontId="12" fillId="2" borderId="0" xfId="1" applyNumberFormat="1" applyFont="1" applyFill="1" applyAlignment="1">
      <alignment horizontal="center"/>
    </xf>
    <xf numFmtId="0" fontId="14" fillId="3" borderId="10" xfId="5" applyFont="1" applyFill="1" applyBorder="1" applyAlignment="1">
      <alignment horizontal="left" vertical="top"/>
    </xf>
    <xf numFmtId="166" fontId="14" fillId="3" borderId="10" xfId="0" applyNumberFormat="1" applyFont="1" applyFill="1" applyBorder="1" applyAlignment="1">
      <alignment horizontal="center"/>
    </xf>
    <xf numFmtId="166" fontId="14" fillId="3" borderId="11" xfId="0" applyNumberFormat="1" applyFont="1" applyFill="1" applyBorder="1" applyAlignment="1">
      <alignment horizontal="center"/>
    </xf>
    <xf numFmtId="0" fontId="12" fillId="5" borderId="0" xfId="6" applyFont="1" applyFill="1" applyAlignment="1">
      <alignment horizontal="left"/>
    </xf>
    <xf numFmtId="0" fontId="12" fillId="5" borderId="2" xfId="1" applyNumberFormat="1" applyFont="1" applyFill="1" applyBorder="1" applyAlignment="1">
      <alignment horizontal="center"/>
    </xf>
    <xf numFmtId="37" fontId="12" fillId="5" borderId="2" xfId="1" applyNumberFormat="1" applyFont="1" applyFill="1" applyBorder="1" applyAlignment="1">
      <alignment horizontal="center"/>
    </xf>
    <xf numFmtId="0" fontId="15" fillId="0" borderId="0" xfId="5" applyFont="1"/>
    <xf numFmtId="0" fontId="12" fillId="5" borderId="5" xfId="6" quotePrefix="1" applyFont="1" applyFill="1" applyBorder="1" applyAlignment="1">
      <alignment horizontal="left"/>
    </xf>
    <xf numFmtId="37" fontId="12" fillId="2" borderId="5" xfId="6" applyNumberFormat="1" applyFont="1" applyFill="1" applyBorder="1" applyAlignment="1">
      <alignment horizontal="center"/>
    </xf>
    <xf numFmtId="37" fontId="12" fillId="5" borderId="6" xfId="1" applyNumberFormat="1" applyFont="1" applyFill="1" applyBorder="1" applyAlignment="1">
      <alignment horizontal="center"/>
    </xf>
    <xf numFmtId="0" fontId="12" fillId="0" borderId="5" xfId="5" applyFont="1" applyBorder="1" applyAlignment="1">
      <alignment horizontal="left"/>
    </xf>
    <xf numFmtId="167" fontId="12" fillId="0" borderId="0" xfId="4" applyNumberFormat="1" applyFont="1" applyFill="1" applyBorder="1" applyAlignment="1">
      <alignment horizontal="center"/>
    </xf>
    <xf numFmtId="168" fontId="13" fillId="0" borderId="0" xfId="1" applyNumberFormat="1" applyFont="1" applyFill="1" applyBorder="1"/>
    <xf numFmtId="168" fontId="12" fillId="0" borderId="0" xfId="1" applyNumberFormat="1" applyFont="1" applyFill="1" applyBorder="1" applyAlignment="1">
      <alignment horizontal="right"/>
    </xf>
    <xf numFmtId="168" fontId="13" fillId="0" borderId="0" xfId="1" applyNumberFormat="1" applyFont="1" applyFill="1" applyBorder="1" applyAlignment="1">
      <alignment horizontal="right"/>
    </xf>
    <xf numFmtId="168" fontId="12" fillId="0" borderId="0" xfId="1" applyNumberFormat="1" applyFont="1" applyFill="1" applyBorder="1"/>
    <xf numFmtId="9" fontId="13" fillId="0" borderId="0" xfId="7" applyNumberFormat="1" applyFont="1" applyAlignment="1">
      <alignment vertical="center"/>
    </xf>
    <xf numFmtId="168" fontId="13" fillId="0" borderId="0" xfId="4" applyNumberFormat="1" applyFont="1" applyFill="1" applyBorder="1" applyAlignment="1">
      <alignment horizontal="right" vertical="center"/>
    </xf>
    <xf numFmtId="9" fontId="12" fillId="0" borderId="0" xfId="1" applyNumberFormat="1" applyFont="1" applyFill="1" applyBorder="1" applyAlignment="1">
      <alignment horizontal="right" vertical="center"/>
    </xf>
    <xf numFmtId="0" fontId="12" fillId="0" borderId="0" xfId="0" quotePrefix="1" applyFont="1" applyAlignment="1">
      <alignment vertical="center"/>
    </xf>
    <xf numFmtId="0" fontId="12" fillId="0" borderId="0" xfId="7" quotePrefix="1" applyFont="1" applyAlignment="1">
      <alignment vertical="center"/>
    </xf>
    <xf numFmtId="9" fontId="12" fillId="0" borderId="2" xfId="4" quotePrefix="1" applyFont="1" applyFill="1" applyBorder="1" applyAlignment="1">
      <alignment horizontal="right" vertical="center"/>
    </xf>
    <xf numFmtId="171" fontId="12" fillId="0" borderId="0" xfId="7" applyNumberFormat="1" applyFont="1" applyAlignment="1">
      <alignment vertical="center"/>
    </xf>
    <xf numFmtId="4" fontId="12" fillId="0" borderId="0" xfId="4" applyNumberFormat="1" applyFont="1" applyFill="1" applyAlignment="1">
      <alignment vertical="center"/>
    </xf>
    <xf numFmtId="10" fontId="12" fillId="0" borderId="0" xfId="7" applyNumberFormat="1" applyFont="1" applyAlignment="1">
      <alignment vertical="center"/>
    </xf>
    <xf numFmtId="4" fontId="12" fillId="0" borderId="2" xfId="4" applyNumberFormat="1" applyFont="1" applyBorder="1" applyAlignment="1">
      <alignment vertical="center"/>
    </xf>
    <xf numFmtId="9" fontId="12" fillId="0" borderId="0" xfId="7" quotePrefix="1" applyNumberFormat="1" applyFont="1" applyAlignment="1">
      <alignment vertical="center"/>
    </xf>
    <xf numFmtId="167" fontId="12" fillId="5" borderId="0" xfId="1" applyNumberFormat="1" applyFont="1" applyFill="1" applyAlignment="1">
      <alignment vertical="center"/>
    </xf>
    <xf numFmtId="180" fontId="12" fillId="5" borderId="0" xfId="3" applyNumberFormat="1" applyFont="1" applyFill="1" applyBorder="1" applyAlignment="1">
      <alignment horizontal="right" vertical="center"/>
    </xf>
    <xf numFmtId="0" fontId="12" fillId="5" borderId="14" xfId="0" applyFont="1" applyFill="1" applyBorder="1" applyAlignment="1">
      <alignment vertical="center"/>
    </xf>
    <xf numFmtId="172" fontId="13" fillId="0" borderId="5" xfId="7" applyNumberFormat="1" applyFont="1" applyBorder="1" applyAlignment="1">
      <alignment vertical="center"/>
    </xf>
    <xf numFmtId="39" fontId="13" fillId="5" borderId="21" xfId="0" applyNumberFormat="1" applyFont="1" applyFill="1" applyBorder="1" applyAlignment="1">
      <alignment vertical="center"/>
    </xf>
    <xf numFmtId="39" fontId="13" fillId="5" borderId="22" xfId="0" applyNumberFormat="1" applyFont="1" applyFill="1" applyBorder="1" applyAlignment="1">
      <alignment vertical="center"/>
    </xf>
    <xf numFmtId="172" fontId="13" fillId="0" borderId="21" xfId="7" applyNumberFormat="1" applyFont="1" applyBorder="1" applyAlignment="1">
      <alignment vertical="center"/>
    </xf>
    <xf numFmtId="4" fontId="12" fillId="0" borderId="21" xfId="7" applyNumberFormat="1" applyFont="1" applyBorder="1" applyAlignment="1">
      <alignment vertical="center"/>
    </xf>
    <xf numFmtId="167" fontId="13" fillId="0" borderId="21" xfId="7" applyNumberFormat="1" applyFont="1" applyBorder="1" applyAlignment="1">
      <alignment vertical="center"/>
    </xf>
    <xf numFmtId="175" fontId="13" fillId="0" borderId="22" xfId="7" applyNumberFormat="1" applyFont="1" applyBorder="1" applyAlignment="1">
      <alignment vertical="center"/>
    </xf>
    <xf numFmtId="172" fontId="13" fillId="0" borderId="23" xfId="7" applyNumberFormat="1" applyFont="1" applyBorder="1" applyAlignment="1">
      <alignment vertical="center"/>
    </xf>
    <xf numFmtId="166" fontId="12" fillId="5" borderId="0" xfId="0" applyNumberFormat="1" applyFont="1" applyFill="1" applyAlignment="1">
      <alignment horizontal="right" vertical="center"/>
    </xf>
    <xf numFmtId="166" fontId="12" fillId="5" borderId="14" xfId="0" applyNumberFormat="1" applyFont="1" applyFill="1" applyBorder="1" applyAlignment="1">
      <alignment horizontal="right" vertical="center"/>
    </xf>
    <xf numFmtId="166" fontId="12" fillId="5" borderId="5" xfId="0" applyNumberFormat="1" applyFont="1" applyFill="1" applyBorder="1" applyAlignment="1">
      <alignment horizontal="right" vertical="center"/>
    </xf>
    <xf numFmtId="166" fontId="12" fillId="5" borderId="19" xfId="0" applyNumberFormat="1" applyFont="1" applyFill="1" applyBorder="1" applyAlignment="1">
      <alignment horizontal="right" vertical="center"/>
    </xf>
    <xf numFmtId="166" fontId="12" fillId="5" borderId="20" xfId="0" applyNumberFormat="1" applyFont="1" applyFill="1" applyBorder="1" applyAlignment="1">
      <alignment horizontal="right" vertical="center"/>
    </xf>
    <xf numFmtId="166" fontId="12" fillId="5" borderId="22" xfId="0" applyNumberFormat="1" applyFont="1" applyFill="1" applyBorder="1" applyAlignment="1">
      <alignment horizontal="right" vertical="center"/>
    </xf>
    <xf numFmtId="166" fontId="12" fillId="5" borderId="21" xfId="0" applyNumberFormat="1" applyFont="1" applyFill="1" applyBorder="1" applyAlignment="1">
      <alignment horizontal="right" vertical="center"/>
    </xf>
    <xf numFmtId="166" fontId="12" fillId="5" borderId="24" xfId="0" applyNumberFormat="1" applyFont="1" applyFill="1" applyBorder="1" applyAlignment="1">
      <alignment horizontal="right" vertical="center"/>
    </xf>
    <xf numFmtId="166" fontId="12" fillId="5" borderId="25" xfId="0" applyNumberFormat="1" applyFont="1" applyFill="1" applyBorder="1" applyAlignment="1">
      <alignment horizontal="right" vertical="center"/>
    </xf>
    <xf numFmtId="166" fontId="12" fillId="5" borderId="26" xfId="0" applyNumberFormat="1" applyFont="1" applyFill="1" applyBorder="1" applyAlignment="1">
      <alignment horizontal="right" vertical="center"/>
    </xf>
    <xf numFmtId="166" fontId="12" fillId="5" borderId="23" xfId="0" applyNumberFormat="1" applyFont="1" applyFill="1" applyBorder="1" applyAlignment="1">
      <alignment horizontal="right" vertical="center"/>
    </xf>
    <xf numFmtId="166" fontId="12" fillId="4" borderId="0" xfId="0" applyNumberFormat="1" applyFont="1" applyFill="1" applyAlignment="1">
      <alignment horizontal="right" vertical="center"/>
    </xf>
    <xf numFmtId="0" fontId="26" fillId="0" borderId="0" xfId="0" applyFont="1" applyAlignment="1">
      <alignment horizontal="right" vertical="center"/>
    </xf>
    <xf numFmtId="4" fontId="13" fillId="5" borderId="0" xfId="0" applyNumberFormat="1" applyFont="1" applyFill="1" applyAlignment="1">
      <alignment vertical="center"/>
    </xf>
    <xf numFmtId="0" fontId="28" fillId="5" borderId="0" xfId="0" applyFont="1" applyFill="1" applyAlignment="1">
      <alignment vertical="center"/>
    </xf>
    <xf numFmtId="0" fontId="26" fillId="5" borderId="0" xfId="0" applyFont="1" applyFill="1" applyAlignment="1">
      <alignment vertical="center"/>
    </xf>
    <xf numFmtId="166" fontId="28" fillId="5" borderId="0" xfId="0" applyNumberFormat="1" applyFont="1" applyFill="1" applyAlignment="1">
      <alignment horizontal="right" vertical="center"/>
    </xf>
    <xf numFmtId="166" fontId="28" fillId="5" borderId="21" xfId="0" applyNumberFormat="1" applyFont="1" applyFill="1" applyBorder="1" applyAlignment="1">
      <alignment horizontal="right" vertical="center"/>
    </xf>
    <xf numFmtId="166" fontId="28" fillId="5" borderId="26" xfId="0" applyNumberFormat="1" applyFont="1" applyFill="1" applyBorder="1" applyAlignment="1">
      <alignment horizontal="right" vertical="center"/>
    </xf>
    <xf numFmtId="167" fontId="12" fillId="2" borderId="0" xfId="4" applyNumberFormat="1" applyFont="1" applyFill="1" applyAlignment="1">
      <alignment horizontal="center"/>
    </xf>
    <xf numFmtId="167" fontId="12" fillId="0" borderId="2" xfId="4" applyNumberFormat="1" applyFont="1" applyBorder="1" applyAlignment="1">
      <alignment horizontal="center"/>
    </xf>
    <xf numFmtId="167" fontId="12" fillId="2" borderId="5" xfId="4" applyNumberFormat="1" applyFont="1" applyFill="1" applyBorder="1" applyAlignment="1">
      <alignment horizontal="center"/>
    </xf>
    <xf numFmtId="167" fontId="12" fillId="0" borderId="6" xfId="4" applyNumberFormat="1" applyFont="1" applyBorder="1" applyAlignment="1">
      <alignment horizontal="center"/>
    </xf>
    <xf numFmtId="167" fontId="12" fillId="2" borderId="5" xfId="4" quotePrefix="1" applyNumberFormat="1" applyFont="1" applyFill="1" applyBorder="1" applyAlignment="1">
      <alignment horizontal="center"/>
    </xf>
    <xf numFmtId="0" fontId="12" fillId="0" borderId="17" xfId="0" applyFont="1" applyBorder="1" applyAlignment="1">
      <alignment horizontal="left"/>
    </xf>
    <xf numFmtId="0" fontId="12" fillId="0" borderId="5" xfId="0" applyFont="1" applyBorder="1" applyAlignment="1">
      <alignment horizontal="left"/>
    </xf>
    <xf numFmtId="43" fontId="12" fillId="0" borderId="0" xfId="0" applyNumberFormat="1" applyFont="1" applyAlignment="1">
      <alignment horizontal="right" vertical="center"/>
    </xf>
    <xf numFmtId="9" fontId="12" fillId="0" borderId="2" xfId="1" applyNumberFormat="1" applyFont="1" applyFill="1" applyBorder="1" applyAlignment="1">
      <alignment horizontal="right" vertical="center"/>
    </xf>
    <xf numFmtId="167" fontId="13" fillId="4" borderId="20" xfId="0" applyNumberFormat="1" applyFont="1" applyFill="1" applyBorder="1" applyAlignment="1">
      <alignment vertical="center"/>
    </xf>
    <xf numFmtId="167" fontId="13" fillId="4" borderId="0" xfId="0" applyNumberFormat="1" applyFont="1" applyFill="1" applyAlignment="1">
      <alignment vertical="center"/>
    </xf>
    <xf numFmtId="3" fontId="12" fillId="0" borderId="0" xfId="4" applyNumberFormat="1" applyFont="1" applyBorder="1" applyAlignment="1">
      <alignment horizontal="right" vertical="center"/>
    </xf>
    <xf numFmtId="3" fontId="12" fillId="0" borderId="2" xfId="4" applyNumberFormat="1" applyFont="1" applyBorder="1" applyAlignment="1">
      <alignment horizontal="right" vertical="center"/>
    </xf>
    <xf numFmtId="0" fontId="31" fillId="0" borderId="0" xfId="0" applyFont="1" applyAlignment="1">
      <alignment vertical="center"/>
    </xf>
    <xf numFmtId="0" fontId="31" fillId="0" borderId="0" xfId="0" quotePrefix="1" applyFont="1" applyAlignment="1">
      <alignment vertical="center"/>
    </xf>
    <xf numFmtId="0" fontId="33" fillId="3" borderId="10" xfId="0" applyFont="1" applyFill="1" applyBorder="1" applyAlignment="1">
      <alignment horizontal="left" vertical="center"/>
    </xf>
    <xf numFmtId="0" fontId="31" fillId="0" borderId="0" xfId="7" applyFont="1" applyAlignment="1">
      <alignment vertical="center"/>
    </xf>
    <xf numFmtId="4" fontId="34" fillId="5" borderId="0" xfId="1" applyNumberFormat="1" applyFont="1" applyFill="1" applyAlignment="1">
      <alignment vertical="center"/>
    </xf>
    <xf numFmtId="4" fontId="31" fillId="0" borderId="0" xfId="1" applyNumberFormat="1" applyFont="1" applyFill="1" applyAlignment="1">
      <alignment horizontal="left" vertical="center" indent="1"/>
    </xf>
    <xf numFmtId="4" fontId="34" fillId="0" borderId="0" xfId="1" applyNumberFormat="1" applyFont="1" applyFill="1" applyAlignment="1">
      <alignment horizontal="left" vertical="center"/>
    </xf>
    <xf numFmtId="4" fontId="31" fillId="0" borderId="0" xfId="1" applyNumberFormat="1" applyFont="1" applyFill="1" applyAlignment="1">
      <alignment horizontal="left" vertical="center" indent="2"/>
    </xf>
    <xf numFmtId="4" fontId="34" fillId="0" borderId="0" xfId="1" applyNumberFormat="1" applyFont="1" applyFill="1" applyAlignment="1">
      <alignment vertical="center"/>
    </xf>
    <xf numFmtId="4" fontId="34" fillId="0" borderId="5" xfId="1" applyNumberFormat="1" applyFont="1" applyFill="1" applyBorder="1" applyAlignment="1">
      <alignment vertical="center"/>
    </xf>
    <xf numFmtId="4" fontId="31" fillId="0" borderId="0" xfId="1" applyNumberFormat="1" applyFont="1" applyFill="1" applyAlignment="1">
      <alignment vertical="center"/>
    </xf>
    <xf numFmtId="0" fontId="31" fillId="0" borderId="0" xfId="7" quotePrefix="1" applyFont="1" applyAlignment="1">
      <alignment vertical="center"/>
    </xf>
    <xf numFmtId="9" fontId="31" fillId="0" borderId="0" xfId="7" quotePrefix="1" applyNumberFormat="1" applyFont="1" applyAlignment="1">
      <alignment vertical="center"/>
    </xf>
    <xf numFmtId="0" fontId="32" fillId="0" borderId="0" xfId="0" applyFont="1" applyAlignment="1">
      <alignment vertical="center"/>
    </xf>
    <xf numFmtId="4" fontId="31" fillId="0" borderId="0" xfId="1" applyNumberFormat="1" applyFont="1" applyFill="1" applyAlignment="1">
      <alignment horizontal="left" vertical="center"/>
    </xf>
    <xf numFmtId="4" fontId="31" fillId="5" borderId="0" xfId="1" applyNumberFormat="1" applyFont="1" applyFill="1" applyAlignment="1">
      <alignment horizontal="left" vertical="center"/>
    </xf>
    <xf numFmtId="181" fontId="33" fillId="3" borderId="11" xfId="0" applyNumberFormat="1" applyFont="1" applyFill="1" applyBorder="1" applyAlignment="1">
      <alignment horizontal="right" vertical="center"/>
    </xf>
    <xf numFmtId="168" fontId="34" fillId="5" borderId="0" xfId="0" applyNumberFormat="1" applyFont="1" applyFill="1" applyAlignment="1">
      <alignment horizontal="right" vertical="center"/>
    </xf>
    <xf numFmtId="168" fontId="31" fillId="0" borderId="0" xfId="0" applyNumberFormat="1" applyFont="1" applyAlignment="1">
      <alignment horizontal="right" vertical="center"/>
    </xf>
    <xf numFmtId="168" fontId="34" fillId="0" borderId="0" xfId="0" applyNumberFormat="1" applyFont="1" applyAlignment="1">
      <alignment horizontal="right" vertical="center"/>
    </xf>
    <xf numFmtId="168" fontId="35" fillId="0" borderId="0" xfId="1" applyNumberFormat="1" applyFont="1" applyFill="1" applyBorder="1" applyAlignment="1">
      <alignment horizontal="right" vertical="center"/>
    </xf>
    <xf numFmtId="168" fontId="34" fillId="0" borderId="0" xfId="1" applyNumberFormat="1" applyFont="1" applyFill="1" applyBorder="1" applyAlignment="1">
      <alignment horizontal="right" vertical="center"/>
    </xf>
    <xf numFmtId="168" fontId="34" fillId="0" borderId="5" xfId="0" applyNumberFormat="1" applyFont="1" applyBorder="1" applyAlignment="1">
      <alignment horizontal="right" vertical="center"/>
    </xf>
    <xf numFmtId="1" fontId="33" fillId="3" borderId="9" xfId="0" applyNumberFormat="1" applyFont="1" applyFill="1" applyBorder="1" applyAlignment="1">
      <alignment horizontal="right" vertical="center"/>
    </xf>
    <xf numFmtId="167" fontId="36" fillId="5" borderId="0" xfId="4" applyNumberFormat="1" applyFont="1" applyFill="1" applyBorder="1" applyAlignment="1">
      <alignment horizontal="right" vertical="center"/>
    </xf>
    <xf numFmtId="167" fontId="36" fillId="0" borderId="0" xfId="4" applyNumberFormat="1" applyFont="1" applyFill="1" applyBorder="1" applyAlignment="1">
      <alignment horizontal="right" vertical="center"/>
    </xf>
    <xf numFmtId="167" fontId="37" fillId="0" borderId="0" xfId="4" applyNumberFormat="1" applyFont="1" applyFill="1" applyBorder="1" applyAlignment="1">
      <alignment horizontal="right" vertical="center"/>
    </xf>
    <xf numFmtId="167" fontId="36" fillId="0" borderId="5" xfId="4" applyNumberFormat="1" applyFont="1" applyFill="1" applyBorder="1" applyAlignment="1">
      <alignment horizontal="right" vertical="center"/>
    </xf>
    <xf numFmtId="0" fontId="33" fillId="3" borderId="3" xfId="0" applyFont="1" applyFill="1" applyBorder="1" applyAlignment="1">
      <alignment horizontal="left" vertical="center"/>
    </xf>
    <xf numFmtId="0" fontId="31" fillId="0" borderId="0" xfId="0" applyFont="1" applyAlignment="1">
      <alignment horizontal="left" vertical="center"/>
    </xf>
    <xf numFmtId="0" fontId="31" fillId="0" borderId="0" xfId="0" applyFont="1" applyAlignment="1">
      <alignment horizontal="left" vertical="center" indent="1"/>
    </xf>
    <xf numFmtId="0" fontId="34" fillId="0" borderId="5" xfId="0" applyFont="1" applyBorder="1" applyAlignment="1">
      <alignment horizontal="left" vertical="center"/>
    </xf>
    <xf numFmtId="167" fontId="31" fillId="0" borderId="0" xfId="0" applyNumberFormat="1" applyFont="1" applyAlignment="1">
      <alignment horizontal="left" vertical="center"/>
    </xf>
    <xf numFmtId="167" fontId="34" fillId="0" borderId="0" xfId="0" applyNumberFormat="1" applyFont="1" applyAlignment="1">
      <alignment horizontal="left" vertical="center"/>
    </xf>
    <xf numFmtId="1" fontId="33" fillId="3" borderId="18" xfId="0" applyNumberFormat="1" applyFont="1" applyFill="1" applyBorder="1" applyAlignment="1">
      <alignment horizontal="right" vertical="center"/>
    </xf>
    <xf numFmtId="168" fontId="31" fillId="0" borderId="0" xfId="1" applyNumberFormat="1" applyFont="1" applyFill="1" applyBorder="1" applyAlignment="1">
      <alignment horizontal="right" vertical="center"/>
    </xf>
    <xf numFmtId="168" fontId="34" fillId="0" borderId="5" xfId="1" applyNumberFormat="1" applyFont="1" applyFill="1" applyBorder="1" applyAlignment="1">
      <alignment horizontal="right" vertical="center"/>
    </xf>
    <xf numFmtId="167" fontId="31" fillId="0" borderId="0" xfId="1" applyNumberFormat="1" applyFont="1" applyFill="1" applyBorder="1" applyAlignment="1">
      <alignment horizontal="right" vertical="center"/>
    </xf>
    <xf numFmtId="167" fontId="34" fillId="0" borderId="0" xfId="4" applyNumberFormat="1" applyFont="1" applyFill="1" applyBorder="1" applyAlignment="1">
      <alignment horizontal="right" vertical="center"/>
    </xf>
    <xf numFmtId="172" fontId="34" fillId="0" borderId="5" xfId="2" applyNumberFormat="1" applyFont="1" applyFill="1" applyBorder="1" applyAlignment="1">
      <alignment horizontal="right" vertical="center"/>
    </xf>
    <xf numFmtId="0" fontId="38" fillId="0" borderId="0" xfId="7" applyFont="1" applyAlignment="1">
      <alignment vertical="center"/>
    </xf>
    <xf numFmtId="168" fontId="12" fillId="0" borderId="5" xfId="4" applyNumberFormat="1" applyFont="1" applyFill="1" applyBorder="1" applyAlignment="1">
      <alignment horizontal="right" vertical="center"/>
    </xf>
    <xf numFmtId="164" fontId="12" fillId="0" borderId="5" xfId="2" applyFont="1" applyFill="1" applyBorder="1" applyAlignment="1">
      <alignment horizontal="right" vertical="center"/>
    </xf>
    <xf numFmtId="167" fontId="20" fillId="0" borderId="0" xfId="4" applyNumberFormat="1" applyFont="1" applyFill="1" applyAlignment="1">
      <alignment horizontal="right" vertical="center"/>
    </xf>
    <xf numFmtId="168" fontId="39" fillId="0" borderId="0" xfId="1" applyNumberFormat="1" applyFont="1" applyFill="1" applyAlignment="1">
      <alignment horizontal="right" vertical="center"/>
    </xf>
    <xf numFmtId="168" fontId="39" fillId="0" borderId="0" xfId="4" applyNumberFormat="1" applyFont="1" applyFill="1" applyBorder="1" applyAlignment="1">
      <alignment horizontal="right" vertical="center"/>
    </xf>
    <xf numFmtId="168" fontId="40" fillId="0" borderId="0" xfId="1" applyNumberFormat="1" applyFont="1" applyFill="1" applyAlignment="1">
      <alignment horizontal="right" vertical="center"/>
    </xf>
    <xf numFmtId="164" fontId="41" fillId="0" borderId="0" xfId="2" applyFont="1" applyFill="1" applyAlignment="1">
      <alignment horizontal="right" vertical="center"/>
    </xf>
    <xf numFmtId="164" fontId="42" fillId="0" borderId="0" xfId="2" applyFont="1" applyFill="1" applyAlignment="1">
      <alignment horizontal="right" vertical="center"/>
    </xf>
    <xf numFmtId="164" fontId="28" fillId="0" borderId="0" xfId="2" applyFont="1" applyFill="1" applyAlignment="1">
      <alignment horizontal="right" vertical="center"/>
    </xf>
    <xf numFmtId="168" fontId="43" fillId="5" borderId="0" xfId="0" applyNumberFormat="1" applyFont="1" applyFill="1" applyAlignment="1">
      <alignment horizontal="right" vertical="center"/>
    </xf>
    <xf numFmtId="168" fontId="43" fillId="5" borderId="2" xfId="1" applyNumberFormat="1" applyFont="1" applyFill="1" applyBorder="1" applyAlignment="1">
      <alignment horizontal="right" vertical="center"/>
    </xf>
    <xf numFmtId="168" fontId="43" fillId="0" borderId="0" xfId="0" applyNumberFormat="1" applyFont="1" applyAlignment="1">
      <alignment horizontal="right" vertical="center"/>
    </xf>
    <xf numFmtId="168" fontId="43" fillId="0" borderId="2" xfId="1" applyNumberFormat="1" applyFont="1" applyFill="1" applyBorder="1" applyAlignment="1">
      <alignment horizontal="right" vertical="center"/>
    </xf>
    <xf numFmtId="168" fontId="44" fillId="0" borderId="0" xfId="0" applyNumberFormat="1" applyFont="1" applyAlignment="1">
      <alignment horizontal="right" vertical="center"/>
    </xf>
    <xf numFmtId="167" fontId="26" fillId="4" borderId="5" xfId="4" applyNumberFormat="1" applyFont="1" applyFill="1" applyBorder="1" applyAlignment="1">
      <alignment horizontal="right" vertical="center"/>
    </xf>
    <xf numFmtId="168" fontId="43" fillId="0" borderId="17" xfId="1" applyNumberFormat="1" applyFont="1" applyFill="1" applyBorder="1" applyAlignment="1">
      <alignment horizontal="right" vertical="center"/>
    </xf>
    <xf numFmtId="167" fontId="26" fillId="0" borderId="5" xfId="4" applyNumberFormat="1" applyFont="1" applyFill="1" applyBorder="1" applyAlignment="1">
      <alignment horizontal="right" vertical="center"/>
    </xf>
    <xf numFmtId="168" fontId="40" fillId="0" borderId="0" xfId="0" applyNumberFormat="1" applyFont="1" applyAlignment="1">
      <alignment horizontal="right" vertical="center"/>
    </xf>
    <xf numFmtId="168" fontId="40" fillId="0" borderId="5" xfId="0" applyNumberFormat="1" applyFont="1" applyBorder="1" applyAlignment="1">
      <alignment horizontal="right" vertical="center"/>
    </xf>
    <xf numFmtId="167" fontId="26" fillId="4" borderId="0" xfId="4" applyNumberFormat="1" applyFont="1" applyFill="1" applyBorder="1" applyAlignment="1">
      <alignment horizontal="right" vertical="center"/>
    </xf>
    <xf numFmtId="168" fontId="46" fillId="0" borderId="0" xfId="4" applyNumberFormat="1" applyFont="1" applyFill="1" applyBorder="1" applyAlignment="1">
      <alignment horizontal="right" vertical="center"/>
    </xf>
    <xf numFmtId="167" fontId="45" fillId="0" borderId="5" xfId="4" applyNumberFormat="1" applyFont="1" applyFill="1" applyBorder="1" applyAlignment="1">
      <alignment horizontal="right" vertical="center"/>
    </xf>
    <xf numFmtId="168" fontId="39" fillId="0" borderId="14" xfId="1" applyNumberFormat="1" applyFont="1" applyFill="1" applyBorder="1" applyAlignment="1">
      <alignment horizontal="right" vertical="center"/>
    </xf>
    <xf numFmtId="168" fontId="40" fillId="0" borderId="0" xfId="1" applyNumberFormat="1" applyFont="1" applyFill="1" applyBorder="1" applyAlignment="1">
      <alignment horizontal="right" vertical="center"/>
    </xf>
    <xf numFmtId="167" fontId="47" fillId="0" borderId="0" xfId="4" applyNumberFormat="1" applyFont="1" applyFill="1" applyBorder="1" applyAlignment="1">
      <alignment horizontal="right" vertical="center"/>
    </xf>
    <xf numFmtId="168" fontId="43" fillId="0" borderId="0" xfId="1" applyNumberFormat="1" applyFont="1" applyFill="1" applyBorder="1" applyAlignment="1">
      <alignment horizontal="right" vertical="center"/>
    </xf>
    <xf numFmtId="164" fontId="43" fillId="0" borderId="0" xfId="0" applyNumberFormat="1" applyFont="1" applyAlignment="1">
      <alignment horizontal="right" vertical="center"/>
    </xf>
    <xf numFmtId="167" fontId="47" fillId="0" borderId="2" xfId="4" applyNumberFormat="1" applyFont="1" applyFill="1" applyBorder="1" applyAlignment="1">
      <alignment horizontal="right" vertical="center"/>
    </xf>
    <xf numFmtId="179" fontId="43" fillId="0" borderId="0" xfId="0" applyNumberFormat="1" applyFont="1" applyAlignment="1">
      <alignment horizontal="right" vertical="center"/>
    </xf>
    <xf numFmtId="168" fontId="26" fillId="0" borderId="0" xfId="1" applyNumberFormat="1" applyFont="1" applyFill="1" applyBorder="1" applyAlignment="1">
      <alignment horizontal="right" vertical="center"/>
    </xf>
    <xf numFmtId="168" fontId="40" fillId="0" borderId="14" xfId="1" applyNumberFormat="1" applyFont="1" applyFill="1" applyBorder="1" applyAlignment="1">
      <alignment horizontal="right" vertical="center"/>
    </xf>
    <xf numFmtId="168" fontId="43" fillId="0" borderId="14" xfId="1" applyNumberFormat="1" applyFont="1" applyFill="1" applyBorder="1" applyAlignment="1">
      <alignment horizontal="right" vertical="center"/>
    </xf>
    <xf numFmtId="179" fontId="40" fillId="0" borderId="0" xfId="0" applyNumberFormat="1" applyFont="1" applyAlignment="1">
      <alignment horizontal="right" vertical="center"/>
    </xf>
    <xf numFmtId="167" fontId="47" fillId="0" borderId="0" xfId="4" applyNumberFormat="1" applyFont="1" applyFill="1" applyAlignment="1">
      <alignment horizontal="right" vertical="center"/>
    </xf>
    <xf numFmtId="168" fontId="44" fillId="0" borderId="0" xfId="1" applyNumberFormat="1" applyFont="1" applyFill="1" applyAlignment="1">
      <alignment horizontal="right" vertical="center"/>
    </xf>
    <xf numFmtId="168" fontId="43" fillId="0" borderId="0" xfId="1" applyNumberFormat="1" applyFont="1" applyFill="1" applyAlignment="1">
      <alignment horizontal="right" vertical="center"/>
    </xf>
    <xf numFmtId="168" fontId="26" fillId="0" borderId="5" xfId="1" applyNumberFormat="1" applyFont="1" applyFill="1" applyBorder="1" applyAlignment="1">
      <alignment horizontal="right" vertical="center"/>
    </xf>
    <xf numFmtId="168" fontId="46" fillId="0" borderId="0" xfId="1" applyNumberFormat="1" applyFont="1" applyFill="1" applyAlignment="1">
      <alignment horizontal="right" vertical="center"/>
    </xf>
    <xf numFmtId="167" fontId="43" fillId="0" borderId="0" xfId="4" applyNumberFormat="1" applyFont="1" applyFill="1" applyAlignment="1">
      <alignment horizontal="right" vertical="center"/>
    </xf>
    <xf numFmtId="167" fontId="43" fillId="0" borderId="2" xfId="4" applyNumberFormat="1" applyFont="1" applyFill="1" applyBorder="1" applyAlignment="1">
      <alignment horizontal="right" vertical="center"/>
    </xf>
    <xf numFmtId="9" fontId="43" fillId="0" borderId="0" xfId="4" applyFont="1" applyFill="1" applyAlignment="1">
      <alignment horizontal="right" vertical="center"/>
    </xf>
    <xf numFmtId="9" fontId="43" fillId="0" borderId="2" xfId="4" applyFont="1" applyFill="1" applyBorder="1" applyAlignment="1">
      <alignment horizontal="right" vertical="center"/>
    </xf>
    <xf numFmtId="179" fontId="43" fillId="0" borderId="14" xfId="0" applyNumberFormat="1" applyFont="1" applyBorder="1" applyAlignment="1">
      <alignment horizontal="right" vertical="center"/>
    </xf>
    <xf numFmtId="179" fontId="43" fillId="0" borderId="2" xfId="0" applyNumberFormat="1" applyFont="1" applyBorder="1" applyAlignment="1">
      <alignment horizontal="right" vertical="center"/>
    </xf>
    <xf numFmtId="179" fontId="43" fillId="0" borderId="15" xfId="0" applyNumberFormat="1" applyFont="1" applyBorder="1" applyAlignment="1">
      <alignment horizontal="right" vertical="center"/>
    </xf>
    <xf numFmtId="167" fontId="43" fillId="0" borderId="0" xfId="0" applyNumberFormat="1" applyFont="1" applyAlignment="1">
      <alignment horizontal="right" vertical="center"/>
    </xf>
    <xf numFmtId="167" fontId="43" fillId="0" borderId="2" xfId="0" applyNumberFormat="1" applyFont="1" applyBorder="1" applyAlignment="1">
      <alignment vertical="center"/>
    </xf>
    <xf numFmtId="167" fontId="43" fillId="0" borderId="5" xfId="4" applyNumberFormat="1" applyFont="1" applyFill="1" applyBorder="1" applyAlignment="1">
      <alignment horizontal="right" vertical="center"/>
    </xf>
    <xf numFmtId="167" fontId="43" fillId="0" borderId="6" xfId="4" applyNumberFormat="1" applyFont="1" applyFill="1" applyBorder="1" applyAlignment="1">
      <alignment horizontal="right" vertical="center"/>
    </xf>
    <xf numFmtId="168" fontId="42" fillId="0" borderId="0" xfId="1" applyNumberFormat="1" applyFont="1" applyFill="1" applyAlignment="1">
      <alignment horizontal="right" vertical="center"/>
    </xf>
    <xf numFmtId="168" fontId="47" fillId="0" borderId="0" xfId="1" applyNumberFormat="1" applyFont="1" applyFill="1" applyAlignment="1">
      <alignment horizontal="right" vertical="center"/>
    </xf>
    <xf numFmtId="168" fontId="40" fillId="0" borderId="5" xfId="1" applyNumberFormat="1" applyFont="1" applyFill="1" applyBorder="1" applyAlignment="1">
      <alignment horizontal="right" vertical="center"/>
    </xf>
    <xf numFmtId="168" fontId="43" fillId="0" borderId="5" xfId="1" applyNumberFormat="1" applyFont="1" applyFill="1" applyBorder="1" applyAlignment="1">
      <alignment horizontal="right" vertical="center"/>
    </xf>
    <xf numFmtId="168" fontId="39" fillId="0" borderId="5" xfId="1" applyNumberFormat="1" applyFont="1" applyFill="1" applyBorder="1" applyAlignment="1">
      <alignment horizontal="right" vertical="center"/>
    </xf>
    <xf numFmtId="172" fontId="44" fillId="0" borderId="5" xfId="1" applyNumberFormat="1" applyFont="1" applyFill="1" applyBorder="1" applyAlignment="1">
      <alignment horizontal="right" vertical="center"/>
    </xf>
    <xf numFmtId="172" fontId="44" fillId="0" borderId="6" xfId="2" applyNumberFormat="1" applyFont="1" applyFill="1" applyBorder="1" applyAlignment="1">
      <alignment horizontal="right" vertical="center"/>
    </xf>
    <xf numFmtId="164" fontId="43" fillId="0" borderId="0" xfId="2" applyFont="1" applyFill="1" applyAlignment="1">
      <alignment horizontal="right" vertical="center"/>
    </xf>
    <xf numFmtId="164" fontId="43" fillId="0" borderId="2" xfId="2" applyFont="1" applyFill="1" applyBorder="1" applyAlignment="1">
      <alignment horizontal="right" vertical="center"/>
    </xf>
    <xf numFmtId="173" fontId="12" fillId="0" borderId="0" xfId="0" applyNumberFormat="1" applyFont="1" applyAlignment="1">
      <alignment horizontal="right" vertical="center"/>
    </xf>
    <xf numFmtId="173" fontId="12" fillId="0" borderId="2" xfId="0" applyNumberFormat="1" applyFont="1" applyBorder="1" applyAlignment="1">
      <alignment horizontal="right" vertical="center"/>
    </xf>
    <xf numFmtId="173" fontId="12" fillId="0" borderId="14" xfId="0" applyNumberFormat="1" applyFont="1" applyBorder="1" applyAlignment="1">
      <alignment horizontal="right" vertical="center"/>
    </xf>
    <xf numFmtId="173" fontId="12" fillId="0" borderId="15" xfId="0" applyNumberFormat="1" applyFont="1" applyBorder="1" applyAlignment="1">
      <alignment horizontal="right" vertical="center"/>
    </xf>
    <xf numFmtId="167" fontId="43" fillId="0" borderId="14" xfId="2" applyNumberFormat="1" applyFont="1" applyFill="1" applyBorder="1" applyAlignment="1">
      <alignment horizontal="right" vertical="center"/>
    </xf>
    <xf numFmtId="167" fontId="43" fillId="0" borderId="15" xfId="2" applyNumberFormat="1" applyFont="1" applyFill="1" applyBorder="1" applyAlignment="1">
      <alignment horizontal="right" vertical="center"/>
    </xf>
    <xf numFmtId="167" fontId="12" fillId="0" borderId="14" xfId="4" applyNumberFormat="1" applyFont="1" applyFill="1" applyBorder="1" applyAlignment="1">
      <alignment horizontal="right" vertical="center"/>
    </xf>
    <xf numFmtId="167" fontId="12" fillId="0" borderId="15" xfId="4" applyNumberFormat="1" applyFont="1" applyFill="1" applyBorder="1" applyAlignment="1">
      <alignment horizontal="right" vertical="center"/>
    </xf>
    <xf numFmtId="167" fontId="44" fillId="0" borderId="14" xfId="0" applyNumberFormat="1" applyFont="1" applyBorder="1" applyAlignment="1">
      <alignment horizontal="right" vertical="center"/>
    </xf>
    <xf numFmtId="167" fontId="44" fillId="0" borderId="15" xfId="4" applyNumberFormat="1" applyFont="1" applyBorder="1" applyAlignment="1">
      <alignment horizontal="right" vertical="center"/>
    </xf>
    <xf numFmtId="166" fontId="43" fillId="0" borderId="0" xfId="0" applyNumberFormat="1" applyFont="1" applyAlignment="1">
      <alignment horizontal="right" vertical="center"/>
    </xf>
    <xf numFmtId="174" fontId="43" fillId="0" borderId="2" xfId="2" applyNumberFormat="1" applyFont="1" applyFill="1" applyBorder="1" applyAlignment="1">
      <alignment horizontal="right" vertical="center"/>
    </xf>
    <xf numFmtId="167" fontId="43" fillId="0" borderId="2" xfId="4" applyNumberFormat="1" applyFont="1" applyBorder="1" applyAlignment="1">
      <alignment horizontal="right" vertical="center"/>
    </xf>
    <xf numFmtId="175" fontId="43" fillId="0" borderId="0" xfId="0" applyNumberFormat="1" applyFont="1" applyAlignment="1">
      <alignment horizontal="right" vertical="center"/>
    </xf>
    <xf numFmtId="175" fontId="43" fillId="0" borderId="2" xfId="4" applyNumberFormat="1" applyFont="1" applyFill="1" applyBorder="1" applyAlignment="1">
      <alignment horizontal="right" vertical="center"/>
    </xf>
    <xf numFmtId="174" fontId="44" fillId="0" borderId="2" xfId="2" applyNumberFormat="1" applyFont="1" applyFill="1" applyBorder="1" applyAlignment="1">
      <alignment horizontal="right" vertical="center"/>
    </xf>
    <xf numFmtId="168" fontId="43" fillId="0" borderId="2" xfId="0" applyNumberFormat="1" applyFont="1" applyBorder="1" applyAlignment="1">
      <alignment horizontal="right" vertical="center"/>
    </xf>
    <xf numFmtId="168" fontId="44" fillId="0" borderId="2" xfId="0" applyNumberFormat="1" applyFont="1" applyBorder="1" applyAlignment="1">
      <alignment horizontal="right" vertical="center"/>
    </xf>
    <xf numFmtId="174" fontId="44" fillId="0" borderId="0" xfId="0" applyNumberFormat="1" applyFont="1" applyAlignment="1">
      <alignment horizontal="right" vertical="center"/>
    </xf>
    <xf numFmtId="168" fontId="12" fillId="0" borderId="0" xfId="2" applyNumberFormat="1" applyFont="1" applyFill="1" applyAlignment="1">
      <alignment horizontal="right" vertical="center"/>
    </xf>
    <xf numFmtId="164" fontId="43" fillId="0" borderId="2" xfId="0" applyNumberFormat="1" applyFont="1" applyBorder="1" applyAlignment="1">
      <alignment horizontal="right" vertical="center"/>
    </xf>
    <xf numFmtId="167" fontId="12" fillId="0" borderId="5" xfId="0" applyNumberFormat="1" applyFont="1" applyBorder="1" applyAlignment="1">
      <alignment horizontal="left" vertical="center" indent="1"/>
    </xf>
    <xf numFmtId="171" fontId="12" fillId="4" borderId="0" xfId="0" applyNumberFormat="1" applyFont="1" applyFill="1" applyAlignment="1">
      <alignment vertical="center"/>
    </xf>
    <xf numFmtId="166" fontId="12" fillId="4" borderId="19" xfId="1" applyFont="1" applyFill="1" applyBorder="1" applyAlignment="1">
      <alignment horizontal="right" vertical="center"/>
    </xf>
    <xf numFmtId="166" fontId="13" fillId="4" borderId="0" xfId="1" applyFont="1" applyFill="1" applyBorder="1" applyAlignment="1">
      <alignment horizontal="right" vertical="center"/>
    </xf>
    <xf numFmtId="180" fontId="13" fillId="4" borderId="5" xfId="3" applyNumberFormat="1" applyFont="1" applyFill="1" applyBorder="1" applyAlignment="1">
      <alignment horizontal="right" vertical="center"/>
    </xf>
    <xf numFmtId="167" fontId="12" fillId="4" borderId="0" xfId="4" applyNumberFormat="1" applyFont="1" applyFill="1" applyBorder="1" applyAlignment="1">
      <alignment horizontal="right" vertical="center"/>
    </xf>
    <xf numFmtId="175" fontId="12" fillId="4" borderId="0" xfId="0" applyNumberFormat="1" applyFont="1" applyFill="1" applyAlignment="1">
      <alignment horizontal="right" vertical="center"/>
    </xf>
    <xf numFmtId="39" fontId="12" fillId="4" borderId="5" xfId="0" applyNumberFormat="1" applyFont="1" applyFill="1" applyBorder="1" applyAlignment="1">
      <alignment vertical="center"/>
    </xf>
    <xf numFmtId="180" fontId="12" fillId="4" borderId="0" xfId="3" applyNumberFormat="1" applyFont="1" applyFill="1" applyBorder="1" applyAlignment="1">
      <alignment horizontal="right" vertical="center"/>
    </xf>
    <xf numFmtId="172" fontId="30" fillId="4" borderId="0" xfId="1" applyNumberFormat="1" applyFont="1" applyFill="1" applyBorder="1" applyAlignment="1">
      <alignment horizontal="right" vertical="center"/>
    </xf>
    <xf numFmtId="37" fontId="12" fillId="4" borderId="0" xfId="7" applyNumberFormat="1" applyFont="1" applyFill="1" applyAlignment="1">
      <alignment vertical="center"/>
    </xf>
    <xf numFmtId="9" fontId="31" fillId="0" borderId="0" xfId="4" applyFont="1" applyFill="1" applyAlignment="1">
      <alignment horizontal="left" vertical="center" indent="1"/>
    </xf>
    <xf numFmtId="9" fontId="31" fillId="0" borderId="0" xfId="4" applyFont="1" applyFill="1" applyBorder="1" applyAlignment="1">
      <alignment horizontal="left" vertical="center" indent="1"/>
    </xf>
    <xf numFmtId="4" fontId="34" fillId="0" borderId="0" xfId="1" applyNumberFormat="1" applyFont="1" applyFill="1" applyBorder="1" applyAlignment="1">
      <alignment vertical="center"/>
    </xf>
    <xf numFmtId="3" fontId="12" fillId="0" borderId="2" xfId="4" applyNumberFormat="1" applyFont="1" applyBorder="1" applyAlignment="1">
      <alignment vertical="center"/>
    </xf>
    <xf numFmtId="164" fontId="39" fillId="5" borderId="0" xfId="2" applyFont="1" applyFill="1" applyAlignment="1">
      <alignment horizontal="right" vertical="center"/>
    </xf>
    <xf numFmtId="168" fontId="13" fillId="5" borderId="2" xfId="1" applyNumberFormat="1" applyFont="1" applyFill="1" applyBorder="1" applyAlignment="1">
      <alignment horizontal="right" vertical="center"/>
    </xf>
    <xf numFmtId="164" fontId="13" fillId="5" borderId="0" xfId="2" applyFont="1" applyFill="1" applyAlignment="1">
      <alignment horizontal="right" vertical="center"/>
    </xf>
    <xf numFmtId="173" fontId="26" fillId="0" borderId="14" xfId="0" applyNumberFormat="1" applyFont="1" applyBorder="1" applyAlignment="1">
      <alignment horizontal="right" vertical="center"/>
    </xf>
    <xf numFmtId="171" fontId="12" fillId="0" borderId="0" xfId="0" applyNumberFormat="1" applyFont="1" applyAlignment="1">
      <alignment vertical="center"/>
    </xf>
    <xf numFmtId="0" fontId="48" fillId="6" borderId="0" xfId="0" applyFont="1" applyFill="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7" borderId="0" xfId="0" quotePrefix="1" applyFill="1" applyAlignment="1">
      <alignment horizontal="center" vertical="center"/>
    </xf>
    <xf numFmtId="14" fontId="0" fillId="7" borderId="0" xfId="0" applyNumberFormat="1" applyFill="1" applyAlignment="1">
      <alignment horizontal="center" vertical="center"/>
    </xf>
    <xf numFmtId="10" fontId="0" fillId="7" borderId="0" xfId="0" applyNumberFormat="1" applyFill="1" applyAlignment="1">
      <alignment horizontal="center" vertical="center"/>
    </xf>
    <xf numFmtId="9" fontId="0" fillId="7" borderId="0" xfId="0" applyNumberFormat="1" applyFill="1" applyAlignment="1">
      <alignment horizontal="center" vertical="center"/>
    </xf>
    <xf numFmtId="3" fontId="0" fillId="7" borderId="0" xfId="11" applyNumberFormat="1" applyFont="1" applyFill="1" applyAlignment="1">
      <alignment horizontal="center" vertical="center"/>
    </xf>
    <xf numFmtId="0" fontId="49" fillId="6" borderId="0" xfId="0" applyFont="1" applyFill="1" applyAlignment="1">
      <alignment horizontal="center" vertical="center"/>
    </xf>
    <xf numFmtId="168" fontId="50" fillId="8" borderId="27" xfId="12" applyNumberFormat="1" applyFont="1" applyFill="1" applyBorder="1" applyAlignment="1" applyProtection="1">
      <alignment horizontal="center" vertical="center"/>
      <protection locked="0"/>
    </xf>
    <xf numFmtId="168" fontId="50" fillId="9" borderId="27" xfId="12" applyNumberFormat="1" applyFont="1" applyFill="1" applyBorder="1" applyAlignment="1" applyProtection="1">
      <alignment horizontal="center" vertical="center"/>
      <protection locked="0"/>
    </xf>
    <xf numFmtId="0" fontId="51" fillId="0" borderId="5" xfId="0" applyFont="1" applyBorder="1"/>
    <xf numFmtId="0" fontId="0" fillId="10" borderId="0" xfId="0" applyFill="1" applyAlignment="1">
      <alignment horizontal="center" vertical="center"/>
    </xf>
    <xf numFmtId="0" fontId="0" fillId="10" borderId="28" xfId="0" applyFill="1" applyBorder="1" applyAlignment="1">
      <alignment horizontal="center" vertical="center"/>
    </xf>
    <xf numFmtId="3" fontId="0" fillId="5" borderId="0" xfId="0" applyNumberFormat="1" applyFill="1" applyAlignment="1">
      <alignment horizontal="center" vertical="center"/>
    </xf>
    <xf numFmtId="3" fontId="52" fillId="0" borderId="0" xfId="13" applyNumberFormat="1" applyFont="1" applyAlignment="1" applyProtection="1">
      <alignment horizontal="center"/>
      <protection locked="0"/>
    </xf>
    <xf numFmtId="3" fontId="0" fillId="0" borderId="0" xfId="0" applyNumberFormat="1" applyAlignment="1">
      <alignment horizontal="center" vertical="center"/>
    </xf>
    <xf numFmtId="167" fontId="0" fillId="0" borderId="0" xfId="4" applyNumberFormat="1" applyFont="1" applyAlignment="1">
      <alignment horizontal="center" vertical="center"/>
    </xf>
    <xf numFmtId="167" fontId="20" fillId="0" borderId="0" xfId="4" applyNumberFormat="1" applyFont="1" applyAlignment="1">
      <alignment horizontal="right" vertical="center"/>
    </xf>
    <xf numFmtId="167" fontId="20" fillId="0" borderId="2" xfId="4" applyNumberFormat="1" applyFont="1" applyBorder="1" applyAlignment="1">
      <alignment horizontal="right" vertical="center"/>
    </xf>
    <xf numFmtId="3" fontId="12" fillId="0" borderId="2" xfId="0" applyNumberFormat="1" applyFont="1" applyBorder="1" applyAlignment="1">
      <alignment vertical="center"/>
    </xf>
    <xf numFmtId="4" fontId="12" fillId="0" borderId="0" xfId="1" applyNumberFormat="1" applyFont="1" applyBorder="1" applyAlignment="1">
      <alignment horizontal="right" vertical="center"/>
    </xf>
    <xf numFmtId="9" fontId="12" fillId="0" borderId="2" xfId="0" applyNumberFormat="1" applyFont="1" applyBorder="1" applyAlignment="1">
      <alignment horizontal="right" vertical="center"/>
    </xf>
    <xf numFmtId="43" fontId="12" fillId="0" borderId="0" xfId="0" applyNumberFormat="1" applyFont="1" applyAlignment="1">
      <alignment vertical="center"/>
    </xf>
    <xf numFmtId="4" fontId="12" fillId="0" borderId="0" xfId="4" applyNumberFormat="1" applyFont="1" applyFill="1" applyAlignment="1">
      <alignment horizontal="right" vertical="center"/>
    </xf>
    <xf numFmtId="0" fontId="34" fillId="0" borderId="0" xfId="0" applyFont="1" applyAlignment="1">
      <alignment vertical="center"/>
    </xf>
    <xf numFmtId="0" fontId="53" fillId="0" borderId="0" xfId="0" applyFont="1" applyAlignment="1">
      <alignment vertical="center"/>
    </xf>
    <xf numFmtId="0" fontId="34" fillId="0" borderId="0" xfId="7" applyFont="1" applyAlignment="1">
      <alignment vertical="center"/>
    </xf>
    <xf numFmtId="1" fontId="33" fillId="3" borderId="10" xfId="0" applyNumberFormat="1" applyFont="1" applyFill="1" applyBorder="1" applyAlignment="1">
      <alignment horizontal="right" vertical="center"/>
    </xf>
    <xf numFmtId="166" fontId="33" fillId="3" borderId="10" xfId="0" applyNumberFormat="1" applyFont="1" applyFill="1" applyBorder="1" applyAlignment="1">
      <alignment horizontal="right" vertical="center"/>
    </xf>
    <xf numFmtId="168" fontId="34" fillId="11" borderId="0" xfId="0" applyNumberFormat="1" applyFont="1" applyFill="1" applyAlignment="1">
      <alignment horizontal="right" vertical="center"/>
    </xf>
    <xf numFmtId="167" fontId="37" fillId="5" borderId="0" xfId="4" applyNumberFormat="1" applyFont="1" applyFill="1" applyAlignment="1">
      <alignment horizontal="right" vertical="center"/>
    </xf>
    <xf numFmtId="167" fontId="37" fillId="5" borderId="12" xfId="4" applyNumberFormat="1" applyFont="1" applyFill="1" applyBorder="1" applyAlignment="1">
      <alignment horizontal="right" vertical="center"/>
    </xf>
    <xf numFmtId="168" fontId="31" fillId="11" borderId="0" xfId="0" applyNumberFormat="1" applyFont="1" applyFill="1" applyAlignment="1">
      <alignment horizontal="right" vertical="center"/>
    </xf>
    <xf numFmtId="167" fontId="37" fillId="0" borderId="0" xfId="4" applyNumberFormat="1" applyFont="1" applyAlignment="1">
      <alignment horizontal="right" vertical="center"/>
    </xf>
    <xf numFmtId="167" fontId="37" fillId="0" borderId="12" xfId="4" applyNumberFormat="1" applyFont="1" applyBorder="1" applyAlignment="1">
      <alignment horizontal="right" vertical="center"/>
    </xf>
    <xf numFmtId="167" fontId="37" fillId="11" borderId="0" xfId="4" applyNumberFormat="1" applyFont="1" applyFill="1" applyAlignment="1">
      <alignment horizontal="right" vertical="center"/>
    </xf>
    <xf numFmtId="167" fontId="37" fillId="0" borderId="0" xfId="4" applyNumberFormat="1" applyFont="1" applyFill="1" applyAlignment="1">
      <alignment horizontal="right" vertical="center"/>
    </xf>
    <xf numFmtId="182" fontId="37" fillId="0" borderId="0" xfId="4" applyNumberFormat="1" applyFont="1" applyFill="1" applyAlignment="1">
      <alignment horizontal="right" vertical="center"/>
    </xf>
    <xf numFmtId="167" fontId="37" fillId="11" borderId="12" xfId="4" applyNumberFormat="1" applyFont="1" applyFill="1" applyBorder="1" applyAlignment="1">
      <alignment horizontal="right" vertical="center"/>
    </xf>
    <xf numFmtId="167" fontId="37" fillId="0" borderId="12" xfId="4" applyNumberFormat="1" applyFont="1" applyFill="1" applyBorder="1" applyAlignment="1">
      <alignment horizontal="right" vertical="center"/>
    </xf>
    <xf numFmtId="182" fontId="37" fillId="0" borderId="12" xfId="4" applyNumberFormat="1" applyFont="1" applyFill="1" applyBorder="1" applyAlignment="1">
      <alignment horizontal="right" vertical="center"/>
    </xf>
    <xf numFmtId="0" fontId="54" fillId="0" borderId="0" xfId="0" applyFont="1" applyAlignment="1">
      <alignment vertical="center"/>
    </xf>
    <xf numFmtId="167" fontId="54" fillId="11" borderId="0" xfId="4" applyNumberFormat="1" applyFont="1" applyFill="1" applyBorder="1" applyAlignment="1">
      <alignment vertical="center"/>
    </xf>
    <xf numFmtId="167" fontId="54" fillId="0" borderId="0" xfId="4" applyNumberFormat="1" applyFont="1" applyBorder="1" applyAlignment="1">
      <alignment vertical="center"/>
    </xf>
    <xf numFmtId="4" fontId="31" fillId="5" borderId="0" xfId="1" applyNumberFormat="1" applyFont="1" applyFill="1" applyAlignment="1">
      <alignment vertical="center"/>
    </xf>
    <xf numFmtId="168" fontId="31" fillId="5" borderId="0" xfId="0" applyNumberFormat="1" applyFont="1" applyFill="1" applyAlignment="1">
      <alignment horizontal="right" vertical="center"/>
    </xf>
    <xf numFmtId="4" fontId="31" fillId="5" borderId="12" xfId="1" applyNumberFormat="1" applyFont="1" applyFill="1" applyBorder="1" applyAlignment="1">
      <alignment vertical="center"/>
    </xf>
    <xf numFmtId="168" fontId="31" fillId="11" borderId="12" xfId="0" applyNumberFormat="1" applyFont="1" applyFill="1" applyBorder="1" applyAlignment="1">
      <alignment horizontal="right" vertical="center"/>
    </xf>
    <xf numFmtId="168" fontId="31" fillId="5" borderId="12" xfId="0" applyNumberFormat="1" applyFont="1" applyFill="1" applyBorder="1" applyAlignment="1">
      <alignment horizontal="right" vertical="center"/>
    </xf>
    <xf numFmtId="4" fontId="34" fillId="5" borderId="0" xfId="1" applyNumberFormat="1" applyFont="1" applyFill="1" applyBorder="1" applyAlignment="1">
      <alignment vertical="center"/>
    </xf>
    <xf numFmtId="167" fontId="37" fillId="5" borderId="0" xfId="4" applyNumberFormat="1" applyFont="1" applyFill="1" applyBorder="1" applyAlignment="1">
      <alignment horizontal="right" vertical="center"/>
    </xf>
    <xf numFmtId="0" fontId="53" fillId="0" borderId="5" xfId="0" applyFont="1" applyBorder="1" applyAlignment="1">
      <alignment vertical="center"/>
    </xf>
    <xf numFmtId="167" fontId="53" fillId="11" borderId="5" xfId="4" applyNumberFormat="1" applyFont="1" applyFill="1" applyBorder="1" applyAlignment="1">
      <alignment vertical="center"/>
    </xf>
    <xf numFmtId="167" fontId="53" fillId="0" borderId="5" xfId="4" applyNumberFormat="1" applyFont="1" applyBorder="1" applyAlignment="1">
      <alignment vertical="center"/>
    </xf>
    <xf numFmtId="167" fontId="37" fillId="0" borderId="0" xfId="4" applyNumberFormat="1" applyFont="1" applyBorder="1" applyAlignment="1">
      <alignment horizontal="right" vertical="center"/>
    </xf>
    <xf numFmtId="4" fontId="31" fillId="0" borderId="12" xfId="1" applyNumberFormat="1" applyFont="1" applyFill="1" applyBorder="1" applyAlignment="1">
      <alignment vertical="center"/>
    </xf>
    <xf numFmtId="170" fontId="31" fillId="11" borderId="12" xfId="0" applyNumberFormat="1" applyFont="1" applyFill="1" applyBorder="1" applyAlignment="1">
      <alignment horizontal="right" vertical="center"/>
    </xf>
    <xf numFmtId="170" fontId="31" fillId="0" borderId="12" xfId="0" applyNumberFormat="1" applyFont="1" applyBorder="1" applyAlignment="1">
      <alignment horizontal="right" vertical="center"/>
    </xf>
    <xf numFmtId="168" fontId="40" fillId="4" borderId="0" xfId="1" applyNumberFormat="1" applyFont="1" applyFill="1" applyBorder="1" applyAlignment="1">
      <alignment horizontal="right" vertical="center"/>
    </xf>
    <xf numFmtId="168" fontId="39" fillId="4" borderId="0" xfId="1" applyNumberFormat="1" applyFont="1" applyFill="1" applyAlignment="1">
      <alignment horizontal="right" vertical="center"/>
    </xf>
    <xf numFmtId="182" fontId="54" fillId="0" borderId="5" xfId="4" applyNumberFormat="1" applyFont="1" applyBorder="1" applyAlignment="1">
      <alignment vertical="center"/>
    </xf>
    <xf numFmtId="167" fontId="47" fillId="4" borderId="0" xfId="4" applyNumberFormat="1" applyFont="1" applyFill="1" applyBorder="1" applyAlignment="1">
      <alignment horizontal="right" vertical="center"/>
    </xf>
    <xf numFmtId="0" fontId="57" fillId="0" borderId="0" xfId="0" applyFont="1" applyAlignment="1">
      <alignment horizontal="left" vertical="center"/>
    </xf>
    <xf numFmtId="168" fontId="57" fillId="0" borderId="0" xfId="1" applyNumberFormat="1" applyFont="1" applyFill="1" applyBorder="1" applyAlignment="1">
      <alignment horizontal="right" vertical="center"/>
    </xf>
    <xf numFmtId="168" fontId="57" fillId="0" borderId="2" xfId="1" applyNumberFormat="1" applyFont="1" applyFill="1" applyBorder="1" applyAlignment="1">
      <alignment horizontal="right" vertical="center"/>
    </xf>
    <xf numFmtId="167" fontId="28" fillId="4" borderId="0" xfId="4" applyNumberFormat="1" applyFont="1" applyFill="1" applyBorder="1" applyAlignment="1">
      <alignment horizontal="right" vertical="center"/>
    </xf>
    <xf numFmtId="4" fontId="12" fillId="0" borderId="0" xfId="1" applyNumberFormat="1" applyFont="1" applyFill="1" applyBorder="1" applyAlignment="1">
      <alignment horizontal="right" vertical="center"/>
    </xf>
    <xf numFmtId="1" fontId="33" fillId="3" borderId="10" xfId="0" applyNumberFormat="1" applyFont="1" applyFill="1" applyBorder="1" applyAlignment="1">
      <alignment horizontal="center" vertical="center"/>
    </xf>
    <xf numFmtId="166" fontId="33" fillId="3" borderId="10" xfId="0" applyNumberFormat="1" applyFont="1" applyFill="1" applyBorder="1" applyAlignment="1">
      <alignment horizontal="center" vertical="center"/>
    </xf>
    <xf numFmtId="4" fontId="34" fillId="5" borderId="29" xfId="1" applyNumberFormat="1" applyFont="1" applyFill="1" applyBorder="1" applyAlignment="1">
      <alignment vertical="center"/>
    </xf>
    <xf numFmtId="9" fontId="34" fillId="5" borderId="29" xfId="4" applyFont="1" applyFill="1" applyBorder="1" applyAlignment="1">
      <alignment horizontal="right" vertical="center"/>
    </xf>
    <xf numFmtId="4" fontId="31" fillId="0" borderId="30" xfId="1" applyNumberFormat="1" applyFont="1" applyFill="1" applyBorder="1" applyAlignment="1">
      <alignment horizontal="left" vertical="center"/>
    </xf>
    <xf numFmtId="9" fontId="31" fillId="0" borderId="30" xfId="4" applyFont="1" applyBorder="1" applyAlignment="1">
      <alignment horizontal="right" vertical="center"/>
    </xf>
    <xf numFmtId="4" fontId="34" fillId="0" borderId="30" xfId="1" applyNumberFormat="1" applyFont="1" applyFill="1" applyBorder="1" applyAlignment="1">
      <alignment horizontal="left" vertical="center"/>
    </xf>
    <xf numFmtId="9" fontId="34" fillId="0" borderId="30" xfId="4" applyFont="1" applyBorder="1" applyAlignment="1">
      <alignment horizontal="right" vertical="center"/>
    </xf>
    <xf numFmtId="4" fontId="31" fillId="5" borderId="31" xfId="1" applyNumberFormat="1" applyFont="1" applyFill="1" applyBorder="1" applyAlignment="1">
      <alignment vertical="center"/>
    </xf>
    <xf numFmtId="9" fontId="31" fillId="5" borderId="31" xfId="4" applyFont="1" applyFill="1" applyBorder="1" applyAlignment="1">
      <alignment horizontal="right" vertical="center"/>
    </xf>
    <xf numFmtId="4" fontId="34" fillId="5" borderId="32" xfId="1" applyNumberFormat="1" applyFont="1" applyFill="1" applyBorder="1" applyAlignment="1">
      <alignment vertical="center"/>
    </xf>
    <xf numFmtId="9" fontId="34" fillId="5" borderId="30" xfId="4" applyFont="1" applyFill="1" applyBorder="1" applyAlignment="1">
      <alignment horizontal="right" vertical="center"/>
    </xf>
    <xf numFmtId="4" fontId="31" fillId="0" borderId="30" xfId="1" applyNumberFormat="1" applyFont="1" applyFill="1" applyBorder="1" applyAlignment="1">
      <alignment horizontal="left" vertical="center" indent="1"/>
    </xf>
    <xf numFmtId="4" fontId="34" fillId="0" borderId="31" xfId="1" applyNumberFormat="1" applyFont="1" applyFill="1" applyBorder="1" applyAlignment="1">
      <alignment vertical="center"/>
    </xf>
    <xf numFmtId="168" fontId="34" fillId="0" borderId="12" xfId="0" applyNumberFormat="1" applyFont="1" applyBorder="1" applyAlignment="1">
      <alignment horizontal="right" vertical="center"/>
    </xf>
    <xf numFmtId="9" fontId="34" fillId="0" borderId="31" xfId="4" applyFont="1" applyBorder="1" applyAlignment="1">
      <alignment horizontal="right" vertical="center"/>
    </xf>
    <xf numFmtId="4" fontId="31" fillId="5" borderId="32" xfId="1" applyNumberFormat="1" applyFont="1" applyFill="1" applyBorder="1" applyAlignment="1">
      <alignment horizontal="left" vertical="center" indent="1"/>
    </xf>
    <xf numFmtId="4" fontId="31" fillId="5" borderId="30" xfId="1" applyNumberFormat="1" applyFont="1" applyFill="1" applyBorder="1" applyAlignment="1">
      <alignment horizontal="left" vertical="center" indent="1"/>
    </xf>
    <xf numFmtId="4" fontId="31" fillId="0" borderId="33" xfId="1" applyNumberFormat="1" applyFont="1" applyFill="1" applyBorder="1" applyAlignment="1">
      <alignment vertical="center"/>
    </xf>
    <xf numFmtId="170" fontId="31" fillId="0" borderId="5" xfId="0" applyNumberFormat="1" applyFont="1" applyBorder="1" applyAlignment="1">
      <alignment horizontal="right" vertical="center"/>
    </xf>
    <xf numFmtId="9" fontId="31" fillId="0" borderId="33" xfId="4" applyFont="1" applyBorder="1" applyAlignment="1">
      <alignment horizontal="right" vertical="center"/>
    </xf>
    <xf numFmtId="0" fontId="32" fillId="0" borderId="30" xfId="0" applyFont="1" applyBorder="1" applyAlignment="1">
      <alignment vertical="center"/>
    </xf>
    <xf numFmtId="183" fontId="54" fillId="0" borderId="30" xfId="4" applyNumberFormat="1" applyFont="1" applyBorder="1" applyAlignment="1">
      <alignment horizontal="right" vertical="center"/>
    </xf>
    <xf numFmtId="0" fontId="54" fillId="0" borderId="30" xfId="0" applyFont="1" applyBorder="1" applyAlignment="1">
      <alignment vertical="center"/>
    </xf>
    <xf numFmtId="0" fontId="53" fillId="0" borderId="33" xfId="0" applyFont="1" applyBorder="1" applyAlignment="1">
      <alignment vertical="center"/>
    </xf>
    <xf numFmtId="183" fontId="53" fillId="0" borderId="33" xfId="4" applyNumberFormat="1" applyFont="1" applyBorder="1" applyAlignment="1">
      <alignment horizontal="right" vertical="center"/>
    </xf>
    <xf numFmtId="184" fontId="32" fillId="0" borderId="0" xfId="0" applyNumberFormat="1" applyFont="1"/>
    <xf numFmtId="184" fontId="31" fillId="0" borderId="30" xfId="4" applyNumberFormat="1" applyFont="1" applyBorder="1" applyAlignment="1">
      <alignment horizontal="right" vertical="center"/>
    </xf>
    <xf numFmtId="184" fontId="54" fillId="0" borderId="30" xfId="4" applyNumberFormat="1" applyFont="1" applyBorder="1" applyAlignment="1">
      <alignment horizontal="right" vertical="center"/>
    </xf>
    <xf numFmtId="0" fontId="32" fillId="0" borderId="33" xfId="0" applyFont="1" applyBorder="1" applyAlignment="1">
      <alignment vertical="center"/>
    </xf>
    <xf numFmtId="184" fontId="32" fillId="0" borderId="5" xfId="0" applyNumberFormat="1" applyFont="1" applyBorder="1"/>
    <xf numFmtId="184" fontId="53" fillId="0" borderId="33" xfId="4" applyNumberFormat="1" applyFont="1" applyBorder="1" applyAlignment="1">
      <alignment horizontal="right" vertical="center"/>
    </xf>
    <xf numFmtId="0" fontId="32" fillId="0" borderId="0" xfId="0" applyFont="1"/>
    <xf numFmtId="0" fontId="32" fillId="0" borderId="17" xfId="0" applyFont="1" applyBorder="1"/>
    <xf numFmtId="2" fontId="32" fillId="0" borderId="17" xfId="0" applyNumberFormat="1" applyFont="1" applyBorder="1"/>
    <xf numFmtId="9" fontId="34" fillId="0" borderId="33" xfId="4" applyFont="1" applyBorder="1" applyAlignment="1">
      <alignment horizontal="right" vertical="center"/>
    </xf>
    <xf numFmtId="0" fontId="32" fillId="0" borderId="5" xfId="0" applyFont="1" applyBorder="1"/>
    <xf numFmtId="4" fontId="32" fillId="0" borderId="5" xfId="0" applyNumberFormat="1" applyFont="1" applyBorder="1"/>
    <xf numFmtId="2" fontId="32" fillId="0" borderId="5" xfId="0" applyNumberFormat="1" applyFont="1" applyBorder="1"/>
    <xf numFmtId="4" fontId="12" fillId="0" borderId="2" xfId="4" applyNumberFormat="1" applyFont="1" applyFill="1" applyBorder="1" applyAlignment="1">
      <alignment vertical="center"/>
    </xf>
    <xf numFmtId="4" fontId="34" fillId="0" borderId="0" xfId="7" applyNumberFormat="1" applyFont="1" applyAlignment="1">
      <alignment vertical="center"/>
    </xf>
    <xf numFmtId="3" fontId="12" fillId="4" borderId="0" xfId="0" applyNumberFormat="1" applyFont="1" applyFill="1" applyAlignment="1">
      <alignment vertical="center"/>
    </xf>
    <xf numFmtId="168" fontId="34" fillId="5" borderId="34" xfId="0" applyNumberFormat="1" applyFont="1" applyFill="1" applyBorder="1" applyAlignment="1">
      <alignment horizontal="right" vertical="center"/>
    </xf>
    <xf numFmtId="168" fontId="31" fillId="0" borderId="35" xfId="0" applyNumberFormat="1" applyFont="1" applyBorder="1" applyAlignment="1">
      <alignment horizontal="right" vertical="center"/>
    </xf>
    <xf numFmtId="168" fontId="34" fillId="0" borderId="35" xfId="0" applyNumberFormat="1" applyFont="1" applyBorder="1" applyAlignment="1">
      <alignment horizontal="right" vertical="center"/>
    </xf>
    <xf numFmtId="168" fontId="31" fillId="5" borderId="36" xfId="0" applyNumberFormat="1" applyFont="1" applyFill="1" applyBorder="1" applyAlignment="1">
      <alignment horizontal="right" vertical="center"/>
    </xf>
    <xf numFmtId="168" fontId="34" fillId="5" borderId="35" xfId="0" applyNumberFormat="1" applyFont="1" applyFill="1" applyBorder="1" applyAlignment="1">
      <alignment horizontal="right" vertical="center"/>
    </xf>
    <xf numFmtId="168" fontId="34" fillId="0" borderId="36" xfId="0" applyNumberFormat="1" applyFont="1" applyBorder="1" applyAlignment="1">
      <alignment horizontal="right" vertical="center"/>
    </xf>
    <xf numFmtId="170" fontId="31" fillId="0" borderId="37" xfId="0" applyNumberFormat="1" applyFont="1" applyBorder="1" applyAlignment="1">
      <alignment horizontal="right" vertical="center"/>
    </xf>
    <xf numFmtId="167" fontId="54" fillId="0" borderId="35" xfId="4" applyNumberFormat="1" applyFont="1" applyBorder="1" applyAlignment="1">
      <alignment vertical="center"/>
    </xf>
    <xf numFmtId="167" fontId="53" fillId="0" borderId="37" xfId="4" applyNumberFormat="1" applyFont="1" applyBorder="1" applyAlignment="1">
      <alignment vertical="center"/>
    </xf>
    <xf numFmtId="184" fontId="32" fillId="0" borderId="35" xfId="0" applyNumberFormat="1" applyFont="1" applyBorder="1"/>
    <xf numFmtId="184" fontId="32" fillId="0" borderId="37" xfId="0" applyNumberFormat="1" applyFont="1" applyBorder="1"/>
    <xf numFmtId="1" fontId="33" fillId="3" borderId="10" xfId="0" applyNumberFormat="1" applyFont="1" applyFill="1" applyBorder="1" applyAlignment="1">
      <alignment vertical="center"/>
    </xf>
    <xf numFmtId="167" fontId="13" fillId="0" borderId="2" xfId="0" applyNumberFormat="1" applyFont="1" applyBorder="1" applyAlignment="1">
      <alignment horizontal="right" vertical="center"/>
    </xf>
    <xf numFmtId="4" fontId="37" fillId="5" borderId="0" xfId="1" applyNumberFormat="1" applyFont="1" applyFill="1" applyAlignment="1">
      <alignment horizontal="left" vertical="center" indent="1"/>
    </xf>
    <xf numFmtId="4" fontId="37" fillId="0" borderId="12" xfId="1" applyNumberFormat="1" applyFont="1" applyFill="1" applyBorder="1" applyAlignment="1">
      <alignment horizontal="left" vertical="center" indent="1"/>
    </xf>
    <xf numFmtId="168" fontId="31" fillId="0" borderId="12" xfId="0" applyNumberFormat="1" applyFont="1" applyBorder="1" applyAlignment="1">
      <alignment horizontal="right" vertical="center"/>
    </xf>
    <xf numFmtId="167" fontId="54" fillId="0" borderId="0" xfId="4" applyNumberFormat="1" applyFont="1" applyFill="1" applyBorder="1" applyAlignment="1">
      <alignment vertical="center"/>
    </xf>
    <xf numFmtId="167" fontId="53" fillId="0" borderId="5" xfId="4" applyNumberFormat="1" applyFont="1" applyFill="1" applyBorder="1" applyAlignment="1">
      <alignment vertical="center"/>
    </xf>
    <xf numFmtId="167" fontId="36" fillId="0" borderId="0" xfId="4" applyNumberFormat="1" applyFont="1" applyAlignment="1">
      <alignment horizontal="right" vertical="center"/>
    </xf>
    <xf numFmtId="185" fontId="12" fillId="4" borderId="0" xfId="0" applyNumberFormat="1" applyFont="1" applyFill="1" applyAlignment="1">
      <alignment vertical="center"/>
    </xf>
    <xf numFmtId="168" fontId="40" fillId="5" borderId="0" xfId="0" applyNumberFormat="1" applyFont="1" applyFill="1" applyAlignment="1">
      <alignment horizontal="right" vertical="center"/>
    </xf>
    <xf numFmtId="168" fontId="12" fillId="5" borderId="2" xfId="0" applyNumberFormat="1" applyFont="1" applyFill="1" applyBorder="1" applyAlignment="1">
      <alignment horizontal="right" vertical="center"/>
    </xf>
    <xf numFmtId="168" fontId="12" fillId="5" borderId="0" xfId="0" applyNumberFormat="1" applyFont="1" applyFill="1" applyAlignment="1">
      <alignment horizontal="right" vertical="center"/>
    </xf>
    <xf numFmtId="168" fontId="12" fillId="5" borderId="2" xfId="1" applyNumberFormat="1" applyFont="1" applyFill="1" applyBorder="1" applyAlignment="1">
      <alignment horizontal="right" vertical="center"/>
    </xf>
    <xf numFmtId="4" fontId="12" fillId="0" borderId="0" xfId="4" applyNumberFormat="1" applyFont="1" applyBorder="1" applyAlignment="1">
      <alignment horizontal="right" vertical="center"/>
    </xf>
    <xf numFmtId="3" fontId="12" fillId="4" borderId="0" xfId="4" applyNumberFormat="1" applyFont="1" applyFill="1" applyAlignment="1">
      <alignment horizontal="right" vertical="center"/>
    </xf>
    <xf numFmtId="167" fontId="12" fillId="4" borderId="0" xfId="0" applyNumberFormat="1" applyFont="1" applyFill="1" applyAlignment="1">
      <alignment vertical="center"/>
    </xf>
    <xf numFmtId="0" fontId="12" fillId="4" borderId="0" xfId="0" applyFont="1" applyFill="1" applyAlignment="1">
      <alignment vertical="center"/>
    </xf>
    <xf numFmtId="9" fontId="12" fillId="0" borderId="2" xfId="4" applyFont="1" applyBorder="1" applyAlignment="1">
      <alignment vertical="center"/>
    </xf>
    <xf numFmtId="167" fontId="26" fillId="0" borderId="0" xfId="4" applyNumberFormat="1" applyFont="1" applyFill="1" applyAlignment="1">
      <alignment horizontal="right" vertical="center"/>
    </xf>
    <xf numFmtId="164" fontId="43" fillId="4" borderId="0" xfId="0" applyNumberFormat="1" applyFont="1" applyFill="1" applyAlignment="1">
      <alignment horizontal="right" vertical="center"/>
    </xf>
    <xf numFmtId="185" fontId="12" fillId="0" borderId="0" xfId="0" applyNumberFormat="1" applyFont="1" applyAlignment="1">
      <alignment vertical="center"/>
    </xf>
    <xf numFmtId="168" fontId="12" fillId="5" borderId="0" xfId="1" applyNumberFormat="1" applyFont="1" applyFill="1" applyAlignment="1">
      <alignment horizontal="right" vertical="center"/>
    </xf>
    <xf numFmtId="168" fontId="17" fillId="5" borderId="2" xfId="1" applyNumberFormat="1" applyFont="1" applyFill="1" applyBorder="1" applyAlignment="1">
      <alignment horizontal="right" vertical="center"/>
    </xf>
    <xf numFmtId="168" fontId="40" fillId="5" borderId="0" xfId="1" applyNumberFormat="1" applyFont="1" applyFill="1" applyAlignment="1">
      <alignment horizontal="right" vertical="center"/>
    </xf>
    <xf numFmtId="168" fontId="26" fillId="4" borderId="0" xfId="1" applyNumberFormat="1" applyFont="1" applyFill="1" applyBorder="1" applyAlignment="1">
      <alignment horizontal="right" vertical="center"/>
    </xf>
    <xf numFmtId="1" fontId="33" fillId="3" borderId="10" xfId="0" applyNumberFormat="1" applyFont="1" applyFill="1" applyBorder="1" applyAlignment="1">
      <alignment horizontal="center" vertical="center"/>
    </xf>
    <xf numFmtId="1" fontId="33" fillId="3" borderId="17" xfId="0" applyNumberFormat="1" applyFont="1" applyFill="1" applyBorder="1" applyAlignment="1">
      <alignment horizontal="center" vertical="center"/>
    </xf>
    <xf numFmtId="1" fontId="33" fillId="3" borderId="9" xfId="0" applyNumberFormat="1" applyFont="1" applyFill="1" applyBorder="1" applyAlignment="1">
      <alignment horizontal="center" vertical="center"/>
    </xf>
  </cellXfs>
  <cellStyles count="14">
    <cellStyle name="Comma" xfId="1" builtinId="3"/>
    <cellStyle name="Comma [0]" xfId="2" builtinId="6"/>
    <cellStyle name="Comma 2" xfId="11" xr:uid="{F00990DC-24A9-4ABA-9124-121FE964F12C}"/>
    <cellStyle name="Comma 2 4" xfId="13" xr:uid="{9CB46F4B-4307-4590-B973-C536C91736BD}"/>
    <cellStyle name="Currency" xfId="3" builtinId="4"/>
    <cellStyle name="Heading 1 2 2 2" xfId="10" xr:uid="{86E81662-B735-4281-8697-79D37EC9FC7B}"/>
    <cellStyle name="Millares 2 2" xfId="12" xr:uid="{B721C334-3584-4315-987F-471D8E3939CD}"/>
    <cellStyle name="Normal" xfId="0" builtinId="0"/>
    <cellStyle name="Normal 2" xfId="7" xr:uid="{FBD525DF-4AA9-47FE-8798-B754EA4809C3}"/>
    <cellStyle name="Normal 2 11 2" xfId="9" xr:uid="{1F01CCCB-3058-46FD-A61C-DBC762BD60F8}"/>
    <cellStyle name="Normal 88" xfId="8" xr:uid="{3894D4C3-332F-481C-B196-281C74F8229C}"/>
    <cellStyle name="Normal_GFSA3 Model 2T06" xfId="5" xr:uid="{5A197704-A381-41BE-A43B-8D17DB0EF006}"/>
    <cellStyle name="Normal_Perdigão-valuation (2T06 after)" xfId="6" xr:uid="{2C260F8F-26F0-4FCA-BC03-BE23255217A0}"/>
    <cellStyle name="Percent" xfId="4" builtinId="5"/>
  </cellStyles>
  <dxfs count="0"/>
  <tableStyles count="0" defaultTableStyle="TableStyleMedium2" defaultPivotStyle="PivotStyleLight16"/>
  <colors>
    <mruColors>
      <color rgb="FFFFFF99"/>
      <color rgb="FF008000"/>
      <color rgb="FFE7EDEA"/>
      <color rgb="FFD7E2DC"/>
      <color rgb="FF384E42"/>
      <color rgb="FF2121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247649</xdr:colOff>
      <xdr:row>1</xdr:row>
      <xdr:rowOff>0</xdr:rowOff>
    </xdr:from>
    <xdr:to>
      <xdr:col>3</xdr:col>
      <xdr:colOff>381000</xdr:colOff>
      <xdr:row>5</xdr:row>
      <xdr:rowOff>154782</xdr:rowOff>
    </xdr:to>
    <xdr:pic>
      <xdr:nvPicPr>
        <xdr:cNvPr id="4" name="Picture 3" descr="Itaú BBA apresenta novo logo e identidade visual - GKPB ...">
          <a:extLst>
            <a:ext uri="{FF2B5EF4-FFF2-40B4-BE49-F238E27FC236}">
              <a16:creationId xmlns:a16="http://schemas.microsoft.com/office/drawing/2014/main" id="{D5B69ACD-3DC3-4EA6-A742-DD18C6513F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9" y="183173"/>
          <a:ext cx="1569428" cy="887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0</xdr:col>
      <xdr:colOff>1035050</xdr:colOff>
      <xdr:row>0</xdr:row>
      <xdr:rowOff>564753</xdr:rowOff>
    </xdr:to>
    <xdr:pic>
      <xdr:nvPicPr>
        <xdr:cNvPr id="4" name="Picture 3" descr="Itaú BBA apresenta novo logo e identidade visual - GKPB ...">
          <a:extLst>
            <a:ext uri="{FF2B5EF4-FFF2-40B4-BE49-F238E27FC236}">
              <a16:creationId xmlns:a16="http://schemas.microsoft.com/office/drawing/2014/main" id="{AF64419E-F1B6-42F6-8FCE-897D372217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0"/>
          <a:ext cx="1009650" cy="567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0</xdr:col>
      <xdr:colOff>1040765</xdr:colOff>
      <xdr:row>0</xdr:row>
      <xdr:rowOff>561578</xdr:rowOff>
    </xdr:to>
    <xdr:pic>
      <xdr:nvPicPr>
        <xdr:cNvPr id="6" name="Picture 5" descr="Itaú BBA apresenta novo logo e identidade visual - GKPB ...">
          <a:extLst>
            <a:ext uri="{FF2B5EF4-FFF2-40B4-BE49-F238E27FC236}">
              <a16:creationId xmlns:a16="http://schemas.microsoft.com/office/drawing/2014/main" id="{3886B7D8-C23C-4F59-A314-BBBFA03D77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0"/>
          <a:ext cx="1009650" cy="567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0</xdr:col>
      <xdr:colOff>1039495</xdr:colOff>
      <xdr:row>0</xdr:row>
      <xdr:rowOff>564753</xdr:rowOff>
    </xdr:to>
    <xdr:pic>
      <xdr:nvPicPr>
        <xdr:cNvPr id="5" name="Picture 4" descr="Itaú BBA apresenta novo logo e identidade visual - GKPB ...">
          <a:extLst>
            <a:ext uri="{FF2B5EF4-FFF2-40B4-BE49-F238E27FC236}">
              <a16:creationId xmlns:a16="http://schemas.microsoft.com/office/drawing/2014/main" id="{41143B64-9704-4DE4-A4E8-BAC51C283A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0"/>
          <a:ext cx="1009650" cy="567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0</xdr:col>
      <xdr:colOff>1036320</xdr:colOff>
      <xdr:row>0</xdr:row>
      <xdr:rowOff>561578</xdr:rowOff>
    </xdr:to>
    <xdr:pic>
      <xdr:nvPicPr>
        <xdr:cNvPr id="3" name="Picture 2" descr="Itaú BBA apresenta novo logo e identidade visual - GKPB ...">
          <a:extLst>
            <a:ext uri="{FF2B5EF4-FFF2-40B4-BE49-F238E27FC236}">
              <a16:creationId xmlns:a16="http://schemas.microsoft.com/office/drawing/2014/main" id="{C8C8D972-E21E-4A6D-821F-9DF98F2DAD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0"/>
          <a:ext cx="1009650" cy="567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0</xdr:row>
      <xdr:rowOff>0</xdr:rowOff>
    </xdr:from>
    <xdr:to>
      <xdr:col>0</xdr:col>
      <xdr:colOff>1036320</xdr:colOff>
      <xdr:row>0</xdr:row>
      <xdr:rowOff>561578</xdr:rowOff>
    </xdr:to>
    <xdr:pic>
      <xdr:nvPicPr>
        <xdr:cNvPr id="3" name="Picture 2" descr="Itaú BBA apresenta novo logo e identidade visual - GKPB ...">
          <a:extLst>
            <a:ext uri="{FF2B5EF4-FFF2-40B4-BE49-F238E27FC236}">
              <a16:creationId xmlns:a16="http://schemas.microsoft.com/office/drawing/2014/main" id="{4E44578C-E1D3-4801-9A5F-02767AB8E0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0"/>
          <a:ext cx="1009650" cy="567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_Macro/Macro_Model_RE%20vNova.xlsx" TargetMode="External"/><Relationship Id="rId2" Type="http://schemas.openxmlformats.org/officeDocument/2006/relationships/externalLinkPath" Target="file:///Z:\Real%20Estate\_Macro\Macro_Model_RE%20vNova.xlsx" TargetMode="External"/><Relationship Id="rId1" Type="http://schemas.openxmlformats.org/officeDocument/2006/relationships/externalLinkPath" Target="/Real%20Estate/_Macro/Macro_Model_RE%20vNov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Real%20Estate\0.%20Housing\CURY\Model\CURY_Model_1Q26_BBG.xlsx" TargetMode="External"/><Relationship Id="rId1" Type="http://schemas.openxmlformats.org/officeDocument/2006/relationships/externalLinkPath" Target="Model/CURY_Model_1Q26_BB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cro_Model"/>
      <sheetName val="Brazil_Quarterly"/>
      <sheetName val="Brazil"/>
      <sheetName val="Brazil - Monthly"/>
    </sheetNames>
    <sheetDataSet>
      <sheetData sheetId="0">
        <row r="4">
          <cell r="B4">
            <v>2010</v>
          </cell>
          <cell r="C4">
            <v>2010</v>
          </cell>
          <cell r="D4">
            <v>2010</v>
          </cell>
          <cell r="E4">
            <v>2010</v>
          </cell>
          <cell r="F4">
            <v>2010</v>
          </cell>
          <cell r="G4">
            <v>2011</v>
          </cell>
          <cell r="H4">
            <v>2011</v>
          </cell>
          <cell r="I4">
            <v>2011</v>
          </cell>
          <cell r="J4">
            <v>2011</v>
          </cell>
          <cell r="K4">
            <v>2011</v>
          </cell>
          <cell r="L4">
            <v>2012</v>
          </cell>
          <cell r="M4">
            <v>2012</v>
          </cell>
          <cell r="N4">
            <v>2012</v>
          </cell>
          <cell r="O4">
            <v>2012</v>
          </cell>
          <cell r="P4">
            <v>2012</v>
          </cell>
          <cell r="Q4">
            <v>2013</v>
          </cell>
          <cell r="R4">
            <v>2013</v>
          </cell>
          <cell r="S4">
            <v>2013</v>
          </cell>
          <cell r="T4">
            <v>2013</v>
          </cell>
          <cell r="U4">
            <v>2013</v>
          </cell>
          <cell r="V4">
            <v>2014</v>
          </cell>
          <cell r="W4">
            <v>2014</v>
          </cell>
          <cell r="X4">
            <v>2014</v>
          </cell>
          <cell r="Y4">
            <v>2014</v>
          </cell>
          <cell r="Z4">
            <v>2014</v>
          </cell>
          <cell r="AA4">
            <v>2015</v>
          </cell>
          <cell r="AB4">
            <v>2015</v>
          </cell>
          <cell r="AC4">
            <v>2015</v>
          </cell>
          <cell r="AD4">
            <v>2015</v>
          </cell>
          <cell r="AE4">
            <v>2015</v>
          </cell>
          <cell r="AF4">
            <v>2016</v>
          </cell>
          <cell r="AG4">
            <v>2016</v>
          </cell>
          <cell r="AH4">
            <v>2016</v>
          </cell>
          <cell r="AI4">
            <v>2016</v>
          </cell>
          <cell r="AJ4">
            <v>2016</v>
          </cell>
          <cell r="AK4">
            <v>2017</v>
          </cell>
          <cell r="AL4">
            <v>2017</v>
          </cell>
          <cell r="AM4">
            <v>2017</v>
          </cell>
          <cell r="AN4">
            <v>2017</v>
          </cell>
          <cell r="AO4">
            <v>2017</v>
          </cell>
          <cell r="AP4">
            <v>2018</v>
          </cell>
          <cell r="AQ4">
            <v>2018</v>
          </cell>
          <cell r="AR4">
            <v>2018</v>
          </cell>
          <cell r="AS4">
            <v>2018</v>
          </cell>
          <cell r="AT4">
            <v>2018</v>
          </cell>
          <cell r="AU4">
            <v>2019</v>
          </cell>
          <cell r="AV4">
            <v>2019</v>
          </cell>
          <cell r="AW4">
            <v>2019</v>
          </cell>
          <cell r="AX4">
            <v>2019</v>
          </cell>
          <cell r="AY4">
            <v>2019</v>
          </cell>
          <cell r="AZ4">
            <v>2020</v>
          </cell>
          <cell r="BA4">
            <v>2020</v>
          </cell>
          <cell r="BB4">
            <v>2020</v>
          </cell>
          <cell r="BC4">
            <v>2020</v>
          </cell>
          <cell r="BD4">
            <v>2020</v>
          </cell>
          <cell r="BE4">
            <v>2021</v>
          </cell>
          <cell r="BF4">
            <v>2021</v>
          </cell>
          <cell r="BG4">
            <v>2021</v>
          </cell>
          <cell r="BH4">
            <v>2021</v>
          </cell>
          <cell r="BI4">
            <v>2021</v>
          </cell>
          <cell r="BJ4">
            <v>2022</v>
          </cell>
          <cell r="BK4">
            <v>2022</v>
          </cell>
          <cell r="BL4">
            <v>2022</v>
          </cell>
          <cell r="BM4">
            <v>2022</v>
          </cell>
          <cell r="BN4">
            <v>2022</v>
          </cell>
          <cell r="BO4">
            <v>2023</v>
          </cell>
          <cell r="BP4">
            <v>2023</v>
          </cell>
          <cell r="BQ4">
            <v>2023</v>
          </cell>
          <cell r="BR4">
            <v>2023</v>
          </cell>
          <cell r="BS4">
            <v>2023</v>
          </cell>
          <cell r="BT4">
            <v>2024</v>
          </cell>
          <cell r="BU4">
            <v>2024</v>
          </cell>
          <cell r="BV4">
            <v>2024</v>
          </cell>
          <cell r="BW4">
            <v>2024</v>
          </cell>
          <cell r="BX4">
            <v>2024</v>
          </cell>
          <cell r="BY4">
            <v>2025</v>
          </cell>
          <cell r="BZ4">
            <v>2025</v>
          </cell>
          <cell r="CA4">
            <v>2025</v>
          </cell>
          <cell r="CB4">
            <v>2025</v>
          </cell>
          <cell r="CC4">
            <v>2025</v>
          </cell>
          <cell r="CD4">
            <v>2026</v>
          </cell>
          <cell r="CE4">
            <v>2026</v>
          </cell>
          <cell r="CF4">
            <v>2026</v>
          </cell>
          <cell r="CG4">
            <v>2026</v>
          </cell>
          <cell r="CH4">
            <v>2026</v>
          </cell>
          <cell r="CI4">
            <v>2027</v>
          </cell>
          <cell r="CJ4">
            <v>2027</v>
          </cell>
          <cell r="CK4">
            <v>2027</v>
          </cell>
          <cell r="CL4">
            <v>2027</v>
          </cell>
          <cell r="CM4">
            <v>2027</v>
          </cell>
          <cell r="CN4">
            <v>2028</v>
          </cell>
          <cell r="CO4">
            <v>2028</v>
          </cell>
          <cell r="CP4">
            <v>2028</v>
          </cell>
          <cell r="CQ4">
            <v>2028</v>
          </cell>
          <cell r="CR4">
            <v>2028</v>
          </cell>
          <cell r="CS4">
            <v>2029</v>
          </cell>
          <cell r="CT4">
            <v>2029</v>
          </cell>
          <cell r="CU4">
            <v>2029</v>
          </cell>
          <cell r="CV4">
            <v>2029</v>
          </cell>
          <cell r="CW4">
            <v>2029</v>
          </cell>
          <cell r="CX4">
            <v>2030</v>
          </cell>
          <cell r="CY4">
            <v>2030</v>
          </cell>
          <cell r="CZ4">
            <v>2030</v>
          </cell>
          <cell r="DA4">
            <v>2030</v>
          </cell>
          <cell r="DB4">
            <v>2030</v>
          </cell>
        </row>
        <row r="5">
          <cell r="B5" t="str">
            <v>1Q</v>
          </cell>
          <cell r="C5" t="str">
            <v>2Q</v>
          </cell>
          <cell r="D5" t="str">
            <v>3Q</v>
          </cell>
          <cell r="E5" t="str">
            <v>4Q</v>
          </cell>
          <cell r="G5" t="str">
            <v>1Q</v>
          </cell>
          <cell r="H5" t="str">
            <v>2Q</v>
          </cell>
          <cell r="I5" t="str">
            <v>3Q</v>
          </cell>
          <cell r="J5" t="str">
            <v>4Q</v>
          </cell>
          <cell r="K5">
            <v>20</v>
          </cell>
          <cell r="L5" t="str">
            <v>1Q</v>
          </cell>
          <cell r="M5" t="str">
            <v>2Q</v>
          </cell>
          <cell r="N5" t="str">
            <v>3Q</v>
          </cell>
          <cell r="O5" t="str">
            <v>4Q</v>
          </cell>
          <cell r="P5">
            <v>20</v>
          </cell>
          <cell r="Q5" t="str">
            <v>1Q</v>
          </cell>
          <cell r="R5" t="str">
            <v>2Q</v>
          </cell>
          <cell r="S5" t="str">
            <v>3Q</v>
          </cell>
          <cell r="T5" t="str">
            <v>4Q</v>
          </cell>
          <cell r="U5">
            <v>20</v>
          </cell>
          <cell r="V5" t="str">
            <v>1Q</v>
          </cell>
          <cell r="W5" t="str">
            <v>2Q</v>
          </cell>
          <cell r="X5" t="str">
            <v>3Q</v>
          </cell>
          <cell r="Y5" t="str">
            <v>4Q</v>
          </cell>
          <cell r="Z5">
            <v>20</v>
          </cell>
          <cell r="AA5" t="str">
            <v>1Q</v>
          </cell>
          <cell r="AB5" t="str">
            <v>2Q</v>
          </cell>
          <cell r="AC5" t="str">
            <v>3Q</v>
          </cell>
          <cell r="AD5" t="str">
            <v>4Q</v>
          </cell>
          <cell r="AE5">
            <v>20</v>
          </cell>
          <cell r="AF5" t="str">
            <v>1Q</v>
          </cell>
          <cell r="AG5" t="str">
            <v>2Q</v>
          </cell>
          <cell r="AH5" t="str">
            <v>3Q</v>
          </cell>
          <cell r="AI5" t="str">
            <v>4Q</v>
          </cell>
          <cell r="AJ5">
            <v>20</v>
          </cell>
          <cell r="AK5" t="str">
            <v>1Q</v>
          </cell>
          <cell r="AL5" t="str">
            <v>2Q</v>
          </cell>
          <cell r="AM5" t="str">
            <v>3Q</v>
          </cell>
          <cell r="AN5" t="str">
            <v>4Q</v>
          </cell>
          <cell r="AO5">
            <v>20</v>
          </cell>
          <cell r="AP5" t="str">
            <v>1Q</v>
          </cell>
          <cell r="AQ5" t="str">
            <v>2Q</v>
          </cell>
          <cell r="AR5" t="str">
            <v>3Q</v>
          </cell>
          <cell r="AS5" t="str">
            <v>4Q</v>
          </cell>
          <cell r="AT5">
            <v>20</v>
          </cell>
          <cell r="AU5" t="str">
            <v>1Q</v>
          </cell>
          <cell r="AV5" t="str">
            <v>2Q</v>
          </cell>
          <cell r="AW5" t="str">
            <v>3Q</v>
          </cell>
          <cell r="AX5" t="str">
            <v>4Q</v>
          </cell>
          <cell r="AY5">
            <v>20</v>
          </cell>
          <cell r="AZ5" t="str">
            <v>1Q</v>
          </cell>
          <cell r="BA5" t="str">
            <v>2Q</v>
          </cell>
          <cell r="BB5" t="str">
            <v>3Q</v>
          </cell>
          <cell r="BC5" t="str">
            <v>4Q</v>
          </cell>
          <cell r="BD5">
            <v>20</v>
          </cell>
          <cell r="BE5" t="str">
            <v>1Q</v>
          </cell>
          <cell r="BF5" t="str">
            <v>2Q</v>
          </cell>
          <cell r="BG5" t="str">
            <v>3Q</v>
          </cell>
          <cell r="BH5" t="str">
            <v>4Q</v>
          </cell>
          <cell r="BI5">
            <v>20</v>
          </cell>
          <cell r="BJ5" t="str">
            <v>1Q</v>
          </cell>
          <cell r="BK5" t="str">
            <v>2Q</v>
          </cell>
          <cell r="BL5" t="str">
            <v>3Q</v>
          </cell>
          <cell r="BM5" t="str">
            <v>4Q</v>
          </cell>
          <cell r="BN5">
            <v>20</v>
          </cell>
          <cell r="BO5" t="str">
            <v>1Q</v>
          </cell>
          <cell r="BP5" t="str">
            <v>2Q</v>
          </cell>
          <cell r="BQ5" t="str">
            <v>3Q</v>
          </cell>
          <cell r="BR5" t="str">
            <v>4Q</v>
          </cell>
          <cell r="BS5">
            <v>20</v>
          </cell>
          <cell r="BT5" t="str">
            <v>1Q</v>
          </cell>
          <cell r="BU5" t="str">
            <v>2Q</v>
          </cell>
          <cell r="BV5" t="str">
            <v>3Q</v>
          </cell>
          <cell r="BW5" t="str">
            <v>4Q</v>
          </cell>
          <cell r="BX5">
            <v>20</v>
          </cell>
          <cell r="BY5" t="str">
            <v>1Q</v>
          </cell>
          <cell r="BZ5" t="str">
            <v>2Q</v>
          </cell>
          <cell r="CA5" t="str">
            <v>3Q</v>
          </cell>
          <cell r="CB5" t="str">
            <v>4Q</v>
          </cell>
          <cell r="CC5">
            <v>20</v>
          </cell>
          <cell r="CD5" t="str">
            <v>1Q</v>
          </cell>
          <cell r="CE5" t="str">
            <v>2Q</v>
          </cell>
          <cell r="CF5" t="str">
            <v>3Q</v>
          </cell>
          <cell r="CG5" t="str">
            <v>4Q</v>
          </cell>
          <cell r="CH5">
            <v>20</v>
          </cell>
          <cell r="CI5" t="str">
            <v>1Q</v>
          </cell>
          <cell r="CJ5" t="str">
            <v>2Q</v>
          </cell>
          <cell r="CK5" t="str">
            <v>3Q</v>
          </cell>
          <cell r="CL5" t="str">
            <v>4Q</v>
          </cell>
          <cell r="CM5">
            <v>20</v>
          </cell>
          <cell r="CN5" t="str">
            <v>1Q</v>
          </cell>
          <cell r="CO5" t="str">
            <v>2Q</v>
          </cell>
          <cell r="CP5" t="str">
            <v>3Q</v>
          </cell>
          <cell r="CQ5" t="str">
            <v>4Q</v>
          </cell>
          <cell r="CR5">
            <v>20</v>
          </cell>
          <cell r="CS5" t="str">
            <v>1Q</v>
          </cell>
          <cell r="CT5" t="str">
            <v>2Q</v>
          </cell>
          <cell r="CU5" t="str">
            <v>3Q</v>
          </cell>
          <cell r="CV5" t="str">
            <v>4Q</v>
          </cell>
          <cell r="CW5">
            <v>20</v>
          </cell>
          <cell r="CX5" t="str">
            <v>1Q</v>
          </cell>
          <cell r="CY5" t="str">
            <v>2Q</v>
          </cell>
          <cell r="CZ5" t="str">
            <v>3Q</v>
          </cell>
          <cell r="DA5" t="str">
            <v>4Q</v>
          </cell>
          <cell r="DB5">
            <v>20</v>
          </cell>
        </row>
        <row r="6">
          <cell r="CE6" t="str">
            <v>E</v>
          </cell>
          <cell r="CF6" t="str">
            <v>E</v>
          </cell>
          <cell r="CG6" t="str">
            <v>E</v>
          </cell>
          <cell r="CH6" t="str">
            <v>E</v>
          </cell>
          <cell r="CI6" t="str">
            <v>E</v>
          </cell>
          <cell r="CJ6" t="str">
            <v>E</v>
          </cell>
          <cell r="CK6" t="str">
            <v>E</v>
          </cell>
          <cell r="CL6" t="str">
            <v>E</v>
          </cell>
          <cell r="CM6" t="str">
            <v>E</v>
          </cell>
          <cell r="CN6" t="str">
            <v>E</v>
          </cell>
          <cell r="CO6" t="str">
            <v>E</v>
          </cell>
          <cell r="CP6" t="str">
            <v>E</v>
          </cell>
          <cell r="CQ6" t="str">
            <v>E</v>
          </cell>
          <cell r="CR6" t="str">
            <v>E</v>
          </cell>
          <cell r="CS6" t="str">
            <v>E</v>
          </cell>
          <cell r="CT6" t="str">
            <v>E</v>
          </cell>
          <cell r="CU6" t="str">
            <v>E</v>
          </cell>
          <cell r="CV6" t="str">
            <v>E</v>
          </cell>
          <cell r="CW6" t="str">
            <v>E</v>
          </cell>
          <cell r="CX6" t="str">
            <v>E</v>
          </cell>
          <cell r="CY6" t="str">
            <v>E</v>
          </cell>
          <cell r="CZ6" t="str">
            <v>E</v>
          </cell>
          <cell r="DA6" t="str">
            <v>E</v>
          </cell>
          <cell r="DB6" t="str">
            <v>E</v>
          </cell>
        </row>
        <row r="7">
          <cell r="B7">
            <v>9.2091395447411406E-2</v>
          </cell>
          <cell r="C7">
            <v>8.5177279045859366E-2</v>
          </cell>
          <cell r="D7">
            <v>6.9071857128576442E-2</v>
          </cell>
          <cell r="E7">
            <v>5.6893599146983664E-2</v>
          </cell>
          <cell r="F7">
            <v>7.5282491203301882E-2</v>
          </cell>
          <cell r="G7">
            <v>5.1951253412497289E-2</v>
          </cell>
          <cell r="H7">
            <v>4.7004681395089731E-2</v>
          </cell>
          <cell r="I7">
            <v>3.5373156858682586E-2</v>
          </cell>
          <cell r="J7">
            <v>2.5679765697130374E-2</v>
          </cell>
          <cell r="K7">
            <v>3.9744026619628059E-2</v>
          </cell>
          <cell r="L7">
            <v>1.7071814802719132E-2</v>
          </cell>
          <cell r="M7">
            <v>9.8647148864128287E-3</v>
          </cell>
          <cell r="N7">
            <v>2.4854366410510531E-2</v>
          </cell>
          <cell r="O7">
            <v>2.4828180691497836E-2</v>
          </cell>
          <cell r="P7">
            <v>1.9211814943874916E-2</v>
          </cell>
          <cell r="Q7">
            <v>2.721109278219136E-2</v>
          </cell>
          <cell r="R7">
            <v>4.0218251960159712E-2</v>
          </cell>
          <cell r="S7">
            <v>2.7589825463526063E-2</v>
          </cell>
          <cell r="T7">
            <v>2.5287673240891539E-2</v>
          </cell>
          <cell r="U7">
            <v>3.0048269457775278E-2</v>
          </cell>
          <cell r="V7">
            <v>3.469338083437834E-2</v>
          </cell>
          <cell r="W7">
            <v>-4.3525166474460697E-3</v>
          </cell>
          <cell r="X7">
            <v>-6.3884440792552066E-3</v>
          </cell>
          <cell r="Y7">
            <v>-2.2852461490368015E-3</v>
          </cell>
          <cell r="Z7">
            <v>5.0393459495359227E-3</v>
          </cell>
          <cell r="AA7">
            <v>-1.6193986523845183E-2</v>
          </cell>
          <cell r="AB7">
            <v>-2.740363059448403E-2</v>
          </cell>
          <cell r="AC7">
            <v>-4.2628419736219447E-2</v>
          </cell>
          <cell r="AD7">
            <v>-5.5195575073795244E-2</v>
          </cell>
          <cell r="AE7">
            <v>-3.5457552842598106E-2</v>
          </cell>
          <cell r="AF7">
            <v>-5.13823684366288E-2</v>
          </cell>
          <cell r="AG7">
            <v>-3.2185235465757245E-2</v>
          </cell>
          <cell r="AH7">
            <v>-2.4541728067141499E-2</v>
          </cell>
          <cell r="AI7">
            <v>-2.2611264284385868E-2</v>
          </cell>
          <cell r="AJ7">
            <v>-3.2759130499899647E-2</v>
          </cell>
          <cell r="AK7">
            <v>2.8201556182256837E-3</v>
          </cell>
          <cell r="AL7">
            <v>7.8746648916356854E-3</v>
          </cell>
          <cell r="AM7">
            <v>1.6407345281506336E-2</v>
          </cell>
          <cell r="AN7">
            <v>2.5761908632542241E-2</v>
          </cell>
          <cell r="AO7">
            <v>1.3228683839367816E-2</v>
          </cell>
          <cell r="AP7">
            <v>1.9049819192124451E-2</v>
          </cell>
          <cell r="AQ7">
            <v>1.6170986261114573E-2</v>
          </cell>
          <cell r="AR7">
            <v>2.0568110099114412E-2</v>
          </cell>
          <cell r="AS7">
            <v>1.5545833073195681E-2</v>
          </cell>
          <cell r="AT7">
            <v>1.7836721768855313E-2</v>
          </cell>
          <cell r="AU7">
            <v>9.0128540019212E-3</v>
          </cell>
          <cell r="AV7">
            <v>1.1725499876573675E-2</v>
          </cell>
          <cell r="AW7">
            <v>1.1095246524801539E-2</v>
          </cell>
          <cell r="AX7">
            <v>1.693878274851035E-2</v>
          </cell>
          <cell r="AY7">
            <v>1.2207618682791299E-2</v>
          </cell>
          <cell r="AZ7">
            <v>4.1399507040313921E-3</v>
          </cell>
          <cell r="BA7">
            <v>-0.10137678507336556</v>
          </cell>
          <cell r="BB7">
            <v>-3.0357079095075568E-2</v>
          </cell>
          <cell r="BC7">
            <v>-3.3388845777130305E-3</v>
          </cell>
          <cell r="BD7">
            <v>-3.2767506495341547E-2</v>
          </cell>
          <cell r="BE7">
            <v>1.7497488084810886E-2</v>
          </cell>
          <cell r="BF7">
            <v>0.12396533236269192</v>
          </cell>
          <cell r="BG7">
            <v>4.2129771241733005E-2</v>
          </cell>
          <cell r="BH7">
            <v>1.4585985812359814E-2</v>
          </cell>
          <cell r="BI7">
            <v>4.7625989483594866E-2</v>
          </cell>
          <cell r="BJ7">
            <v>1.4734322462760963E-2</v>
          </cell>
          <cell r="BK7">
            <v>3.5438559024100424E-2</v>
          </cell>
          <cell r="BL7">
            <v>4.3218147632462678E-2</v>
          </cell>
          <cell r="BM7">
            <v>2.6939526327891317E-2</v>
          </cell>
          <cell r="BN7">
            <v>3.0167179011841849E-2</v>
          </cell>
          <cell r="BO7">
            <v>4.4442967641645348E-2</v>
          </cell>
          <cell r="BP7">
            <v>3.850287148559306E-2</v>
          </cell>
          <cell r="BQ7">
            <v>2.3550371308832974E-2</v>
          </cell>
          <cell r="BR7">
            <v>2.3805685421032896E-2</v>
          </cell>
          <cell r="BS7">
            <v>3.2416517981320281E-2</v>
          </cell>
          <cell r="BT7">
            <v>2.4603678711410781E-2</v>
          </cell>
          <cell r="BU7">
            <v>3.4711079252089716E-2</v>
          </cell>
          <cell r="BV7">
            <v>4.1365896567110871E-2</v>
          </cell>
          <cell r="BW7">
            <v>3.580004723913488E-2</v>
          </cell>
          <cell r="BX7">
            <v>3.4193154677671478E-2</v>
          </cell>
          <cell r="BY7">
            <v>3.1489221531017852E-2</v>
          </cell>
          <cell r="BZ7">
            <v>2.3598075946817954E-2</v>
          </cell>
          <cell r="CA7">
            <v>1.8236577305046131E-2</v>
          </cell>
          <cell r="CB7">
            <v>1.8433123776042892E-2</v>
          </cell>
          <cell r="CC7">
            <v>2.2857411131985694E-2</v>
          </cell>
          <cell r="CD7">
            <v>1.8390673417260306E-2</v>
          </cell>
          <cell r="CE7">
            <v>2.1500000000000075E-2</v>
          </cell>
          <cell r="CF7">
            <v>2.2399999999999975E-2</v>
          </cell>
          <cell r="CG7">
            <v>2.0999999999999908E-2</v>
          </cell>
          <cell r="CH7">
            <v>2.0842238067008134E-2</v>
          </cell>
          <cell r="CI7">
            <v>1.0000000000000009E-2</v>
          </cell>
          <cell r="CJ7">
            <v>1.8999999999999906E-2</v>
          </cell>
          <cell r="CK7">
            <v>1.8000000000000016E-2</v>
          </cell>
          <cell r="CL7">
            <v>2.0000000000000018E-2</v>
          </cell>
          <cell r="CM7">
            <v>1.678733067565874E-2</v>
          </cell>
          <cell r="CN7">
            <v>1.678733067565874E-2</v>
          </cell>
          <cell r="CO7">
            <v>1.678733067565874E-2</v>
          </cell>
          <cell r="CP7">
            <v>1.678733067565874E-2</v>
          </cell>
          <cell r="CQ7">
            <v>1.678733067565874E-2</v>
          </cell>
          <cell r="CR7">
            <v>1.7076451891056887E-2</v>
          </cell>
          <cell r="CS7">
            <v>1.7076451891056887E-2</v>
          </cell>
          <cell r="CT7">
            <v>1.7076451891056887E-2</v>
          </cell>
          <cell r="CU7">
            <v>1.7076451891056887E-2</v>
          </cell>
          <cell r="CV7">
            <v>1.7076451891056887E-2</v>
          </cell>
          <cell r="CW7">
            <v>1.7418902738868702E-2</v>
          </cell>
          <cell r="CX7">
            <v>1.7418902738868702E-2</v>
          </cell>
          <cell r="CY7">
            <v>1.7418902738868702E-2</v>
          </cell>
          <cell r="CZ7">
            <v>1.7418902738868702E-2</v>
          </cell>
          <cell r="DA7">
            <v>1.7418902738868702E-2</v>
          </cell>
          <cell r="DB7">
            <v>1.7418902738868702E-2</v>
          </cell>
        </row>
        <row r="8">
          <cell r="B8">
            <v>2.7775099567613148E-2</v>
          </cell>
          <cell r="C8">
            <v>2.8275291412297232E-2</v>
          </cell>
          <cell r="D8">
            <v>2.0898783360507656E-2</v>
          </cell>
          <cell r="E8">
            <v>3.1799423953366324E-2</v>
          </cell>
          <cell r="F8">
            <v>0.11323142949673537</v>
          </cell>
          <cell r="G8">
            <v>2.4312626443201424E-2</v>
          </cell>
          <cell r="H8">
            <v>6.9680367870716964E-3</v>
          </cell>
          <cell r="I8">
            <v>9.7144444229142479E-3</v>
          </cell>
          <cell r="J8">
            <v>9.1198891198891463E-3</v>
          </cell>
          <cell r="K8">
            <v>5.0968130206239914E-2</v>
          </cell>
          <cell r="L8">
            <v>6.1573960596046362E-3</v>
          </cell>
          <cell r="M8">
            <v>2.5570914344997364E-2</v>
          </cell>
          <cell r="N8">
            <v>3.7805472394346618E-2</v>
          </cell>
          <cell r="O8">
            <v>6.8034190732513267E-3</v>
          </cell>
          <cell r="P8">
            <v>7.818244825167131E-2</v>
          </cell>
          <cell r="Q8">
            <v>8.376253302289749E-3</v>
          </cell>
          <cell r="R8">
            <v>8.9927428351532779E-3</v>
          </cell>
          <cell r="S8">
            <v>1.9131161719184941E-2</v>
          </cell>
          <cell r="T8">
            <v>1.7549165067994643E-2</v>
          </cell>
          <cell r="U8">
            <v>5.5106104434671455E-2</v>
          </cell>
          <cell r="V8">
            <v>2.5478759960621877E-2</v>
          </cell>
          <cell r="W8">
            <v>-9.654275503679921E-4</v>
          </cell>
          <cell r="X8">
            <v>-6.7355145643036574E-3</v>
          </cell>
          <cell r="Y8">
            <v>1.8936220312901986E-2</v>
          </cell>
          <cell r="Z8">
            <v>3.6857551498040264E-2</v>
          </cell>
          <cell r="AA8">
            <v>2.0284371736236873E-2</v>
          </cell>
          <cell r="AB8">
            <v>2.2588563321721544E-2</v>
          </cell>
          <cell r="AC8">
            <v>1.9239321361055328E-2</v>
          </cell>
          <cell r="AD8">
            <v>3.9484102249640385E-2</v>
          </cell>
          <cell r="AE8">
            <v>0.10539166948817025</v>
          </cell>
          <cell r="AF8">
            <v>2.9665631624325117E-2</v>
          </cell>
          <cell r="AG8">
            <v>2.8562254760769124E-2</v>
          </cell>
          <cell r="AH8">
            <v>5.1997257825602272E-3</v>
          </cell>
          <cell r="AI8">
            <v>6.7134119051170948E-3</v>
          </cell>
          <cell r="AJ8">
            <v>7.1729082528960708E-2</v>
          </cell>
          <cell r="AK8">
            <v>7.3990176983655953E-3</v>
          </cell>
          <cell r="AL8">
            <v>-2.6700810721153045E-2</v>
          </cell>
          <cell r="AM8">
            <v>-1.5561165869073523E-3</v>
          </cell>
          <cell r="AN8">
            <v>1.6155390793945124E-2</v>
          </cell>
          <cell r="AO8">
            <v>-5.2094044493907754E-3</v>
          </cell>
          <cell r="AP8">
            <v>1.4691598047605892E-2</v>
          </cell>
          <cell r="AQ8">
            <v>3.8594867001036759E-2</v>
          </cell>
          <cell r="AR8">
            <v>2.7529724342155504E-2</v>
          </cell>
          <cell r="AS8">
            <v>-6.9233393180258007E-3</v>
          </cell>
          <cell r="AT8">
            <v>7.5368734029632511E-2</v>
          </cell>
          <cell r="AU8">
            <v>2.1579184695260656E-2</v>
          </cell>
          <cell r="AV8">
            <v>2.1743251414473752E-2</v>
          </cell>
          <cell r="AW8">
            <v>-2.7883822372333222E-3</v>
          </cell>
          <cell r="AX8">
            <v>3.089513038424041E-2</v>
          </cell>
          <cell r="AY8">
            <v>7.3039306458065001E-2</v>
          </cell>
          <cell r="AZ8">
            <v>1.6856537638714864E-2</v>
          </cell>
          <cell r="BA8">
            <v>2.6584774351347429E-2</v>
          </cell>
          <cell r="BB8">
            <v>9.5924051239921759E-2</v>
          </cell>
          <cell r="BC8">
            <v>7.6362036842990033E-2</v>
          </cell>
          <cell r="BD8">
            <v>0.23138351126052559</v>
          </cell>
          <cell r="BE8">
            <v>8.2577522738505493E-2</v>
          </cell>
          <cell r="BF8">
            <v>6.3031894919501674E-2</v>
          </cell>
          <cell r="BG8">
            <v>7.9750272604819372E-3</v>
          </cell>
          <cell r="BH8">
            <v>1.5379337312507957E-2</v>
          </cell>
          <cell r="BI8">
            <v>0.17783212339450416</v>
          </cell>
          <cell r="BJ8">
            <v>5.4887065072461994E-2</v>
          </cell>
          <cell r="BK8">
            <v>2.5368988598420295E-2</v>
          </cell>
          <cell r="BL8">
            <v>-1.434986841685415E-2</v>
          </cell>
          <cell r="BM8">
            <v>-1.0893743615782214E-2</v>
          </cell>
          <cell r="BN8">
            <v>5.4512855725947995E-2</v>
          </cell>
          <cell r="BO8">
            <v>2.0266906458707989E-3</v>
          </cell>
          <cell r="BP8">
            <v>-4.6528199807625903E-2</v>
          </cell>
          <cell r="BQ8">
            <v>-4.9493792991535113E-3</v>
          </cell>
          <cell r="BR8">
            <v>1.8421004946816977E-2</v>
          </cell>
          <cell r="BS8">
            <v>-3.1812066432042707E-2</v>
          </cell>
          <cell r="BT8">
            <v>-9.1052886291980162E-3</v>
          </cell>
          <cell r="BU8">
            <v>2.0265083670231832E-2</v>
          </cell>
          <cell r="BV8">
            <v>1.523131196602634E-2</v>
          </cell>
          <cell r="BW8">
            <v>3.8002354128131577E-2</v>
          </cell>
          <cell r="BX8">
            <v>6.5378374339010392E-2</v>
          </cell>
          <cell r="BY8">
            <v>9.9118041487622488E-3</v>
          </cell>
          <cell r="BZ8">
            <v>-1.9160233894919276E-2</v>
          </cell>
          <cell r="CA8">
            <v>2.0231669475068159E-5</v>
          </cell>
          <cell r="CB8">
            <v>-1.0832153878963524E-3</v>
          </cell>
          <cell r="CC8">
            <v>-1.0491314854679579E-2</v>
          </cell>
          <cell r="CD8">
            <v>1.9443070789990635E-3</v>
          </cell>
          <cell r="CE8">
            <v>3.2749905109783706E-2</v>
          </cell>
          <cell r="CF8">
            <v>5.7411679314405273E-3</v>
          </cell>
          <cell r="CG8">
            <v>1.3710402840559688E-2</v>
          </cell>
          <cell r="CH8">
            <v>5.496700400059229E-2</v>
          </cell>
          <cell r="CI8">
            <v>1.2555349800803306E-2</v>
          </cell>
          <cell r="CJ8">
            <v>9.4182628001013846E-3</v>
          </cell>
          <cell r="CK8">
            <v>6.2373245729370197E-3</v>
          </cell>
          <cell r="CL8">
            <v>1.4135837518082006E-2</v>
          </cell>
          <cell r="CM8">
            <v>4.3005223007009485E-2</v>
          </cell>
          <cell r="CN8">
            <v>9.8534065489692679E-3</v>
          </cell>
          <cell r="CO8">
            <v>9.8534065489692679E-3</v>
          </cell>
          <cell r="CP8">
            <v>9.8534065489692679E-3</v>
          </cell>
          <cell r="CQ8">
            <v>9.8534065489692679E-3</v>
          </cell>
          <cell r="CR8">
            <v>4.0000000000001368E-2</v>
          </cell>
          <cell r="CS8">
            <v>8.6374459977136553E-3</v>
          </cell>
          <cell r="CT8">
            <v>8.6374459977136553E-3</v>
          </cell>
          <cell r="CU8">
            <v>8.6374459977136553E-3</v>
          </cell>
          <cell r="CV8">
            <v>8.6374459977136553E-3</v>
          </cell>
          <cell r="CW8">
            <v>3.5000000000000808E-2</v>
          </cell>
          <cell r="CX8">
            <v>8.6374459977136553E-3</v>
          </cell>
          <cell r="CY8">
            <v>8.6374459977136553E-3</v>
          </cell>
          <cell r="CZ8">
            <v>8.6374459977136553E-3</v>
          </cell>
          <cell r="DA8">
            <v>8.6374459977136553E-3</v>
          </cell>
          <cell r="DB8">
            <v>3.5000000000000808E-2</v>
          </cell>
        </row>
        <row r="9">
          <cell r="B9">
            <v>1.94356167608285E-2</v>
          </cell>
          <cell r="C9">
            <v>5.1669676200410297E-2</v>
          </cell>
          <cell r="D9">
            <v>7.773401326106022E-2</v>
          </cell>
          <cell r="E9">
            <v>0.11323142949673537</v>
          </cell>
          <cell r="F9">
            <v>0.11323142949673537</v>
          </cell>
          <cell r="G9">
            <v>0.10948106241009881</v>
          </cell>
          <cell r="H9">
            <v>8.6491114391247681E-2</v>
          </cell>
          <cell r="I9">
            <v>7.4588186232164677E-2</v>
          </cell>
          <cell r="J9">
            <v>5.0968130206239914E-2</v>
          </cell>
          <cell r="K9">
            <v>5.0968130206239914E-2</v>
          </cell>
          <cell r="L9">
            <v>3.234044951858972E-2</v>
          </cell>
          <cell r="M9">
            <v>5.1412060810010596E-2</v>
          </cell>
          <cell r="N9">
            <v>8.0663148355455849E-2</v>
          </cell>
          <cell r="O9">
            <v>7.818244825167131E-2</v>
          </cell>
          <cell r="P9">
            <v>7.818244825167131E-2</v>
          </cell>
          <cell r="Q9">
            <v>8.0560140791236634E-2</v>
          </cell>
          <cell r="R9">
            <v>6.3093078211581277E-2</v>
          </cell>
          <cell r="S9">
            <v>4.3963741406934487E-2</v>
          </cell>
          <cell r="T9">
            <v>5.5106104434671455E-2</v>
          </cell>
          <cell r="U9">
            <v>5.5106104434671455E-2</v>
          </cell>
          <cell r="V9">
            <v>7.3001170008901495E-2</v>
          </cell>
          <cell r="W9">
            <v>6.2411273747815965E-2</v>
          </cell>
          <cell r="X9">
            <v>3.5446100343045073E-2</v>
          </cell>
          <cell r="Y9">
            <v>3.6857551498040264E-2</v>
          </cell>
          <cell r="Z9">
            <v>3.6857551498040264E-2</v>
          </cell>
          <cell r="AA9">
            <v>3.1605525940657797E-2</v>
          </cell>
          <cell r="AB9">
            <v>5.5927434122497566E-2</v>
          </cell>
          <cell r="AC9">
            <v>8.3540967327992322E-2</v>
          </cell>
          <cell r="AD9">
            <v>0.10539166948817025</v>
          </cell>
          <cell r="AE9">
            <v>0.10539166948817025</v>
          </cell>
          <cell r="AF9">
            <v>0.11555546971569863</v>
          </cell>
          <cell r="AG9">
            <v>0.12207224918913262</v>
          </cell>
          <cell r="AH9">
            <v>0.10661617301711912</v>
          </cell>
          <cell r="AI9">
            <v>7.1729082528960708E-2</v>
          </cell>
          <cell r="AJ9">
            <v>7.1729082528960708E-2</v>
          </cell>
          <cell r="AK9">
            <v>4.8552842610911418E-2</v>
          </cell>
          <cell r="AL9">
            <v>-7.7842863613548641E-3</v>
          </cell>
          <cell r="AM9">
            <v>-1.4452864541311117E-2</v>
          </cell>
          <cell r="AN9">
            <v>-5.2094044493907754E-3</v>
          </cell>
          <cell r="AO9">
            <v>-5.2094044493907754E-3</v>
          </cell>
          <cell r="AP9">
            <v>1.9919032958719551E-3</v>
          </cell>
          <cell r="AQ9">
            <v>6.9212487797054134E-2</v>
          </cell>
          <cell r="AR9">
            <v>0.10035990114303384</v>
          </cell>
          <cell r="AS9">
            <v>7.5368734029632511E-2</v>
          </cell>
          <cell r="AT9">
            <v>7.5368734029632511E-2</v>
          </cell>
          <cell r="AU9">
            <v>8.2668188709319912E-2</v>
          </cell>
          <cell r="AV9">
            <v>6.5101465915270218E-2</v>
          </cell>
          <cell r="AW9">
            <v>3.3674774310648914E-2</v>
          </cell>
          <cell r="AX9">
            <v>7.3039306458065001E-2</v>
          </cell>
          <cell r="AY9">
            <v>7.3039306458065001E-2</v>
          </cell>
          <cell r="AZ9">
            <v>6.8078764976678086E-2</v>
          </cell>
          <cell r="BA9">
            <v>7.313984840626131E-2</v>
          </cell>
          <cell r="BB9">
            <v>0.17936829983078972</v>
          </cell>
          <cell r="BC9">
            <v>0.23138351126052559</v>
          </cell>
          <cell r="BD9">
            <v>0.23138351126052559</v>
          </cell>
          <cell r="BE9">
            <v>0.31096970105245703</v>
          </cell>
          <cell r="BF9">
            <v>0.35751341760586741</v>
          </cell>
          <cell r="BG9">
            <v>0.24857157990976941</v>
          </cell>
          <cell r="BH9">
            <v>0.17783212339450416</v>
          </cell>
          <cell r="BI9">
            <v>0.17783212339450416</v>
          </cell>
          <cell r="BJ9">
            <v>0.14770521805468251</v>
          </cell>
          <cell r="BK9">
            <v>0.10704236088323049</v>
          </cell>
          <cell r="BL9">
            <v>8.2523295877939162E-2</v>
          </cell>
          <cell r="BM9">
            <v>5.4512855725947995E-2</v>
          </cell>
          <cell r="BN9">
            <v>5.4512855725947995E-2</v>
          </cell>
          <cell r="BO9">
            <v>1.6712329238912638E-3</v>
          </cell>
          <cell r="BP9">
            <v>-6.8564307798757551E-2</v>
          </cell>
          <cell r="BQ9">
            <v>-5.9680880700430095E-2</v>
          </cell>
          <cell r="BR9">
            <v>-3.1812066432042707E-2</v>
          </cell>
          <cell r="BS9">
            <v>-3.1812066432042707E-2</v>
          </cell>
          <cell r="BT9">
            <v>-4.2568115259348116E-2</v>
          </cell>
          <cell r="BU9">
            <v>2.4502582872803824E-2</v>
          </cell>
          <cell r="BV9">
            <v>4.5280591443637164E-2</v>
          </cell>
          <cell r="BW9">
            <v>6.5378374339010392E-2</v>
          </cell>
          <cell r="BX9">
            <v>6.5378374339010392E-2</v>
          </cell>
          <cell r="BY9">
            <v>8.5824945660810448E-2</v>
          </cell>
          <cell r="BZ9">
            <v>4.3866248859345536E-2</v>
          </cell>
          <cell r="CA9">
            <v>2.8226134982725304E-2</v>
          </cell>
          <cell r="CB9">
            <v>-1.0491314854679579E-2</v>
          </cell>
          <cell r="CC9">
            <v>-1.0491314854679579E-2</v>
          </cell>
          <cell r="CD9">
            <v>-1.829784560024883E-2</v>
          </cell>
          <cell r="CE9">
            <v>3.3657934596623695E-2</v>
          </cell>
          <cell r="CF9">
            <v>3.9571306119747574E-2</v>
          </cell>
          <cell r="CG9">
            <v>5.496700400059229E-2</v>
          </cell>
          <cell r="CH9">
            <v>5.496700400059229E-2</v>
          </cell>
          <cell r="CI9">
            <v>6.6139581029528438E-2</v>
          </cell>
          <cell r="CJ9">
            <v>4.2053607035533069E-2</v>
          </cell>
          <cell r="CK9">
            <v>4.2567677488659417E-2</v>
          </cell>
          <cell r="CL9">
            <v>4.3005223007009485E-2</v>
          </cell>
          <cell r="CM9">
            <v>4.3005223007009485E-2</v>
          </cell>
          <cell r="CN9">
            <v>3.6775643418645032E-2</v>
          </cell>
          <cell r="CO9">
            <v>3.6992652662166225E-2</v>
          </cell>
          <cell r="CP9">
            <v>4.3978034228469465E-2</v>
          </cell>
          <cell r="CQ9">
            <v>4.0000000000001368E-2</v>
          </cell>
          <cell r="CR9">
            <v>4.0000000000001368E-2</v>
          </cell>
          <cell r="CS9">
            <v>3.8747740053057589E-2</v>
          </cell>
          <cell r="CT9">
            <v>3.7496987947435834E-2</v>
          </cell>
          <cell r="CU9">
            <v>3.6247741867549976E-2</v>
          </cell>
          <cell r="CV9">
            <v>3.5000000000000808E-2</v>
          </cell>
          <cell r="CW9">
            <v>3.5000000000000808E-2</v>
          </cell>
          <cell r="CX9">
            <v>3.5000000000000808E-2</v>
          </cell>
          <cell r="CY9">
            <v>3.5000000000000808E-2</v>
          </cell>
          <cell r="CZ9">
            <v>3.5000000000000808E-2</v>
          </cell>
          <cell r="DA9">
            <v>3.5000000000000808E-2</v>
          </cell>
          <cell r="DB9">
            <v>3.5000000000000808E-2</v>
          </cell>
        </row>
        <row r="10">
          <cell r="B10">
            <v>2.0635672838258401E-2</v>
          </cell>
          <cell r="C10">
            <v>1.0026429772781675E-2</v>
          </cell>
          <cell r="D10">
            <v>4.9988105724041443E-3</v>
          </cell>
          <cell r="E10">
            <v>2.2262809912068304E-2</v>
          </cell>
          <cell r="F10">
            <v>5.9086887217945305E-2</v>
          </cell>
          <cell r="G10">
            <v>2.4396959845301325E-2</v>
          </cell>
          <cell r="H10">
            <v>1.3956003005626494E-2</v>
          </cell>
          <cell r="I10">
            <v>1.0633971472036707E-2</v>
          </cell>
          <cell r="J10">
            <v>1.4569950966511147E-2</v>
          </cell>
          <cell r="K10">
            <v>6.5033527436801686E-2</v>
          </cell>
          <cell r="L10">
            <v>1.2245389616685198E-2</v>
          </cell>
          <cell r="M10">
            <v>1.0828899898705835E-2</v>
          </cell>
          <cell r="N10">
            <v>1.4167087793448774E-2</v>
          </cell>
          <cell r="O10">
            <v>1.993171123933335E-2</v>
          </cell>
          <cell r="P10">
            <v>5.8385947181474496E-2</v>
          </cell>
          <cell r="Q10">
            <v>1.94200629569794E-2</v>
          </cell>
          <cell r="R10">
            <v>1.1845050402731649E-2</v>
          </cell>
          <cell r="S10">
            <v>6.2084221404119511E-3</v>
          </cell>
          <cell r="T10">
            <v>2.043332557722799E-2</v>
          </cell>
          <cell r="U10">
            <v>5.910683255331084E-2</v>
          </cell>
          <cell r="V10">
            <v>2.1751380592809788E-2</v>
          </cell>
          <cell r="W10">
            <v>1.5375617564219013E-2</v>
          </cell>
          <cell r="X10">
            <v>8.3166595929584641E-3</v>
          </cell>
          <cell r="Y10">
            <v>1.7192651907677936E-2</v>
          </cell>
          <cell r="Z10">
            <v>6.4074707959081545E-2</v>
          </cell>
          <cell r="AA10">
            <v>3.8277181971792196E-2</v>
          </cell>
          <cell r="AB10">
            <v>2.2568002922714214E-2</v>
          </cell>
          <cell r="AC10">
            <v>1.3857214776389126E-2</v>
          </cell>
          <cell r="AD10">
            <v>2.8157121543573194E-2</v>
          </cell>
          <cell r="AE10">
            <v>0.1067302813397506</v>
          </cell>
          <cell r="AF10">
            <v>2.6206442222306281E-2</v>
          </cell>
          <cell r="AG10">
            <v>1.749542390672576E-2</v>
          </cell>
          <cell r="AH10">
            <v>1.0431431561581439E-2</v>
          </cell>
          <cell r="AI10">
            <v>7.4190016728088448E-3</v>
          </cell>
          <cell r="AJ10">
            <v>6.2879882132213849E-2</v>
          </cell>
          <cell r="AK10">
            <v>9.6300018845405511E-3</v>
          </cell>
          <cell r="AL10">
            <v>2.1942513931838548E-3</v>
          </cell>
          <cell r="AM10">
            <v>5.9102657757119648E-3</v>
          </cell>
          <cell r="AN10">
            <v>1.1444547536120453E-2</v>
          </cell>
          <cell r="AO10">
            <v>2.9474213204347066E-2</v>
          </cell>
          <cell r="AP10">
            <v>7.0152101308664783E-3</v>
          </cell>
          <cell r="AQ10">
            <v>1.8887284258576775E-2</v>
          </cell>
          <cell r="AR10">
            <v>7.2098896611332286E-3</v>
          </cell>
          <cell r="AS10">
            <v>3.8930647158041953E-3</v>
          </cell>
          <cell r="AT10">
            <v>3.7455811701915476E-2</v>
          </cell>
          <cell r="AU10">
            <v>1.5068785890315128E-2</v>
          </cell>
          <cell r="AV10">
            <v>7.1077186347772159E-3</v>
          </cell>
          <cell r="AW10">
            <v>2.6024735964957912E-3</v>
          </cell>
          <cell r="AX10">
            <v>1.7676516496296646E-2</v>
          </cell>
          <cell r="AY10">
            <v>4.306151617159526E-2</v>
          </cell>
          <cell r="AZ10">
            <v>5.3080212396032778E-3</v>
          </cell>
          <cell r="BA10">
            <v>-4.3058882039602731E-3</v>
          </cell>
          <cell r="BB10">
            <v>1.2447750992402584E-2</v>
          </cell>
          <cell r="BC10">
            <v>3.1314508276533592E-2</v>
          </cell>
          <cell r="BD10">
            <v>4.517456886424509E-2</v>
          </cell>
          <cell r="BE10">
            <v>2.0524800425854028E-2</v>
          </cell>
          <cell r="BF10">
            <v>1.6786731327713023E-2</v>
          </cell>
          <cell r="BG10">
            <v>3.0195945219914089E-2</v>
          </cell>
          <cell r="BH10">
            <v>2.9580045119536491E-2</v>
          </cell>
          <cell r="BI10">
            <v>0.10060982737443336</v>
          </cell>
          <cell r="BJ10">
            <v>3.2007960732282958E-2</v>
          </cell>
          <cell r="BK10">
            <v>2.2153507084467394E-2</v>
          </cell>
          <cell r="BL10">
            <v>-1.3245351115654835E-2</v>
          </cell>
          <cell r="BM10">
            <v>1.6286414853838194E-2</v>
          </cell>
          <cell r="BN10">
            <v>5.7850929078894664E-2</v>
          </cell>
          <cell r="BO10">
            <v>2.0941939330469506E-2</v>
          </cell>
          <cell r="BP10">
            <v>7.6070363573370603E-3</v>
          </cell>
          <cell r="BQ10">
            <v>6.1126585034421144E-3</v>
          </cell>
          <cell r="BR10">
            <v>1.0836245981739268E-2</v>
          </cell>
          <cell r="BS10">
            <v>4.6211900050818322E-2</v>
          </cell>
          <cell r="BT10">
            <v>1.4154167780112026E-2</v>
          </cell>
          <cell r="BU10">
            <v>1.0535525553417191E-2</v>
          </cell>
          <cell r="BV10">
            <v>8.0155470495610892E-3</v>
          </cell>
          <cell r="BW10">
            <v>1.4770299336158255E-2</v>
          </cell>
          <cell r="BX10">
            <v>4.8311967483947837E-2</v>
          </cell>
          <cell r="BY10">
            <v>2.0404196887543247E-2</v>
          </cell>
          <cell r="BZ10">
            <v>9.3287032564199901E-3</v>
          </cell>
          <cell r="CA10">
            <v>6.3025008990875708E-3</v>
          </cell>
          <cell r="CB10">
            <v>6.0102784866544745E-3</v>
          </cell>
          <cell r="CC10">
            <v>4.2643475811562581E-2</v>
          </cell>
          <cell r="CD10">
            <v>1.9213079590290283E-2</v>
          </cell>
          <cell r="CE10">
            <v>1.6163211861857318E-2</v>
          </cell>
          <cell r="CF10">
            <v>6.3436665714595719E-3</v>
          </cell>
          <cell r="CG10">
            <v>1.0821486937104385E-2</v>
          </cell>
          <cell r="CH10">
            <v>5.3535657795385605E-2</v>
          </cell>
          <cell r="CI10">
            <v>1.5176360929941568E-2</v>
          </cell>
          <cell r="CJ10">
            <v>1.0908057590300668E-2</v>
          </cell>
          <cell r="CK10">
            <v>5.3233421243645829E-3</v>
          </cell>
          <cell r="CL10">
            <v>1.3330466833520127E-2</v>
          </cell>
          <cell r="CM10">
            <v>4.5466259296915279E-2</v>
          </cell>
          <cell r="CN10">
            <v>9.8534065489690459E-3</v>
          </cell>
          <cell r="CO10">
            <v>9.8534065489690459E-3</v>
          </cell>
          <cell r="CP10">
            <v>9.8534065489690459E-3</v>
          </cell>
          <cell r="CQ10">
            <v>9.8534065489690459E-3</v>
          </cell>
          <cell r="CR10">
            <v>4.000000000000048E-2</v>
          </cell>
          <cell r="CS10">
            <v>9.7307691290944298E-3</v>
          </cell>
          <cell r="CT10">
            <v>9.7307691290944298E-3</v>
          </cell>
          <cell r="CU10">
            <v>9.7307691290944298E-3</v>
          </cell>
          <cell r="CV10">
            <v>9.7307691290944298E-3</v>
          </cell>
          <cell r="CW10">
            <v>3.9494898232357745E-2</v>
          </cell>
          <cell r="CX10">
            <v>9.7307691290944298E-3</v>
          </cell>
          <cell r="CY10">
            <v>9.7307691290944298E-3</v>
          </cell>
          <cell r="CZ10">
            <v>9.7307691290944298E-3</v>
          </cell>
          <cell r="DA10">
            <v>9.7307691290944298E-3</v>
          </cell>
          <cell r="DB10">
            <v>3.9494898232357745E-2</v>
          </cell>
        </row>
        <row r="11">
          <cell r="B11">
            <v>5.1660025200012338E-2</v>
          </cell>
          <cell r="C11">
            <v>4.8410906272117415E-2</v>
          </cell>
          <cell r="D11">
            <v>4.7042195972309298E-2</v>
          </cell>
          <cell r="E11">
            <v>5.9086887217945305E-2</v>
          </cell>
          <cell r="F11">
            <v>5.9086887217945305E-2</v>
          </cell>
          <cell r="G11">
            <v>6.2989876163202174E-2</v>
          </cell>
          <cell r="H11">
            <v>6.7125507114063065E-2</v>
          </cell>
          <cell r="I11">
            <v>7.3109020596297869E-2</v>
          </cell>
          <cell r="J11">
            <v>6.5033527436801686E-2</v>
          </cell>
          <cell r="K11">
            <v>6.5033527436801686E-2</v>
          </cell>
          <cell r="L11">
            <v>5.2399919361243219E-2</v>
          </cell>
          <cell r="M11">
            <v>4.9154252835474477E-2</v>
          </cell>
          <cell r="N11">
            <v>5.2822033772001786E-2</v>
          </cell>
          <cell r="O11">
            <v>5.8385947181474496E-2</v>
          </cell>
          <cell r="P11">
            <v>5.8385947181474496E-2</v>
          </cell>
          <cell r="Q11">
            <v>6.588765923358908E-2</v>
          </cell>
          <cell r="R11">
            <v>6.6959158358983917E-2</v>
          </cell>
          <cell r="S11">
            <v>5.858620748231913E-2</v>
          </cell>
          <cell r="T11">
            <v>5.910683255331084E-2</v>
          </cell>
          <cell r="U11">
            <v>5.910683255331084E-2</v>
          </cell>
          <cell r="V11">
            <v>6.1528910091982913E-2</v>
          </cell>
          <cell r="W11">
            <v>6.5232836013692452E-2</v>
          </cell>
          <cell r="X11">
            <v>6.7464743152562567E-2</v>
          </cell>
          <cell r="Y11">
            <v>6.4074707959081545E-2</v>
          </cell>
          <cell r="Z11">
            <v>6.4074707959081545E-2</v>
          </cell>
          <cell r="AA11">
            <v>8.1285046609104405E-2</v>
          </cell>
          <cell r="AB11">
            <v>8.894429960185124E-2</v>
          </cell>
          <cell r="AC11">
            <v>9.4927892083663146E-2</v>
          </cell>
          <cell r="AD11">
            <v>0.1067302813397506</v>
          </cell>
          <cell r="AE11">
            <v>0.1067302813397506</v>
          </cell>
          <cell r="AF11">
            <v>9.3863723708620617E-2</v>
          </cell>
          <cell r="AG11">
            <v>8.8437473175281056E-2</v>
          </cell>
          <cell r="AH11">
            <v>8.4759686232872333E-2</v>
          </cell>
          <cell r="AI11">
            <v>6.2879882132213849E-2</v>
          </cell>
          <cell r="AJ11">
            <v>6.2879882132213849E-2</v>
          </cell>
          <cell r="AK11">
            <v>4.5711051156818838E-2</v>
          </cell>
          <cell r="AL11">
            <v>2.9985569924055655E-2</v>
          </cell>
          <cell r="AM11">
            <v>2.5376909332922803E-2</v>
          </cell>
          <cell r="AN11">
            <v>2.9474213204347066E-2</v>
          </cell>
          <cell r="AO11">
            <v>2.9474213204347066E-2</v>
          </cell>
          <cell r="AP11">
            <v>2.6808027890635966E-2</v>
          </cell>
          <cell r="AQ11">
            <v>4.3911039739087387E-2</v>
          </cell>
          <cell r="AR11">
            <v>4.5259760164416463E-2</v>
          </cell>
          <cell r="AS11">
            <v>3.7455811701915476E-2</v>
          </cell>
          <cell r="AT11">
            <v>3.7455811701915476E-2</v>
          </cell>
          <cell r="AU11">
            <v>4.5752835314434748E-2</v>
          </cell>
          <cell r="AV11">
            <v>3.3662671524801624E-2</v>
          </cell>
          <cell r="AW11">
            <v>2.8934248931768991E-2</v>
          </cell>
          <cell r="AX11">
            <v>4.306151617159526E-2</v>
          </cell>
          <cell r="AY11">
            <v>4.306151617159526E-2</v>
          </cell>
          <cell r="AZ11">
            <v>3.303157719890204E-2</v>
          </cell>
          <cell r="BA11">
            <v>2.1324173853674466E-2</v>
          </cell>
          <cell r="BB11">
            <v>3.1353293138274951E-2</v>
          </cell>
          <cell r="BC11">
            <v>4.517456886424509E-2</v>
          </cell>
          <cell r="BD11">
            <v>4.517456886424509E-2</v>
          </cell>
          <cell r="BE11">
            <v>6.0994785444116184E-2</v>
          </cell>
          <cell r="BF11">
            <v>8.3470723655796775E-2</v>
          </cell>
          <cell r="BG11">
            <v>0.10246394955255722</v>
          </cell>
          <cell r="BH11">
            <v>0.10060982737443336</v>
          </cell>
          <cell r="BI11">
            <v>0.10060982737443336</v>
          </cell>
          <cell r="BJ11">
            <v>0.11299412129585251</v>
          </cell>
          <cell r="BK11">
            <v>0.11886869625198027</v>
          </cell>
          <cell r="BL11">
            <v>7.1688247891645851E-2</v>
          </cell>
          <cell r="BM11">
            <v>5.7850929078894886E-2</v>
          </cell>
          <cell r="BN11">
            <v>5.7850929078894664E-2</v>
          </cell>
          <cell r="BO11">
            <v>4.6507798534815903E-2</v>
          </cell>
          <cell r="BP11">
            <v>3.1614737021461004E-2</v>
          </cell>
          <cell r="BQ11">
            <v>5.1852805344769548E-2</v>
          </cell>
          <cell r="BR11">
            <v>4.62119000508181E-2</v>
          </cell>
          <cell r="BS11">
            <v>4.6211900050818322E-2</v>
          </cell>
          <cell r="BT11">
            <v>3.925612019964686E-2</v>
          </cell>
          <cell r="BU11">
            <v>4.2276593668120643E-2</v>
          </cell>
          <cell r="BV11">
            <v>4.424788005957625E-2</v>
          </cell>
          <cell r="BW11">
            <v>4.8311967483947837E-2</v>
          </cell>
          <cell r="BX11">
            <v>4.8311967483947837E-2</v>
          </cell>
          <cell r="BY11">
            <v>5.4772504272732725E-2</v>
          </cell>
          <cell r="BZ11">
            <v>5.3512852390906307E-2</v>
          </cell>
          <cell r="CA11">
            <v>5.1722487012569429E-2</v>
          </cell>
          <cell r="CB11">
            <v>4.2643475811562581E-2</v>
          </cell>
          <cell r="CC11">
            <v>4.2643475811562581E-2</v>
          </cell>
          <cell r="CD11">
            <v>4.1426398615393545E-2</v>
          </cell>
          <cell r="CE11">
            <v>4.8478251654252569E-2</v>
          </cell>
          <cell r="CF11">
            <v>4.8521142645935766E-2</v>
          </cell>
          <cell r="CG11">
            <v>5.3535657795385605E-2</v>
          </cell>
          <cell r="CH11">
            <v>5.3535657795385605E-2</v>
          </cell>
          <cell r="CI11">
            <v>4.9363000345900243E-2</v>
          </cell>
          <cell r="CJ11">
            <v>4.3936151204631457E-2</v>
          </cell>
          <cell r="CK11">
            <v>4.2877712013664748E-2</v>
          </cell>
          <cell r="CL11">
            <v>4.5466259296915279E-2</v>
          </cell>
          <cell r="CM11">
            <v>4.5466259296915279E-2</v>
          </cell>
          <cell r="CN11">
            <v>4.5466259296915279E-2</v>
          </cell>
          <cell r="CO11">
            <v>4.5466259296915279E-2</v>
          </cell>
          <cell r="CP11">
            <v>4.5466259296915279E-2</v>
          </cell>
          <cell r="CQ11">
            <v>4.5466259296915279E-2</v>
          </cell>
          <cell r="CR11">
            <v>4.000000000000048E-2</v>
          </cell>
          <cell r="CS11">
            <v>4.000000000000048E-2</v>
          </cell>
          <cell r="CT11">
            <v>4.000000000000048E-2</v>
          </cell>
          <cell r="CU11">
            <v>4.000000000000048E-2</v>
          </cell>
          <cell r="CV11">
            <v>4.000000000000048E-2</v>
          </cell>
          <cell r="CW11">
            <v>3.9494898232357745E-2</v>
          </cell>
          <cell r="CX11">
            <v>3.9494898232357745E-2</v>
          </cell>
          <cell r="CY11">
            <v>3.9494898232357745E-2</v>
          </cell>
          <cell r="CZ11">
            <v>3.9494898232357745E-2</v>
          </cell>
          <cell r="DA11">
            <v>3.9494898232357745E-2</v>
          </cell>
          <cell r="DB11">
            <v>3.9494898232357745E-2</v>
          </cell>
        </row>
        <row r="12">
          <cell r="B12">
            <v>8.7499999999999994E-2</v>
          </cell>
          <cell r="C12">
            <v>9.7500000000000003E-2</v>
          </cell>
          <cell r="D12">
            <v>0.1075</v>
          </cell>
          <cell r="E12">
            <v>0.1075</v>
          </cell>
          <cell r="F12">
            <v>0.1</v>
          </cell>
          <cell r="G12">
            <v>0.11416666666666667</v>
          </cell>
          <cell r="H12">
            <v>0.12083333333333333</v>
          </cell>
          <cell r="I12">
            <v>0.12166666666666666</v>
          </cell>
          <cell r="J12">
            <v>0.11166666666666666</v>
          </cell>
          <cell r="K12">
            <v>0.11708333333333334</v>
          </cell>
          <cell r="L12">
            <v>0.10249999999999999</v>
          </cell>
          <cell r="M12">
            <v>8.6666666666666656E-2</v>
          </cell>
          <cell r="N12">
            <v>7.6666666666666675E-2</v>
          </cell>
          <cell r="O12">
            <v>7.2499999999999995E-2</v>
          </cell>
          <cell r="P12">
            <v>8.4583333333333344E-2</v>
          </cell>
          <cell r="Q12">
            <v>7.2499999999999995E-2</v>
          </cell>
          <cell r="R12">
            <v>7.8333333333333324E-2</v>
          </cell>
          <cell r="S12">
            <v>8.8333333333333333E-2</v>
          </cell>
          <cell r="T12">
            <v>9.8333333333333342E-2</v>
          </cell>
          <cell r="U12">
            <v>8.4375000000000006E-2</v>
          </cell>
          <cell r="V12">
            <v>0.10666666666666666</v>
          </cell>
          <cell r="W12">
            <v>0.11</v>
          </cell>
          <cell r="X12">
            <v>0.11</v>
          </cell>
          <cell r="Y12">
            <v>0.11416666666666667</v>
          </cell>
          <cell r="Z12">
            <v>0.11020833333333334</v>
          </cell>
          <cell r="AA12">
            <v>0.12416666666666666</v>
          </cell>
          <cell r="AB12">
            <v>0.13416666666666666</v>
          </cell>
          <cell r="AC12">
            <v>0.14249999999999999</v>
          </cell>
          <cell r="AD12">
            <v>0.14249999999999999</v>
          </cell>
          <cell r="AE12">
            <v>0.13583333333333333</v>
          </cell>
          <cell r="AF12">
            <v>0.14249999999999999</v>
          </cell>
          <cell r="AG12">
            <v>0.14249999999999999</v>
          </cell>
          <cell r="AH12">
            <v>0.14249999999999999</v>
          </cell>
          <cell r="AI12">
            <v>0.13916666666666666</v>
          </cell>
          <cell r="AJ12">
            <v>0.14166666666666666</v>
          </cell>
          <cell r="AK12">
            <v>0.125</v>
          </cell>
          <cell r="AL12">
            <v>0.10916666666666666</v>
          </cell>
          <cell r="AM12">
            <v>8.9166666666666658E-2</v>
          </cell>
          <cell r="AN12">
            <v>7.3333333333333334E-2</v>
          </cell>
          <cell r="AO12">
            <v>9.9166666666666667E-2</v>
          </cell>
          <cell r="AP12">
            <v>6.7500000000000004E-2</v>
          </cell>
          <cell r="AQ12">
            <v>6.5000000000000002E-2</v>
          </cell>
          <cell r="AR12">
            <v>6.5000000000000002E-2</v>
          </cell>
          <cell r="AS12">
            <v>6.5000000000000002E-2</v>
          </cell>
          <cell r="AT12">
            <v>6.5625000000000003E-2</v>
          </cell>
          <cell r="AU12">
            <v>6.5000000000000002E-2</v>
          </cell>
          <cell r="AV12">
            <v>6.5000000000000002E-2</v>
          </cell>
          <cell r="AW12">
            <v>0.06</v>
          </cell>
          <cell r="AX12">
            <v>4.8333333333333332E-2</v>
          </cell>
          <cell r="AY12">
            <v>5.9583333333333328E-2</v>
          </cell>
          <cell r="AZ12">
            <v>4.1666666666666671E-2</v>
          </cell>
          <cell r="BA12">
            <v>0.03</v>
          </cell>
          <cell r="BB12">
            <v>2.0833333333333336E-2</v>
          </cell>
          <cell r="BC12">
            <v>0.02</v>
          </cell>
          <cell r="BD12">
            <v>2.8125000000000001E-2</v>
          </cell>
          <cell r="BE12">
            <v>2.2499999999999999E-2</v>
          </cell>
          <cell r="BF12">
            <v>3.5000000000000003E-2</v>
          </cell>
          <cell r="BG12">
            <v>5.2499999999999998E-2</v>
          </cell>
          <cell r="BH12">
            <v>8.2500000000000004E-2</v>
          </cell>
          <cell r="BI12">
            <v>4.8125000000000001E-2</v>
          </cell>
          <cell r="BJ12">
            <v>0.10583333333333333</v>
          </cell>
          <cell r="BK12">
            <v>0.12583333333333335</v>
          </cell>
          <cell r="BL12">
            <v>0.13583333333333333</v>
          </cell>
          <cell r="BM12">
            <v>0.13750000000000001</v>
          </cell>
          <cell r="BN12">
            <v>0.12625</v>
          </cell>
          <cell r="BO12">
            <v>0.13750000000000001</v>
          </cell>
          <cell r="BP12">
            <v>0.13750000000000001</v>
          </cell>
          <cell r="BQ12">
            <v>0.13250000000000001</v>
          </cell>
          <cell r="BR12">
            <v>0.1225</v>
          </cell>
          <cell r="BS12">
            <v>0.13250000000000001</v>
          </cell>
          <cell r="BT12">
            <v>0.11083333333333334</v>
          </cell>
          <cell r="BU12">
            <v>0.10583333333333333</v>
          </cell>
          <cell r="BV12">
            <v>0.10583333333333333</v>
          </cell>
          <cell r="BW12">
            <v>0.11416666666666667</v>
          </cell>
          <cell r="BX12">
            <v>0.10916666666666666</v>
          </cell>
          <cell r="BY12">
            <v>0.13583333333333333</v>
          </cell>
          <cell r="BZ12">
            <v>0.14666666666666667</v>
          </cell>
          <cell r="CA12">
            <v>0.15</v>
          </cell>
          <cell r="CB12">
            <v>0.15</v>
          </cell>
          <cell r="CC12">
            <v>0.145625</v>
          </cell>
          <cell r="CD12">
            <v>0.14916666666666667</v>
          </cell>
          <cell r="CE12">
            <v>0.14416666666666667</v>
          </cell>
          <cell r="CF12">
            <v>0.14083333333333334</v>
          </cell>
          <cell r="CG12">
            <v>0.14000000000000001</v>
          </cell>
          <cell r="CH12">
            <v>0.14354166666666665</v>
          </cell>
          <cell r="CI12">
            <v>0.14000000000000001</v>
          </cell>
          <cell r="CJ12">
            <v>0.13333333333333333</v>
          </cell>
          <cell r="CK12">
            <v>0.12666666666666665</v>
          </cell>
          <cell r="CL12">
            <v>0.125</v>
          </cell>
          <cell r="CM12">
            <v>0.13125000000000001</v>
          </cell>
          <cell r="CN12">
            <v>0.125</v>
          </cell>
          <cell r="CO12">
            <v>0.125</v>
          </cell>
          <cell r="CP12">
            <v>0.125</v>
          </cell>
          <cell r="CQ12">
            <v>0.125</v>
          </cell>
          <cell r="CR12">
            <v>0.125</v>
          </cell>
          <cell r="CS12">
            <v>0.125</v>
          </cell>
          <cell r="CT12">
            <v>0.125</v>
          </cell>
          <cell r="CU12">
            <v>0.125</v>
          </cell>
          <cell r="CV12">
            <v>0.125</v>
          </cell>
          <cell r="CW12">
            <v>0.125</v>
          </cell>
          <cell r="CX12">
            <v>0.125</v>
          </cell>
          <cell r="CY12">
            <v>0.125</v>
          </cell>
          <cell r="CZ12">
            <v>0.125</v>
          </cell>
          <cell r="DA12">
            <v>0.125</v>
          </cell>
          <cell r="DB12">
            <v>0.125</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cro"/>
      <sheetName val="IS"/>
      <sheetName val="BS &amp; FCF"/>
      <sheetName val="Operating"/>
      <sheetName val="Valuation"/>
      <sheetName val="Report Tables"/>
      <sheetName val="Mask-UploadModel"/>
    </sheetNames>
    <sheetDataSet>
      <sheetData sheetId="0"/>
      <sheetData sheetId="1"/>
      <sheetData sheetId="2">
        <row r="3">
          <cell r="A3" t="str">
            <v>Income Statement (R$000')</v>
          </cell>
        </row>
      </sheetData>
      <sheetData sheetId="3">
        <row r="3">
          <cell r="A3" t="str">
            <v>Balance sheet (R$000')</v>
          </cell>
        </row>
      </sheetData>
      <sheetData sheetId="4">
        <row r="3">
          <cell r="A3" t="str">
            <v>Launches and sales</v>
          </cell>
        </row>
      </sheetData>
      <sheetData sheetId="5">
        <row r="6">
          <cell r="B6">
            <v>29.48</v>
          </cell>
        </row>
        <row r="27">
          <cell r="C27">
            <v>1.6800303098888301</v>
          </cell>
          <cell r="D27">
            <v>4.3475114566746793</v>
          </cell>
          <cell r="E27">
            <v>7.6430552805423071</v>
          </cell>
        </row>
      </sheetData>
      <sheetData sheetId="6">
        <row r="33">
          <cell r="L33">
            <v>9431.9648864089995</v>
          </cell>
          <cell r="O33">
            <v>10152.567003730648</v>
          </cell>
          <cell r="R33">
            <v>10507.906848861219</v>
          </cell>
        </row>
        <row r="34">
          <cell r="L34">
            <v>8375.5483977681015</v>
          </cell>
          <cell r="O34">
            <v>9137.3103033575826</v>
          </cell>
          <cell r="R34">
            <v>9457.1161639750972</v>
          </cell>
        </row>
        <row r="35">
          <cell r="L35">
            <v>8980.206674575651</v>
          </cell>
          <cell r="O35">
            <v>9859.0051483423504</v>
          </cell>
          <cell r="R35">
            <v>10180.9328609518</v>
          </cell>
        </row>
        <row r="36">
          <cell r="L36">
            <v>7847.2218251059094</v>
          </cell>
          <cell r="O36">
            <v>8841.8117196456315</v>
          </cell>
          <cell r="R36">
            <v>9162.8395748566181</v>
          </cell>
        </row>
        <row r="37">
          <cell r="L37">
            <v>6813.6498175338193</v>
          </cell>
          <cell r="O37">
            <v>8014.8494019633281</v>
          </cell>
          <cell r="R37">
            <v>9032.9929330599371</v>
          </cell>
        </row>
        <row r="38">
          <cell r="L38">
            <v>-4203.3879041761002</v>
          </cell>
          <cell r="O38">
            <v>-4851.6490682410576</v>
          </cell>
          <cell r="R38">
            <v>-5568.7325018502906</v>
          </cell>
        </row>
        <row r="39">
          <cell r="L39">
            <v>2610.2619133577186</v>
          </cell>
          <cell r="O39">
            <v>3163.20033372227</v>
          </cell>
          <cell r="R39">
            <v>3464.260431209646</v>
          </cell>
        </row>
        <row r="40">
          <cell r="L40">
            <v>-590.50075215838012</v>
          </cell>
          <cell r="O40">
            <v>-652.13617245666717</v>
          </cell>
          <cell r="R40">
            <v>-725.27389552001227</v>
          </cell>
        </row>
        <row r="41">
          <cell r="L41">
            <v>-296.16470160000006</v>
          </cell>
          <cell r="O41">
            <v>-339.41014663512004</v>
          </cell>
          <cell r="R41">
            <v>-351.87727306593837</v>
          </cell>
        </row>
        <row r="42">
          <cell r="L42">
            <v>-42.117364165311251</v>
          </cell>
          <cell r="O42">
            <v>-37.364647241726033</v>
          </cell>
          <cell r="R42">
            <v>-12.066129120810634</v>
          </cell>
        </row>
        <row r="43">
          <cell r="L43">
            <v>-21.339541236147166</v>
          </cell>
          <cell r="O43">
            <v>-25.949666534509422</v>
          </cell>
          <cell r="R43">
            <v>-25.431367719273208</v>
          </cell>
        </row>
        <row r="44">
          <cell r="L44">
            <v>5.0738336758313185</v>
          </cell>
          <cell r="O44">
            <v>6.0244599451493519</v>
          </cell>
          <cell r="R44">
            <v>6.7610883408326474</v>
          </cell>
        </row>
        <row r="45">
          <cell r="L45">
            <v>1470.578911516382</v>
          </cell>
          <cell r="O45">
            <v>1860.1222519172666</v>
          </cell>
          <cell r="R45">
            <v>2117.7834586064587</v>
          </cell>
        </row>
        <row r="46">
          <cell r="L46">
            <v>-183.96854507341311</v>
          </cell>
          <cell r="O46">
            <v>-216.40093385300983</v>
          </cell>
          <cell r="R46">
            <v>-173.43346431475078</v>
          </cell>
        </row>
        <row r="47">
          <cell r="L47">
            <v>-144.48441285432298</v>
          </cell>
          <cell r="O47">
            <v>-177.50034928466158</v>
          </cell>
          <cell r="R47">
            <v>-200.93657772352245</v>
          </cell>
        </row>
        <row r="48">
          <cell r="L48">
            <v>1142.1259535886459</v>
          </cell>
          <cell r="O48">
            <v>1466.2209687795951</v>
          </cell>
          <cell r="R48">
            <v>1743.4134165681858</v>
          </cell>
        </row>
        <row r="49">
          <cell r="L49">
            <v>3.7076282231525757</v>
          </cell>
          <cell r="O49">
            <v>4.7597221901353182</v>
          </cell>
          <cell r="R49">
            <v>5.6595586218673271</v>
          </cell>
        </row>
        <row r="50">
          <cell r="L50">
            <v>0.38309305339417865</v>
          </cell>
          <cell r="O50">
            <v>0.39466746972780403</v>
          </cell>
          <cell r="R50">
            <v>0.38351191646909927</v>
          </cell>
        </row>
        <row r="51">
          <cell r="L51">
            <v>0.38271460640892713</v>
          </cell>
          <cell r="O51">
            <v>0.3920853987451009</v>
          </cell>
          <cell r="R51">
            <v>0.38243729080333572</v>
          </cell>
        </row>
        <row r="52">
          <cell r="L52">
            <v>0.16762322458215723</v>
          </cell>
          <cell r="O52">
            <v>0.18293805600644569</v>
          </cell>
          <cell r="R52">
            <v>0.19300506814164001</v>
          </cell>
        </row>
        <row r="53">
          <cell r="L53">
            <v>802.19814476168506</v>
          </cell>
          <cell r="O53">
            <v>1109.9554888131959</v>
          </cell>
          <cell r="R53">
            <v>1481.134397271107</v>
          </cell>
        </row>
        <row r="54">
          <cell r="L54">
            <v>718.42169097513124</v>
          </cell>
          <cell r="O54">
            <v>1049.7832698743405</v>
          </cell>
          <cell r="R54">
            <v>1503.5228925569243</v>
          </cell>
        </row>
        <row r="55">
          <cell r="L55">
            <v>-0.18527184230013444</v>
          </cell>
          <cell r="O55">
            <v>-0.17479405565418787</v>
          </cell>
          <cell r="R55">
            <v>-0.14985060271213291</v>
          </cell>
        </row>
        <row r="56">
          <cell r="L56">
            <v>0.69169372929906103</v>
          </cell>
          <cell r="O56">
            <v>0.70968475311072532</v>
          </cell>
          <cell r="R56">
            <v>0.7334861405583224</v>
          </cell>
        </row>
        <row r="63">
          <cell r="L63">
            <v>3.7076282231525757</v>
          </cell>
          <cell r="O63">
            <v>4.7597221901353182</v>
          </cell>
          <cell r="R63">
            <v>5.6595586218673271</v>
          </cell>
        </row>
        <row r="65">
          <cell r="L65">
            <v>5.8608159835636133</v>
          </cell>
          <cell r="O65">
            <v>7.2126775368314329</v>
          </cell>
          <cell r="R65">
            <v>7.9914225382004789</v>
          </cell>
        </row>
        <row r="66">
          <cell r="L66">
            <v>5.8691867849664812</v>
          </cell>
          <cell r="O66">
            <v>7.2882292235086235</v>
          </cell>
          <cell r="R66">
            <v>8.0984858686418022</v>
          </cell>
        </row>
      </sheetData>
      <sheetData sheetId="7"/>
    </sheetDataSet>
  </externalBook>
</externalLink>
</file>

<file path=xl/theme/theme1.xml><?xml version="1.0" encoding="utf-8"?>
<a:theme xmlns:a="http://schemas.openxmlformats.org/drawingml/2006/main" name="Office Theme">
  <a:themeElements>
    <a:clrScheme name="Custom 8">
      <a:dk1>
        <a:sysClr val="windowText" lastClr="000000"/>
      </a:dk1>
      <a:lt1>
        <a:sysClr val="window" lastClr="FFFFFF"/>
      </a:lt1>
      <a:dk2>
        <a:srgbClr val="0E2841"/>
      </a:dk2>
      <a:lt2>
        <a:srgbClr val="E8E8E8"/>
      </a:lt2>
      <a:accent1>
        <a:srgbClr val="000000"/>
      </a:accent1>
      <a:accent2>
        <a:srgbClr val="FF6200"/>
      </a:accent2>
      <a:accent3>
        <a:srgbClr val="FFB600"/>
      </a:accent3>
      <a:accent4>
        <a:srgbClr val="57B49A"/>
      </a:accent4>
      <a:accent5>
        <a:srgbClr val="A6CF2D"/>
      </a:accent5>
      <a:accent6>
        <a:srgbClr val="BFBFBF"/>
      </a:accent6>
      <a:hlink>
        <a:srgbClr val="0070C0"/>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62CA-F819-40BB-8504-41B1A7E96F31}">
  <sheetPr>
    <tabColor theme="2" tint="-0.89999084444715716"/>
  </sheetPr>
  <dimension ref="A5:P21"/>
  <sheetViews>
    <sheetView showGridLines="0" zoomScale="130" zoomScaleNormal="130" workbookViewId="0">
      <selection activeCell="N26" sqref="N26"/>
    </sheetView>
  </sheetViews>
  <sheetFormatPr defaultColWidth="8.81640625" defaultRowHeight="14" x14ac:dyDescent="0.3"/>
  <cols>
    <col min="1" max="1" width="3.7265625" style="5" customWidth="1"/>
    <col min="2" max="7" width="8.81640625" style="5"/>
    <col min="8" max="8" width="9.1796875" style="5" customWidth="1"/>
    <col min="9" max="9" width="7.7265625" style="5" hidden="1" customWidth="1"/>
    <col min="10" max="10" width="20.81640625" style="5" bestFit="1" customWidth="1"/>
    <col min="11" max="16384" width="8.81640625" style="5"/>
  </cols>
  <sheetData>
    <row r="5" spans="1:16" s="3" customFormat="1" x14ac:dyDescent="0.3">
      <c r="A5" s="1"/>
      <c r="B5" s="1"/>
      <c r="C5" s="1"/>
      <c r="D5" s="1"/>
      <c r="E5" s="1"/>
      <c r="F5" s="1"/>
      <c r="G5" s="1"/>
      <c r="H5" s="1"/>
      <c r="I5" s="1"/>
      <c r="J5" s="1"/>
      <c r="K5" s="1"/>
      <c r="L5" s="1"/>
      <c r="M5" s="1"/>
      <c r="N5" s="1"/>
      <c r="O5" s="1"/>
      <c r="P5" s="2"/>
    </row>
    <row r="6" spans="1:16" s="3" customFormat="1" ht="36" customHeight="1" x14ac:dyDescent="0.6">
      <c r="A6" s="1"/>
      <c r="B6" s="103" t="str">
        <f ca="1">Valuation!$B$5&amp;" -"&amp;" "&amp;Valuation!$B$18&amp;" Rating - TP R$"&amp;Valuation!$B$16&amp;"/sh"</f>
        <v>CURY3 - Outperform Rating - TP R$44/sh</v>
      </c>
      <c r="C6" s="1"/>
      <c r="D6" s="1"/>
      <c r="E6" s="1"/>
      <c r="F6" s="1"/>
      <c r="G6" s="1"/>
      <c r="H6" s="1"/>
      <c r="I6" s="1"/>
      <c r="J6" s="4"/>
      <c r="K6" s="1"/>
      <c r="L6" s="1"/>
    </row>
    <row r="7" spans="1:16" ht="7.5" customHeight="1" x14ac:dyDescent="0.3">
      <c r="B7" s="6"/>
      <c r="C7" s="6"/>
      <c r="D7" s="6"/>
    </row>
    <row r="8" spans="1:16" s="3" customFormat="1" ht="14.5" thickBot="1" x14ac:dyDescent="0.3">
      <c r="A8" s="1"/>
      <c r="B8" s="104" t="s">
        <v>42</v>
      </c>
      <c r="C8" s="105"/>
      <c r="D8" s="105"/>
      <c r="E8" s="105"/>
      <c r="F8" s="105"/>
      <c r="G8" s="105"/>
      <c r="H8" s="105"/>
      <c r="I8" s="105"/>
      <c r="J8" s="105"/>
      <c r="K8" s="105"/>
      <c r="L8" s="1"/>
    </row>
    <row r="9" spans="1:16" ht="7.5" customHeight="1" thickTop="1" x14ac:dyDescent="0.3">
      <c r="B9" s="6"/>
      <c r="C9" s="6"/>
      <c r="D9" s="6"/>
    </row>
    <row r="10" spans="1:16" x14ac:dyDescent="0.3">
      <c r="B10" s="62" t="s">
        <v>44</v>
      </c>
      <c r="C10" s="6"/>
      <c r="D10" s="6"/>
    </row>
    <row r="11" spans="1:16" x14ac:dyDescent="0.3">
      <c r="B11" s="60" t="s">
        <v>46</v>
      </c>
      <c r="C11" s="6"/>
      <c r="D11" s="6"/>
    </row>
    <row r="12" spans="1:16" x14ac:dyDescent="0.3">
      <c r="B12" s="61" t="s">
        <v>358</v>
      </c>
      <c r="C12" s="6"/>
      <c r="D12" s="6"/>
    </row>
    <row r="13" spans="1:16" ht="7.5" customHeight="1" x14ac:dyDescent="0.3">
      <c r="B13" s="6"/>
      <c r="C13" s="6"/>
      <c r="D13" s="6"/>
    </row>
    <row r="14" spans="1:16" x14ac:dyDescent="0.3">
      <c r="B14" s="60" t="s">
        <v>43</v>
      </c>
      <c r="C14" s="6"/>
      <c r="D14" s="6"/>
    </row>
    <row r="15" spans="1:16" x14ac:dyDescent="0.3">
      <c r="B15" s="61" t="s">
        <v>359</v>
      </c>
      <c r="C15" s="6"/>
      <c r="D15" s="6"/>
    </row>
    <row r="16" spans="1:16" ht="7.5" customHeight="1" x14ac:dyDescent="0.3">
      <c r="B16" s="6"/>
      <c r="C16" s="6"/>
      <c r="D16" s="6"/>
    </row>
    <row r="17" spans="2:4" x14ac:dyDescent="0.3">
      <c r="B17" s="60" t="s">
        <v>45</v>
      </c>
      <c r="C17" s="6"/>
      <c r="D17" s="6"/>
    </row>
    <row r="18" spans="2:4" x14ac:dyDescent="0.3">
      <c r="B18" s="61" t="s">
        <v>360</v>
      </c>
      <c r="C18" s="6"/>
      <c r="D18" s="6"/>
    </row>
    <row r="19" spans="2:4" ht="7.5" customHeight="1" x14ac:dyDescent="0.3">
      <c r="B19" s="6"/>
      <c r="C19" s="6"/>
      <c r="D19" s="6"/>
    </row>
    <row r="20" spans="2:4" x14ac:dyDescent="0.3">
      <c r="B20" s="60" t="s">
        <v>340</v>
      </c>
      <c r="C20" s="6"/>
    </row>
    <row r="21" spans="2:4" x14ac:dyDescent="0.3">
      <c r="B21" s="61" t="s">
        <v>361</v>
      </c>
      <c r="C21" s="6"/>
    </row>
  </sheetData>
  <pageMargins left="0.7" right="0.7" top="0.75" bottom="0.75" header="0.3" footer="0.3"/>
  <pageSetup orientation="portrait" r:id="rId1"/>
  <headerFooter>
    <oddFooter>&amp;L_x000D_&amp;1#&amp;"Calibri"&amp;9&amp;K000000 Corporativo | Interno</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992CB-BBC0-4226-936E-FE77B3E49D83}">
  <sheetPr>
    <tabColor theme="2" tint="-0.89999084444715716"/>
  </sheetPr>
  <dimension ref="A1:DD45"/>
  <sheetViews>
    <sheetView showGridLines="0" zoomScaleNormal="100" workbookViewId="0">
      <pane xSplit="1" ySplit="3" topLeftCell="AY4" activePane="bottomRight" state="frozen"/>
      <selection pane="topRight" activeCell="B1" sqref="B1"/>
      <selection pane="bottomLeft" activeCell="A4" sqref="A4"/>
      <selection pane="bottomRight" activeCell="CD24" sqref="CD24"/>
    </sheetView>
  </sheetViews>
  <sheetFormatPr defaultColWidth="11" defaultRowHeight="11.25" customHeight="1" outlineLevelCol="1" x14ac:dyDescent="0.2"/>
  <cols>
    <col min="1" max="1" width="30.7265625" style="278" customWidth="1"/>
    <col min="2" max="5" width="11" style="278" customWidth="1" outlineLevel="1"/>
    <col min="6" max="6" width="11" style="278"/>
    <col min="7" max="10" width="11" style="278" hidden="1" customWidth="1" outlineLevel="1"/>
    <col min="11" max="11" width="11" style="278" collapsed="1"/>
    <col min="12" max="15" width="11" style="278" hidden="1" customWidth="1" outlineLevel="1"/>
    <col min="16" max="16" width="11" style="278" collapsed="1"/>
    <col min="17" max="20" width="11" style="278" hidden="1" customWidth="1" outlineLevel="1"/>
    <col min="21" max="21" width="11" style="278" collapsed="1"/>
    <col min="22" max="25" width="11" style="278" hidden="1" customWidth="1" outlineLevel="1"/>
    <col min="26" max="26" width="11" style="278" collapsed="1"/>
    <col min="27" max="30" width="11" style="278" hidden="1" customWidth="1" outlineLevel="1"/>
    <col min="31" max="31" width="11" style="278" collapsed="1"/>
    <col min="32" max="35" width="11" style="278" hidden="1" customWidth="1" outlineLevel="1"/>
    <col min="36" max="36" width="11" style="278" collapsed="1"/>
    <col min="37" max="40" width="11" style="278" hidden="1" customWidth="1" outlineLevel="1"/>
    <col min="41" max="41" width="11" style="278" collapsed="1"/>
    <col min="42" max="45" width="11" style="278" hidden="1" customWidth="1" outlineLevel="1"/>
    <col min="46" max="46" width="11" style="278" collapsed="1"/>
    <col min="47" max="50" width="11" style="278" hidden="1" customWidth="1" outlineLevel="1"/>
    <col min="51" max="51" width="11" style="278" collapsed="1"/>
    <col min="52" max="55" width="11" style="278" hidden="1" customWidth="1" outlineLevel="1"/>
    <col min="56" max="56" width="11" style="278" collapsed="1"/>
    <col min="57" max="60" width="11" style="278" hidden="1" customWidth="1" outlineLevel="1"/>
    <col min="61" max="61" width="11" style="278" collapsed="1"/>
    <col min="62" max="65" width="11" style="278" hidden="1" customWidth="1" outlineLevel="1"/>
    <col min="66" max="66" width="11" style="278" collapsed="1"/>
    <col min="67" max="70" width="11" style="278" hidden="1" customWidth="1" outlineLevel="1"/>
    <col min="71" max="71" width="11" style="278" collapsed="1"/>
    <col min="72" max="75" width="11" style="278" hidden="1" customWidth="1" outlineLevel="1"/>
    <col min="76" max="76" width="11" style="278" collapsed="1"/>
    <col min="77" max="80" width="11" style="278" customWidth="1" outlineLevel="1"/>
    <col min="81" max="81" width="11" style="278"/>
    <col min="82" max="85" width="11" style="278" customWidth="1" outlineLevel="1"/>
    <col min="86" max="86" width="11" style="278"/>
    <col min="87" max="90" width="11" style="278" customWidth="1" outlineLevel="1"/>
    <col min="91" max="91" width="11" style="278"/>
    <col min="92" max="95" width="11" style="278" customWidth="1" outlineLevel="1"/>
    <col min="96" max="96" width="11" style="278"/>
    <col min="97" max="100" width="11" style="278" customWidth="1" outlineLevel="1"/>
    <col min="101" max="101" width="11" style="278"/>
    <col min="102" max="105" width="11" style="278" customWidth="1" outlineLevel="1"/>
    <col min="106" max="16384" width="11" style="278"/>
  </cols>
  <sheetData>
    <row r="1" spans="1:108" s="7" customFormat="1" ht="45.75" customHeight="1" x14ac:dyDescent="0.35">
      <c r="F1" s="8"/>
      <c r="K1" s="8"/>
      <c r="P1" s="8"/>
      <c r="U1" s="8"/>
      <c r="Z1" s="8"/>
      <c r="AE1" s="8"/>
      <c r="AJ1" s="8"/>
      <c r="AO1" s="8"/>
      <c r="AT1" s="8"/>
      <c r="AY1" s="8"/>
      <c r="BD1" s="8"/>
      <c r="BI1" s="8"/>
      <c r="BN1" s="8"/>
      <c r="BS1" s="8"/>
      <c r="BX1" s="8"/>
      <c r="CC1" s="8"/>
      <c r="CH1" s="8"/>
      <c r="CM1" s="8"/>
      <c r="CR1" s="8"/>
      <c r="CW1" s="8"/>
      <c r="DB1" s="8"/>
    </row>
    <row r="2" spans="1:108" s="7" customFormat="1" ht="11.25" customHeight="1" x14ac:dyDescent="0.35">
      <c r="A2" s="11" t="str">
        <f ca="1">"CURY3 | "&amp;"TP R$"&amp;Valuation!$B$16&amp;"/sh"</f>
        <v>CURY3 | TP R$44/sh</v>
      </c>
      <c r="B2" s="12"/>
      <c r="C2" s="12"/>
      <c r="D2" s="12"/>
      <c r="E2" s="12"/>
      <c r="F2" s="39"/>
      <c r="G2" s="12"/>
      <c r="H2" s="12"/>
      <c r="I2" s="12"/>
      <c r="J2" s="12"/>
      <c r="K2" s="39"/>
      <c r="L2" s="12"/>
      <c r="M2" s="12"/>
      <c r="N2" s="12"/>
      <c r="O2" s="12"/>
      <c r="P2" s="39"/>
      <c r="Q2" s="12"/>
      <c r="R2" s="12"/>
      <c r="S2" s="12"/>
      <c r="T2" s="12"/>
      <c r="U2" s="39"/>
      <c r="V2" s="12"/>
      <c r="W2" s="12"/>
      <c r="X2" s="12"/>
      <c r="Y2" s="12"/>
      <c r="Z2" s="39"/>
      <c r="AA2" s="12"/>
      <c r="AB2" s="12"/>
      <c r="AC2" s="12"/>
      <c r="AD2" s="12"/>
      <c r="AE2" s="39"/>
      <c r="AF2" s="12"/>
      <c r="AG2" s="12"/>
      <c r="AH2" s="12"/>
      <c r="AI2" s="12"/>
      <c r="AJ2" s="39"/>
      <c r="AK2" s="12"/>
      <c r="AL2" s="12"/>
      <c r="AM2" s="12"/>
      <c r="AN2" s="12"/>
      <c r="AO2" s="39"/>
      <c r="AP2" s="12"/>
      <c r="AQ2" s="12"/>
      <c r="AR2" s="12"/>
      <c r="AS2" s="12"/>
      <c r="AT2" s="39"/>
      <c r="AU2" s="12"/>
      <c r="AV2" s="12"/>
      <c r="AW2" s="12"/>
      <c r="AX2" s="12"/>
      <c r="AY2" s="39"/>
      <c r="AZ2" s="12"/>
      <c r="BA2" s="12"/>
      <c r="BB2" s="12"/>
      <c r="BC2" s="12"/>
      <c r="BD2" s="39"/>
      <c r="BE2" s="12"/>
      <c r="BF2" s="12"/>
      <c r="BG2" s="12"/>
      <c r="BH2" s="12"/>
      <c r="BI2" s="39"/>
      <c r="BJ2" s="12"/>
      <c r="BK2" s="12"/>
      <c r="BL2" s="12"/>
      <c r="BM2" s="12"/>
      <c r="BN2" s="39"/>
      <c r="BO2" s="12"/>
      <c r="BP2" s="12"/>
      <c r="BQ2" s="12"/>
      <c r="BR2" s="12"/>
      <c r="BS2" s="39"/>
      <c r="BT2" s="12"/>
      <c r="BU2" s="12"/>
      <c r="BV2" s="12"/>
      <c r="BW2" s="12"/>
      <c r="BX2" s="39"/>
      <c r="BY2" s="12"/>
      <c r="BZ2" s="12"/>
      <c r="CA2" s="12"/>
      <c r="CB2" s="12"/>
      <c r="CC2" s="39"/>
      <c r="CD2" s="12"/>
      <c r="CE2" s="12"/>
      <c r="CF2" s="12"/>
      <c r="CG2" s="12"/>
      <c r="CH2" s="39"/>
      <c r="CI2" s="12"/>
      <c r="CJ2" s="12"/>
      <c r="CK2" s="12"/>
      <c r="CL2" s="12"/>
      <c r="CM2" s="39"/>
      <c r="CN2" s="12"/>
      <c r="CO2" s="12"/>
      <c r="CP2" s="12"/>
      <c r="CQ2" s="12"/>
      <c r="CR2" s="39"/>
      <c r="CS2" s="12"/>
      <c r="CT2" s="12"/>
      <c r="CU2" s="12"/>
      <c r="CV2" s="12"/>
      <c r="CW2" s="39"/>
      <c r="CX2" s="12"/>
      <c r="CY2" s="12"/>
      <c r="CZ2" s="12"/>
      <c r="DA2" s="12"/>
      <c r="DB2" s="39"/>
    </row>
    <row r="3" spans="1:108" s="293" customFormat="1" ht="11.25" customHeight="1" thickBot="1" x14ac:dyDescent="0.3">
      <c r="A3" s="287" t="s">
        <v>2</v>
      </c>
      <c r="B3" s="288" t="str">
        <f>B5&amp;RIGHT(B4,2)&amp;B6</f>
        <v>1Q10</v>
      </c>
      <c r="C3" s="288" t="str">
        <f>C5&amp;RIGHT(C4,2)&amp;C6</f>
        <v>2Q10</v>
      </c>
      <c r="D3" s="288" t="str">
        <f>D5&amp;RIGHT(D4,2)&amp;D6</f>
        <v>3Q10</v>
      </c>
      <c r="E3" s="288" t="str">
        <f>E5&amp;RIGHT(E4,2)&amp;E6</f>
        <v>4Q10</v>
      </c>
      <c r="F3" s="289" t="str">
        <f>F4&amp;F6</f>
        <v>2010</v>
      </c>
      <c r="G3" s="288" t="str">
        <f>G5&amp;RIGHT(G4,2)&amp;G6</f>
        <v>1Q11</v>
      </c>
      <c r="H3" s="288" t="str">
        <f>H5&amp;RIGHT(H4,2)&amp;H6</f>
        <v>2Q11</v>
      </c>
      <c r="I3" s="288" t="str">
        <f>I5&amp;RIGHT(I4,2)&amp;I6</f>
        <v>3Q11</v>
      </c>
      <c r="J3" s="288" t="str">
        <f>J5&amp;RIGHT(J4,2)&amp;J6</f>
        <v>4Q11</v>
      </c>
      <c r="K3" s="289" t="str">
        <f>K4&amp;K6</f>
        <v>2011</v>
      </c>
      <c r="L3" s="288" t="str">
        <f t="shared" ref="L3:O3" si="0">L5&amp;RIGHT(L4,2)&amp;L6</f>
        <v>1Q12</v>
      </c>
      <c r="M3" s="288" t="str">
        <f t="shared" si="0"/>
        <v>2Q12</v>
      </c>
      <c r="N3" s="288" t="str">
        <f t="shared" si="0"/>
        <v>3Q12</v>
      </c>
      <c r="O3" s="288" t="str">
        <f t="shared" si="0"/>
        <v>4Q12</v>
      </c>
      <c r="P3" s="289" t="str">
        <f t="shared" ref="P3" si="1">P4&amp;P6</f>
        <v>2012</v>
      </c>
      <c r="Q3" s="288" t="str">
        <f t="shared" ref="Q3:T3" si="2">Q5&amp;RIGHT(Q4,2)&amp;Q6</f>
        <v>1Q13</v>
      </c>
      <c r="R3" s="288" t="str">
        <f t="shared" si="2"/>
        <v>2Q13</v>
      </c>
      <c r="S3" s="288" t="str">
        <f t="shared" si="2"/>
        <v>3Q13</v>
      </c>
      <c r="T3" s="288" t="str">
        <f t="shared" si="2"/>
        <v>4Q13</v>
      </c>
      <c r="U3" s="289" t="str">
        <f t="shared" ref="U3" si="3">U4&amp;U6</f>
        <v>2013</v>
      </c>
      <c r="V3" s="288" t="str">
        <f t="shared" ref="V3:Y3" si="4">V5&amp;RIGHT(V4,2)&amp;V6</f>
        <v>1Q14</v>
      </c>
      <c r="W3" s="288" t="str">
        <f t="shared" si="4"/>
        <v>2Q14</v>
      </c>
      <c r="X3" s="288" t="str">
        <f t="shared" si="4"/>
        <v>3Q14</v>
      </c>
      <c r="Y3" s="288" t="str">
        <f t="shared" si="4"/>
        <v>4Q14</v>
      </c>
      <c r="Z3" s="289" t="str">
        <f t="shared" ref="Z3" si="5">Z4&amp;Z6</f>
        <v>2014</v>
      </c>
      <c r="AA3" s="288" t="str">
        <f t="shared" ref="AA3:AD3" si="6">AA5&amp;RIGHT(AA4,2)&amp;AA6</f>
        <v>1Q15</v>
      </c>
      <c r="AB3" s="288" t="str">
        <f t="shared" si="6"/>
        <v>2Q15</v>
      </c>
      <c r="AC3" s="288" t="str">
        <f t="shared" si="6"/>
        <v>3Q15</v>
      </c>
      <c r="AD3" s="288" t="str">
        <f t="shared" si="6"/>
        <v>4Q15</v>
      </c>
      <c r="AE3" s="289" t="str">
        <f t="shared" ref="AE3" si="7">AE4&amp;AE6</f>
        <v>2015</v>
      </c>
      <c r="AF3" s="288" t="str">
        <f t="shared" ref="AF3:AI3" si="8">AF5&amp;RIGHT(AF4,2)&amp;AF6</f>
        <v>1Q16</v>
      </c>
      <c r="AG3" s="288" t="str">
        <f t="shared" si="8"/>
        <v>2Q16</v>
      </c>
      <c r="AH3" s="288" t="str">
        <f t="shared" si="8"/>
        <v>3Q16</v>
      </c>
      <c r="AI3" s="288" t="str">
        <f t="shared" si="8"/>
        <v>4Q16</v>
      </c>
      <c r="AJ3" s="289" t="str">
        <f t="shared" ref="AJ3" si="9">AJ4&amp;AJ6</f>
        <v>2016</v>
      </c>
      <c r="AK3" s="288" t="str">
        <f t="shared" ref="AK3:AN3" si="10">AK5&amp;RIGHT(AK4,2)&amp;AK6</f>
        <v>1Q17</v>
      </c>
      <c r="AL3" s="288" t="str">
        <f t="shared" si="10"/>
        <v>2Q17</v>
      </c>
      <c r="AM3" s="288" t="str">
        <f t="shared" si="10"/>
        <v>3Q17</v>
      </c>
      <c r="AN3" s="288" t="str">
        <f t="shared" si="10"/>
        <v>4Q17</v>
      </c>
      <c r="AO3" s="289" t="str">
        <f t="shared" ref="AO3" si="11">AO4&amp;AO6</f>
        <v>2017</v>
      </c>
      <c r="AP3" s="288" t="str">
        <f t="shared" ref="AP3:AS3" si="12">AP5&amp;RIGHT(AP4,2)&amp;AP6</f>
        <v>1Q18</v>
      </c>
      <c r="AQ3" s="288" t="str">
        <f t="shared" si="12"/>
        <v>2Q18</v>
      </c>
      <c r="AR3" s="288" t="str">
        <f t="shared" si="12"/>
        <v>3Q18</v>
      </c>
      <c r="AS3" s="288" t="str">
        <f t="shared" si="12"/>
        <v>4Q18</v>
      </c>
      <c r="AT3" s="289" t="str">
        <f t="shared" ref="AT3" si="13">AT4&amp;AT6</f>
        <v>2018</v>
      </c>
      <c r="AU3" s="288" t="str">
        <f t="shared" ref="AU3:AX3" si="14">AU5&amp;RIGHT(AU4,2)&amp;AU6</f>
        <v>1Q19</v>
      </c>
      <c r="AV3" s="288" t="str">
        <f t="shared" si="14"/>
        <v>2Q19</v>
      </c>
      <c r="AW3" s="288" t="str">
        <f t="shared" si="14"/>
        <v>3Q19</v>
      </c>
      <c r="AX3" s="288" t="str">
        <f t="shared" si="14"/>
        <v>4Q19</v>
      </c>
      <c r="AY3" s="289" t="str">
        <f t="shared" ref="AY3" si="15">AY4&amp;AY6</f>
        <v>2019</v>
      </c>
      <c r="AZ3" s="288" t="str">
        <f t="shared" ref="AZ3:BC3" si="16">AZ5&amp;RIGHT(AZ4,2)&amp;AZ6</f>
        <v>1Q20</v>
      </c>
      <c r="BA3" s="288" t="str">
        <f t="shared" si="16"/>
        <v>2Q20</v>
      </c>
      <c r="BB3" s="288" t="str">
        <f t="shared" si="16"/>
        <v>3Q20</v>
      </c>
      <c r="BC3" s="288" t="str">
        <f t="shared" si="16"/>
        <v>4Q20</v>
      </c>
      <c r="BD3" s="289" t="str">
        <f t="shared" ref="BD3" si="17">BD4&amp;BD6</f>
        <v>2020</v>
      </c>
      <c r="BE3" s="288" t="str">
        <f t="shared" ref="BE3:BH3" si="18">BE5&amp;RIGHT(BE4,2)&amp;BE6</f>
        <v>1Q21</v>
      </c>
      <c r="BF3" s="288" t="str">
        <f t="shared" si="18"/>
        <v>2Q21</v>
      </c>
      <c r="BG3" s="288" t="str">
        <f t="shared" si="18"/>
        <v>3Q21</v>
      </c>
      <c r="BH3" s="288" t="str">
        <f t="shared" si="18"/>
        <v>4Q21</v>
      </c>
      <c r="BI3" s="289" t="str">
        <f t="shared" ref="BI3" si="19">BI4&amp;BI6</f>
        <v>2021</v>
      </c>
      <c r="BJ3" s="288" t="str">
        <f t="shared" ref="BJ3:BM3" si="20">BJ5&amp;RIGHT(BJ4,2)&amp;BJ6</f>
        <v>1Q22</v>
      </c>
      <c r="BK3" s="288" t="str">
        <f t="shared" si="20"/>
        <v>2Q22</v>
      </c>
      <c r="BL3" s="288" t="str">
        <f t="shared" si="20"/>
        <v>3Q22</v>
      </c>
      <c r="BM3" s="288" t="str">
        <f t="shared" si="20"/>
        <v>4Q22</v>
      </c>
      <c r="BN3" s="289" t="str">
        <f t="shared" ref="BN3" si="21">BN4&amp;BN6</f>
        <v>2022</v>
      </c>
      <c r="BO3" s="288" t="str">
        <f t="shared" ref="BO3:BR3" si="22">BO5&amp;RIGHT(BO4,2)&amp;BO6</f>
        <v>1Q23</v>
      </c>
      <c r="BP3" s="288" t="str">
        <f t="shared" si="22"/>
        <v>2Q23</v>
      </c>
      <c r="BQ3" s="288" t="str">
        <f t="shared" si="22"/>
        <v>3Q23</v>
      </c>
      <c r="BR3" s="288" t="str">
        <f t="shared" si="22"/>
        <v>4Q23</v>
      </c>
      <c r="BS3" s="289" t="str">
        <f t="shared" ref="BS3" si="23">BS4&amp;BS6</f>
        <v>2023</v>
      </c>
      <c r="BT3" s="288" t="str">
        <f t="shared" ref="BT3:BW3" si="24">BT5&amp;RIGHT(BT4,2)&amp;BT6</f>
        <v>1Q24</v>
      </c>
      <c r="BU3" s="288" t="str">
        <f t="shared" si="24"/>
        <v>2Q24</v>
      </c>
      <c r="BV3" s="288" t="str">
        <f t="shared" si="24"/>
        <v>3Q24</v>
      </c>
      <c r="BW3" s="288" t="str">
        <f t="shared" si="24"/>
        <v>4Q24</v>
      </c>
      <c r="BX3" s="289" t="str">
        <f t="shared" ref="BX3" si="25">BX4&amp;BX6</f>
        <v>2024</v>
      </c>
      <c r="BY3" s="288" t="str">
        <f>BY5&amp;RIGHT(BY4,2)&amp;BY6</f>
        <v>1Q25</v>
      </c>
      <c r="BZ3" s="288" t="str">
        <f>BZ5&amp;RIGHT(BZ4,2)&amp;BZ6</f>
        <v>2Q25</v>
      </c>
      <c r="CA3" s="288" t="str">
        <f>CA5&amp;RIGHT(CA4,2)&amp;CA6</f>
        <v>3Q25</v>
      </c>
      <c r="CB3" s="288" t="str">
        <f>CB5&amp;RIGHT(CB4,2)&amp;CB6</f>
        <v>4Q25</v>
      </c>
      <c r="CC3" s="289" t="str">
        <f t="shared" ref="CC3" si="26">CC4&amp;CC6</f>
        <v>2025</v>
      </c>
      <c r="CD3" s="288" t="str">
        <f>CD5&amp;RIGHT(CD4,2)&amp;CD6</f>
        <v>1Q26</v>
      </c>
      <c r="CE3" s="288" t="str">
        <f>CE5&amp;RIGHT(CE4,2)&amp;CE6</f>
        <v>2Q26E</v>
      </c>
      <c r="CF3" s="288" t="str">
        <f>CF5&amp;RIGHT(CF4,2)&amp;CF6</f>
        <v>3Q26E</v>
      </c>
      <c r="CG3" s="288" t="str">
        <f>CG5&amp;RIGHT(CG4,2)&amp;CG6</f>
        <v>4Q26E</v>
      </c>
      <c r="CH3" s="289" t="str">
        <f t="shared" ref="CH3" si="27">CH4&amp;CH6</f>
        <v>2026E</v>
      </c>
      <c r="CI3" s="288" t="str">
        <f t="shared" ref="CI3:CL3" si="28">CI5&amp;RIGHT(CI4,2)&amp;CI6</f>
        <v>1Q27E</v>
      </c>
      <c r="CJ3" s="288" t="str">
        <f t="shared" si="28"/>
        <v>2Q27E</v>
      </c>
      <c r="CK3" s="288" t="str">
        <f t="shared" si="28"/>
        <v>3Q27E</v>
      </c>
      <c r="CL3" s="288" t="str">
        <f t="shared" si="28"/>
        <v>4Q27E</v>
      </c>
      <c r="CM3" s="289" t="str">
        <f t="shared" ref="CM3" si="29">CM4&amp;CM6</f>
        <v>2027E</v>
      </c>
      <c r="CN3" s="288" t="str">
        <f t="shared" ref="CN3:CQ3" si="30">CN5&amp;RIGHT(CN4,2)&amp;CN6</f>
        <v>1Q28E</v>
      </c>
      <c r="CO3" s="288" t="str">
        <f t="shared" si="30"/>
        <v>2Q28E</v>
      </c>
      <c r="CP3" s="288" t="str">
        <f t="shared" si="30"/>
        <v>3Q28E</v>
      </c>
      <c r="CQ3" s="288" t="str">
        <f t="shared" si="30"/>
        <v>4Q28E</v>
      </c>
      <c r="CR3" s="289" t="str">
        <f t="shared" ref="CR3" si="31">CR4&amp;CR6</f>
        <v>2028E</v>
      </c>
      <c r="CS3" s="288" t="str">
        <f t="shared" ref="CS3:CV3" si="32">CS5&amp;RIGHT(CS4,2)&amp;CS6</f>
        <v>1Q29E</v>
      </c>
      <c r="CT3" s="288" t="str">
        <f t="shared" si="32"/>
        <v>2Q29E</v>
      </c>
      <c r="CU3" s="288" t="str">
        <f t="shared" si="32"/>
        <v>3Q29E</v>
      </c>
      <c r="CV3" s="288" t="str">
        <f t="shared" si="32"/>
        <v>4Q29E</v>
      </c>
      <c r="CW3" s="289" t="str">
        <f t="shared" ref="CW3" si="33">CW4&amp;CW6</f>
        <v>2029E</v>
      </c>
      <c r="CX3" s="288" t="str">
        <f t="shared" ref="CX3:DA3" si="34">CX5&amp;RIGHT(CX4,2)&amp;CX6</f>
        <v>1Q30E</v>
      </c>
      <c r="CY3" s="288" t="str">
        <f t="shared" si="34"/>
        <v>2Q30E</v>
      </c>
      <c r="CZ3" s="288" t="str">
        <f t="shared" si="34"/>
        <v>3Q30E</v>
      </c>
      <c r="DA3" s="288" t="str">
        <f t="shared" si="34"/>
        <v>4Q30E</v>
      </c>
      <c r="DB3" s="289" t="str">
        <f t="shared" ref="DB3" si="35">DB4&amp;DB6</f>
        <v>2030E</v>
      </c>
    </row>
    <row r="4" spans="1:108" s="279" customFormat="1" ht="11.25" customHeight="1" thickTop="1" x14ac:dyDescent="0.2">
      <c r="A4" s="290" t="s">
        <v>1</v>
      </c>
      <c r="B4" s="285">
        <f>[1]Macro_Model!B4</f>
        <v>2010</v>
      </c>
      <c r="C4" s="285">
        <f>[1]Macro_Model!C4</f>
        <v>2010</v>
      </c>
      <c r="D4" s="285">
        <f>[1]Macro_Model!D4</f>
        <v>2010</v>
      </c>
      <c r="E4" s="285">
        <f>[1]Macro_Model!E4</f>
        <v>2010</v>
      </c>
      <c r="F4" s="291">
        <f>[1]Macro_Model!F4</f>
        <v>2010</v>
      </c>
      <c r="G4" s="285">
        <f>[1]Macro_Model!G4</f>
        <v>2011</v>
      </c>
      <c r="H4" s="285">
        <f>[1]Macro_Model!H4</f>
        <v>2011</v>
      </c>
      <c r="I4" s="285">
        <f>[1]Macro_Model!I4</f>
        <v>2011</v>
      </c>
      <c r="J4" s="285">
        <f>[1]Macro_Model!J4</f>
        <v>2011</v>
      </c>
      <c r="K4" s="291">
        <f>[1]Macro_Model!K4</f>
        <v>2011</v>
      </c>
      <c r="L4" s="285">
        <f>[1]Macro_Model!L4</f>
        <v>2012</v>
      </c>
      <c r="M4" s="285">
        <f>[1]Macro_Model!M4</f>
        <v>2012</v>
      </c>
      <c r="N4" s="285">
        <f>[1]Macro_Model!N4</f>
        <v>2012</v>
      </c>
      <c r="O4" s="285">
        <f>[1]Macro_Model!O4</f>
        <v>2012</v>
      </c>
      <c r="P4" s="291">
        <f>[1]Macro_Model!P4</f>
        <v>2012</v>
      </c>
      <c r="Q4" s="285">
        <f>[1]Macro_Model!Q4</f>
        <v>2013</v>
      </c>
      <c r="R4" s="285">
        <f>[1]Macro_Model!R4</f>
        <v>2013</v>
      </c>
      <c r="S4" s="285">
        <f>[1]Macro_Model!S4</f>
        <v>2013</v>
      </c>
      <c r="T4" s="285">
        <f>[1]Macro_Model!T4</f>
        <v>2013</v>
      </c>
      <c r="U4" s="291">
        <f>[1]Macro_Model!U4</f>
        <v>2013</v>
      </c>
      <c r="V4" s="285">
        <f>[1]Macro_Model!V4</f>
        <v>2014</v>
      </c>
      <c r="W4" s="285">
        <f>[1]Macro_Model!W4</f>
        <v>2014</v>
      </c>
      <c r="X4" s="285">
        <f>[1]Macro_Model!X4</f>
        <v>2014</v>
      </c>
      <c r="Y4" s="285">
        <f>[1]Macro_Model!Y4</f>
        <v>2014</v>
      </c>
      <c r="Z4" s="291">
        <f>[1]Macro_Model!Z4</f>
        <v>2014</v>
      </c>
      <c r="AA4" s="285">
        <f>[1]Macro_Model!AA4</f>
        <v>2015</v>
      </c>
      <c r="AB4" s="285">
        <f>[1]Macro_Model!AB4</f>
        <v>2015</v>
      </c>
      <c r="AC4" s="285">
        <f>[1]Macro_Model!AC4</f>
        <v>2015</v>
      </c>
      <c r="AD4" s="285">
        <f>[1]Macro_Model!AD4</f>
        <v>2015</v>
      </c>
      <c r="AE4" s="291">
        <f>[1]Macro_Model!AE4</f>
        <v>2015</v>
      </c>
      <c r="AF4" s="285">
        <f>[1]Macro_Model!AF4</f>
        <v>2016</v>
      </c>
      <c r="AG4" s="285">
        <f>[1]Macro_Model!AG4</f>
        <v>2016</v>
      </c>
      <c r="AH4" s="285">
        <f>[1]Macro_Model!AH4</f>
        <v>2016</v>
      </c>
      <c r="AI4" s="285">
        <f>[1]Macro_Model!AI4</f>
        <v>2016</v>
      </c>
      <c r="AJ4" s="291">
        <f>[1]Macro_Model!AJ4</f>
        <v>2016</v>
      </c>
      <c r="AK4" s="285">
        <f>[1]Macro_Model!AK4</f>
        <v>2017</v>
      </c>
      <c r="AL4" s="285">
        <f>[1]Macro_Model!AL4</f>
        <v>2017</v>
      </c>
      <c r="AM4" s="285">
        <f>[1]Macro_Model!AM4</f>
        <v>2017</v>
      </c>
      <c r="AN4" s="285">
        <f>[1]Macro_Model!AN4</f>
        <v>2017</v>
      </c>
      <c r="AO4" s="291">
        <f>[1]Macro_Model!AO4</f>
        <v>2017</v>
      </c>
      <c r="AP4" s="285">
        <f>[1]Macro_Model!AP4</f>
        <v>2018</v>
      </c>
      <c r="AQ4" s="285">
        <f>[1]Macro_Model!AQ4</f>
        <v>2018</v>
      </c>
      <c r="AR4" s="285">
        <f>[1]Macro_Model!AR4</f>
        <v>2018</v>
      </c>
      <c r="AS4" s="285">
        <f>[1]Macro_Model!AS4</f>
        <v>2018</v>
      </c>
      <c r="AT4" s="291">
        <f>[1]Macro_Model!AT4</f>
        <v>2018</v>
      </c>
      <c r="AU4" s="285">
        <f>[1]Macro_Model!AU4</f>
        <v>2019</v>
      </c>
      <c r="AV4" s="285">
        <f>[1]Macro_Model!AV4</f>
        <v>2019</v>
      </c>
      <c r="AW4" s="285">
        <f>[1]Macro_Model!AW4</f>
        <v>2019</v>
      </c>
      <c r="AX4" s="285">
        <f>[1]Macro_Model!AX4</f>
        <v>2019</v>
      </c>
      <c r="AY4" s="291">
        <f>[1]Macro_Model!AY4</f>
        <v>2019</v>
      </c>
      <c r="AZ4" s="285">
        <f>[1]Macro_Model!AZ4</f>
        <v>2020</v>
      </c>
      <c r="BA4" s="285">
        <f>[1]Macro_Model!BA4</f>
        <v>2020</v>
      </c>
      <c r="BB4" s="285">
        <f>[1]Macro_Model!BB4</f>
        <v>2020</v>
      </c>
      <c r="BC4" s="285">
        <f>[1]Macro_Model!BC4</f>
        <v>2020</v>
      </c>
      <c r="BD4" s="291">
        <f>[1]Macro_Model!BD4</f>
        <v>2020</v>
      </c>
      <c r="BE4" s="285">
        <f>[1]Macro_Model!BE4</f>
        <v>2021</v>
      </c>
      <c r="BF4" s="285">
        <f>[1]Macro_Model!BF4</f>
        <v>2021</v>
      </c>
      <c r="BG4" s="285">
        <f>[1]Macro_Model!BG4</f>
        <v>2021</v>
      </c>
      <c r="BH4" s="285">
        <f>[1]Macro_Model!BH4</f>
        <v>2021</v>
      </c>
      <c r="BI4" s="291">
        <f>[1]Macro_Model!BI4</f>
        <v>2021</v>
      </c>
      <c r="BJ4" s="285">
        <f>[1]Macro_Model!BJ4</f>
        <v>2022</v>
      </c>
      <c r="BK4" s="285">
        <f>[1]Macro_Model!BK4</f>
        <v>2022</v>
      </c>
      <c r="BL4" s="285">
        <f>[1]Macro_Model!BL4</f>
        <v>2022</v>
      </c>
      <c r="BM4" s="285">
        <f>[1]Macro_Model!BM4</f>
        <v>2022</v>
      </c>
      <c r="BN4" s="291">
        <f>[1]Macro_Model!BN4</f>
        <v>2022</v>
      </c>
      <c r="BO4" s="285">
        <f>[1]Macro_Model!BO4</f>
        <v>2023</v>
      </c>
      <c r="BP4" s="285">
        <f>[1]Macro_Model!BP4</f>
        <v>2023</v>
      </c>
      <c r="BQ4" s="285">
        <f>[1]Macro_Model!BQ4</f>
        <v>2023</v>
      </c>
      <c r="BR4" s="285">
        <f>[1]Macro_Model!BR4</f>
        <v>2023</v>
      </c>
      <c r="BS4" s="291">
        <f>[1]Macro_Model!BS4</f>
        <v>2023</v>
      </c>
      <c r="BT4" s="285">
        <f>[1]Macro_Model!BT4</f>
        <v>2024</v>
      </c>
      <c r="BU4" s="285">
        <f>[1]Macro_Model!BU4</f>
        <v>2024</v>
      </c>
      <c r="BV4" s="285">
        <f>[1]Macro_Model!BV4</f>
        <v>2024</v>
      </c>
      <c r="BW4" s="285">
        <f>[1]Macro_Model!BW4</f>
        <v>2024</v>
      </c>
      <c r="BX4" s="291">
        <f>[1]Macro_Model!BX4</f>
        <v>2024</v>
      </c>
      <c r="BY4" s="285">
        <f>[1]Macro_Model!BY4</f>
        <v>2025</v>
      </c>
      <c r="BZ4" s="285">
        <f>[1]Macro_Model!BZ4</f>
        <v>2025</v>
      </c>
      <c r="CA4" s="285">
        <f>[1]Macro_Model!CA4</f>
        <v>2025</v>
      </c>
      <c r="CB4" s="285">
        <f>[1]Macro_Model!CB4</f>
        <v>2025</v>
      </c>
      <c r="CC4" s="291">
        <f>[1]Macro_Model!CC4</f>
        <v>2025</v>
      </c>
      <c r="CD4" s="285">
        <f>[1]Macro_Model!CD4</f>
        <v>2026</v>
      </c>
      <c r="CE4" s="285">
        <f>[1]Macro_Model!CE4</f>
        <v>2026</v>
      </c>
      <c r="CF4" s="285">
        <f>[1]Macro_Model!CF4</f>
        <v>2026</v>
      </c>
      <c r="CG4" s="285">
        <f>[1]Macro_Model!CG4</f>
        <v>2026</v>
      </c>
      <c r="CH4" s="291">
        <f>[1]Macro_Model!CH4</f>
        <v>2026</v>
      </c>
      <c r="CI4" s="285">
        <f>[1]Macro_Model!CI4</f>
        <v>2027</v>
      </c>
      <c r="CJ4" s="285">
        <f>[1]Macro_Model!CJ4</f>
        <v>2027</v>
      </c>
      <c r="CK4" s="285">
        <f>[1]Macro_Model!CK4</f>
        <v>2027</v>
      </c>
      <c r="CL4" s="285">
        <f>[1]Macro_Model!CL4</f>
        <v>2027</v>
      </c>
      <c r="CM4" s="291">
        <f>[1]Macro_Model!CM4</f>
        <v>2027</v>
      </c>
      <c r="CN4" s="285">
        <f>[1]Macro_Model!CN4</f>
        <v>2028</v>
      </c>
      <c r="CO4" s="285">
        <f>[1]Macro_Model!CO4</f>
        <v>2028</v>
      </c>
      <c r="CP4" s="285">
        <f>[1]Macro_Model!CP4</f>
        <v>2028</v>
      </c>
      <c r="CQ4" s="285">
        <f>[1]Macro_Model!CQ4</f>
        <v>2028</v>
      </c>
      <c r="CR4" s="291">
        <f>[1]Macro_Model!CR4</f>
        <v>2028</v>
      </c>
      <c r="CS4" s="285">
        <f>[1]Macro_Model!CS4</f>
        <v>2029</v>
      </c>
      <c r="CT4" s="285">
        <f>[1]Macro_Model!CT4</f>
        <v>2029</v>
      </c>
      <c r="CU4" s="285">
        <f>[1]Macro_Model!CU4</f>
        <v>2029</v>
      </c>
      <c r="CV4" s="285">
        <f>[1]Macro_Model!CV4</f>
        <v>2029</v>
      </c>
      <c r="CW4" s="291">
        <f>[1]Macro_Model!CW4</f>
        <v>2029</v>
      </c>
      <c r="CX4" s="285">
        <f>[1]Macro_Model!CX4</f>
        <v>2030</v>
      </c>
      <c r="CY4" s="285">
        <f>[1]Macro_Model!CY4</f>
        <v>2030</v>
      </c>
      <c r="CZ4" s="285">
        <f>[1]Macro_Model!CZ4</f>
        <v>2030</v>
      </c>
      <c r="DA4" s="285">
        <f>[1]Macro_Model!DA4</f>
        <v>2030</v>
      </c>
      <c r="DB4" s="291">
        <f>[1]Macro_Model!DB4</f>
        <v>2030</v>
      </c>
    </row>
    <row r="5" spans="1:108" s="279" customFormat="1" ht="11.25" customHeight="1" x14ac:dyDescent="0.2">
      <c r="A5" s="290" t="s">
        <v>0</v>
      </c>
      <c r="B5" s="286" t="str">
        <f>[1]Macro_Model!B5</f>
        <v>1Q</v>
      </c>
      <c r="C5" s="286" t="str">
        <f>[1]Macro_Model!C5</f>
        <v>2Q</v>
      </c>
      <c r="D5" s="286" t="str">
        <f>[1]Macro_Model!D5</f>
        <v>3Q</v>
      </c>
      <c r="E5" s="286" t="str">
        <f>[1]Macro_Model!E5</f>
        <v>4Q</v>
      </c>
      <c r="F5" s="292">
        <f>[1]Macro_Model!F5</f>
        <v>0</v>
      </c>
      <c r="G5" s="286" t="str">
        <f>[1]Macro_Model!G5</f>
        <v>1Q</v>
      </c>
      <c r="H5" s="286" t="str">
        <f>[1]Macro_Model!H5</f>
        <v>2Q</v>
      </c>
      <c r="I5" s="286" t="str">
        <f>[1]Macro_Model!I5</f>
        <v>3Q</v>
      </c>
      <c r="J5" s="286" t="str">
        <f>[1]Macro_Model!J5</f>
        <v>4Q</v>
      </c>
      <c r="K5" s="292">
        <f>[1]Macro_Model!K5</f>
        <v>20</v>
      </c>
      <c r="L5" s="286" t="str">
        <f>[1]Macro_Model!L5</f>
        <v>1Q</v>
      </c>
      <c r="M5" s="286" t="str">
        <f>[1]Macro_Model!M5</f>
        <v>2Q</v>
      </c>
      <c r="N5" s="286" t="str">
        <f>[1]Macro_Model!N5</f>
        <v>3Q</v>
      </c>
      <c r="O5" s="286" t="str">
        <f>[1]Macro_Model!O5</f>
        <v>4Q</v>
      </c>
      <c r="P5" s="292">
        <f>[1]Macro_Model!P5</f>
        <v>20</v>
      </c>
      <c r="Q5" s="286" t="str">
        <f>[1]Macro_Model!Q5</f>
        <v>1Q</v>
      </c>
      <c r="R5" s="286" t="str">
        <f>[1]Macro_Model!R5</f>
        <v>2Q</v>
      </c>
      <c r="S5" s="286" t="str">
        <f>[1]Macro_Model!S5</f>
        <v>3Q</v>
      </c>
      <c r="T5" s="286" t="str">
        <f>[1]Macro_Model!T5</f>
        <v>4Q</v>
      </c>
      <c r="U5" s="292">
        <f>[1]Macro_Model!U5</f>
        <v>20</v>
      </c>
      <c r="V5" s="286" t="str">
        <f>[1]Macro_Model!V5</f>
        <v>1Q</v>
      </c>
      <c r="W5" s="286" t="str">
        <f>[1]Macro_Model!W5</f>
        <v>2Q</v>
      </c>
      <c r="X5" s="286" t="str">
        <f>[1]Macro_Model!X5</f>
        <v>3Q</v>
      </c>
      <c r="Y5" s="286" t="str">
        <f>[1]Macro_Model!Y5</f>
        <v>4Q</v>
      </c>
      <c r="Z5" s="292">
        <f>[1]Macro_Model!Z5</f>
        <v>20</v>
      </c>
      <c r="AA5" s="286" t="str">
        <f>[1]Macro_Model!AA5</f>
        <v>1Q</v>
      </c>
      <c r="AB5" s="286" t="str">
        <f>[1]Macro_Model!AB5</f>
        <v>2Q</v>
      </c>
      <c r="AC5" s="286" t="str">
        <f>[1]Macro_Model!AC5</f>
        <v>3Q</v>
      </c>
      <c r="AD5" s="286" t="str">
        <f>[1]Macro_Model!AD5</f>
        <v>4Q</v>
      </c>
      <c r="AE5" s="292">
        <f>[1]Macro_Model!AE5</f>
        <v>20</v>
      </c>
      <c r="AF5" s="286" t="str">
        <f>[1]Macro_Model!AF5</f>
        <v>1Q</v>
      </c>
      <c r="AG5" s="286" t="str">
        <f>[1]Macro_Model!AG5</f>
        <v>2Q</v>
      </c>
      <c r="AH5" s="286" t="str">
        <f>[1]Macro_Model!AH5</f>
        <v>3Q</v>
      </c>
      <c r="AI5" s="286" t="str">
        <f>[1]Macro_Model!AI5</f>
        <v>4Q</v>
      </c>
      <c r="AJ5" s="292">
        <f>[1]Macro_Model!AJ5</f>
        <v>20</v>
      </c>
      <c r="AK5" s="286" t="str">
        <f>[1]Macro_Model!AK5</f>
        <v>1Q</v>
      </c>
      <c r="AL5" s="286" t="str">
        <f>[1]Macro_Model!AL5</f>
        <v>2Q</v>
      </c>
      <c r="AM5" s="286" t="str">
        <f>[1]Macro_Model!AM5</f>
        <v>3Q</v>
      </c>
      <c r="AN5" s="286" t="str">
        <f>[1]Macro_Model!AN5</f>
        <v>4Q</v>
      </c>
      <c r="AO5" s="292">
        <f>[1]Macro_Model!AO5</f>
        <v>20</v>
      </c>
      <c r="AP5" s="286" t="str">
        <f>[1]Macro_Model!AP5</f>
        <v>1Q</v>
      </c>
      <c r="AQ5" s="286" t="str">
        <f>[1]Macro_Model!AQ5</f>
        <v>2Q</v>
      </c>
      <c r="AR5" s="286" t="str">
        <f>[1]Macro_Model!AR5</f>
        <v>3Q</v>
      </c>
      <c r="AS5" s="286" t="str">
        <f>[1]Macro_Model!AS5</f>
        <v>4Q</v>
      </c>
      <c r="AT5" s="292">
        <f>[1]Macro_Model!AT5</f>
        <v>20</v>
      </c>
      <c r="AU5" s="286" t="str">
        <f>[1]Macro_Model!AU5</f>
        <v>1Q</v>
      </c>
      <c r="AV5" s="286" t="str">
        <f>[1]Macro_Model!AV5</f>
        <v>2Q</v>
      </c>
      <c r="AW5" s="286" t="str">
        <f>[1]Macro_Model!AW5</f>
        <v>3Q</v>
      </c>
      <c r="AX5" s="286" t="str">
        <f>[1]Macro_Model!AX5</f>
        <v>4Q</v>
      </c>
      <c r="AY5" s="292">
        <f>[1]Macro_Model!AY5</f>
        <v>20</v>
      </c>
      <c r="AZ5" s="286" t="str">
        <f>[1]Macro_Model!AZ5</f>
        <v>1Q</v>
      </c>
      <c r="BA5" s="286" t="str">
        <f>[1]Macro_Model!BA5</f>
        <v>2Q</v>
      </c>
      <c r="BB5" s="286" t="str">
        <f>[1]Macro_Model!BB5</f>
        <v>3Q</v>
      </c>
      <c r="BC5" s="286" t="str">
        <f>[1]Macro_Model!BC5</f>
        <v>4Q</v>
      </c>
      <c r="BD5" s="292">
        <f>[1]Macro_Model!BD5</f>
        <v>20</v>
      </c>
      <c r="BE5" s="286" t="str">
        <f>[1]Macro_Model!BE5</f>
        <v>1Q</v>
      </c>
      <c r="BF5" s="286" t="str">
        <f>[1]Macro_Model!BF5</f>
        <v>2Q</v>
      </c>
      <c r="BG5" s="286" t="str">
        <f>[1]Macro_Model!BG5</f>
        <v>3Q</v>
      </c>
      <c r="BH5" s="286" t="str">
        <f>[1]Macro_Model!BH5</f>
        <v>4Q</v>
      </c>
      <c r="BI5" s="292">
        <f>[1]Macro_Model!BI5</f>
        <v>20</v>
      </c>
      <c r="BJ5" s="286" t="str">
        <f>[1]Macro_Model!BJ5</f>
        <v>1Q</v>
      </c>
      <c r="BK5" s="286" t="str">
        <f>[1]Macro_Model!BK5</f>
        <v>2Q</v>
      </c>
      <c r="BL5" s="286" t="str">
        <f>[1]Macro_Model!BL5</f>
        <v>3Q</v>
      </c>
      <c r="BM5" s="286" t="str">
        <f>[1]Macro_Model!BM5</f>
        <v>4Q</v>
      </c>
      <c r="BN5" s="292">
        <f>[1]Macro_Model!BN5</f>
        <v>20</v>
      </c>
      <c r="BO5" s="286" t="str">
        <f>[1]Macro_Model!BO5</f>
        <v>1Q</v>
      </c>
      <c r="BP5" s="286" t="str">
        <f>[1]Macro_Model!BP5</f>
        <v>2Q</v>
      </c>
      <c r="BQ5" s="286" t="str">
        <f>[1]Macro_Model!BQ5</f>
        <v>3Q</v>
      </c>
      <c r="BR5" s="286" t="str">
        <f>[1]Macro_Model!BR5</f>
        <v>4Q</v>
      </c>
      <c r="BS5" s="292">
        <f>[1]Macro_Model!BS5</f>
        <v>20</v>
      </c>
      <c r="BT5" s="286" t="str">
        <f>[1]Macro_Model!BT5</f>
        <v>1Q</v>
      </c>
      <c r="BU5" s="286" t="str">
        <f>[1]Macro_Model!BU5</f>
        <v>2Q</v>
      </c>
      <c r="BV5" s="286" t="str">
        <f>[1]Macro_Model!BV5</f>
        <v>3Q</v>
      </c>
      <c r="BW5" s="286" t="str">
        <f>[1]Macro_Model!BW5</f>
        <v>4Q</v>
      </c>
      <c r="BX5" s="292">
        <f>[1]Macro_Model!BX5</f>
        <v>20</v>
      </c>
      <c r="BY5" s="286" t="str">
        <f>[1]Macro_Model!BY5</f>
        <v>1Q</v>
      </c>
      <c r="BZ5" s="286" t="str">
        <f>[1]Macro_Model!BZ5</f>
        <v>2Q</v>
      </c>
      <c r="CA5" s="286" t="str">
        <f>[1]Macro_Model!CA5</f>
        <v>3Q</v>
      </c>
      <c r="CB5" s="286" t="str">
        <f>[1]Macro_Model!CB5</f>
        <v>4Q</v>
      </c>
      <c r="CC5" s="292">
        <f>[1]Macro_Model!CC5</f>
        <v>20</v>
      </c>
      <c r="CD5" s="286" t="str">
        <f>[1]Macro_Model!CD5</f>
        <v>1Q</v>
      </c>
      <c r="CE5" s="286" t="str">
        <f>[1]Macro_Model!CE5</f>
        <v>2Q</v>
      </c>
      <c r="CF5" s="286" t="str">
        <f>[1]Macro_Model!CF5</f>
        <v>3Q</v>
      </c>
      <c r="CG5" s="286" t="str">
        <f>[1]Macro_Model!CG5</f>
        <v>4Q</v>
      </c>
      <c r="CH5" s="292">
        <f>[1]Macro_Model!CH5</f>
        <v>20</v>
      </c>
      <c r="CI5" s="286" t="str">
        <f>[1]Macro_Model!CI5</f>
        <v>1Q</v>
      </c>
      <c r="CJ5" s="286" t="str">
        <f>[1]Macro_Model!CJ5</f>
        <v>2Q</v>
      </c>
      <c r="CK5" s="286" t="str">
        <f>[1]Macro_Model!CK5</f>
        <v>3Q</v>
      </c>
      <c r="CL5" s="286" t="str">
        <f>[1]Macro_Model!CL5</f>
        <v>4Q</v>
      </c>
      <c r="CM5" s="292">
        <f>[1]Macro_Model!CM5</f>
        <v>20</v>
      </c>
      <c r="CN5" s="286" t="str">
        <f>[1]Macro_Model!CN5</f>
        <v>1Q</v>
      </c>
      <c r="CO5" s="286" t="str">
        <f>[1]Macro_Model!CO5</f>
        <v>2Q</v>
      </c>
      <c r="CP5" s="286" t="str">
        <f>[1]Macro_Model!CP5</f>
        <v>3Q</v>
      </c>
      <c r="CQ5" s="286" t="str">
        <f>[1]Macro_Model!CQ5</f>
        <v>4Q</v>
      </c>
      <c r="CR5" s="292">
        <f>[1]Macro_Model!CR5</f>
        <v>20</v>
      </c>
      <c r="CS5" s="286" t="str">
        <f>[1]Macro_Model!CS5</f>
        <v>1Q</v>
      </c>
      <c r="CT5" s="286" t="str">
        <f>[1]Macro_Model!CT5</f>
        <v>2Q</v>
      </c>
      <c r="CU5" s="286" t="str">
        <f>[1]Macro_Model!CU5</f>
        <v>3Q</v>
      </c>
      <c r="CV5" s="286" t="str">
        <f>[1]Macro_Model!CV5</f>
        <v>4Q</v>
      </c>
      <c r="CW5" s="292">
        <f>[1]Macro_Model!CW5</f>
        <v>20</v>
      </c>
      <c r="CX5" s="286" t="str">
        <f>[1]Macro_Model!CX5</f>
        <v>1Q</v>
      </c>
      <c r="CY5" s="286" t="str">
        <f>[1]Macro_Model!CY5</f>
        <v>2Q</v>
      </c>
      <c r="CZ5" s="286" t="str">
        <f>[1]Macro_Model!CZ5</f>
        <v>3Q</v>
      </c>
      <c r="DA5" s="286" t="str">
        <f>[1]Macro_Model!DA5</f>
        <v>4Q</v>
      </c>
      <c r="DB5" s="292">
        <f>[1]Macro_Model!DB5</f>
        <v>20</v>
      </c>
    </row>
    <row r="6" spans="1:108" s="279" customFormat="1" ht="11.25" customHeight="1" x14ac:dyDescent="0.2">
      <c r="A6" s="294" t="s">
        <v>325</v>
      </c>
      <c r="B6" s="295"/>
      <c r="C6" s="295"/>
      <c r="D6" s="295"/>
      <c r="E6" s="295"/>
      <c r="F6" s="296"/>
      <c r="G6" s="295"/>
      <c r="H6" s="295"/>
      <c r="I6" s="295"/>
      <c r="J6" s="295"/>
      <c r="K6" s="296"/>
      <c r="L6" s="295"/>
      <c r="M6" s="295"/>
      <c r="N6" s="295"/>
      <c r="O6" s="295"/>
      <c r="P6" s="296"/>
      <c r="Q6" s="295"/>
      <c r="R6" s="295"/>
      <c r="S6" s="295"/>
      <c r="T6" s="295"/>
      <c r="U6" s="296"/>
      <c r="V6" s="295"/>
      <c r="W6" s="295"/>
      <c r="X6" s="295"/>
      <c r="Y6" s="295"/>
      <c r="Z6" s="296"/>
      <c r="AA6" s="295"/>
      <c r="AB6" s="295"/>
      <c r="AC6" s="295"/>
      <c r="AD6" s="295"/>
      <c r="AE6" s="296"/>
      <c r="AF6" s="295"/>
      <c r="AG6" s="295"/>
      <c r="AH6" s="295"/>
      <c r="AI6" s="295"/>
      <c r="AJ6" s="296"/>
      <c r="AK6" s="295"/>
      <c r="AL6" s="295"/>
      <c r="AM6" s="295"/>
      <c r="AN6" s="295"/>
      <c r="AO6" s="296"/>
      <c r="AP6" s="295"/>
      <c r="AQ6" s="295"/>
      <c r="AR6" s="295"/>
      <c r="AS6" s="295"/>
      <c r="AT6" s="296"/>
      <c r="AU6" s="295"/>
      <c r="AV6" s="295"/>
      <c r="AW6" s="295"/>
      <c r="AX6" s="295"/>
      <c r="AY6" s="296"/>
      <c r="AZ6" s="295"/>
      <c r="BA6" s="295"/>
      <c r="BB6" s="295"/>
      <c r="BC6" s="295"/>
      <c r="BD6" s="296"/>
      <c r="BE6" s="295"/>
      <c r="BF6" s="295"/>
      <c r="BG6" s="295"/>
      <c r="BH6" s="295"/>
      <c r="BI6" s="296"/>
      <c r="BJ6" s="295"/>
      <c r="BK6" s="295"/>
      <c r="BL6" s="295"/>
      <c r="BM6" s="295"/>
      <c r="BN6" s="296"/>
      <c r="BO6" s="295"/>
      <c r="BP6" s="295"/>
      <c r="BQ6" s="295"/>
      <c r="BR6" s="295"/>
      <c r="BS6" s="296"/>
      <c r="BT6" s="295"/>
      <c r="BU6" s="295"/>
      <c r="BV6" s="295"/>
      <c r="BW6" s="295"/>
      <c r="BX6" s="296"/>
      <c r="BY6" s="295"/>
      <c r="BZ6" s="295"/>
      <c r="CA6" s="295"/>
      <c r="CB6" s="295"/>
      <c r="CC6" s="296"/>
      <c r="CD6" s="295"/>
      <c r="CE6" s="295" t="str">
        <f>[1]Macro_Model!CE6</f>
        <v>E</v>
      </c>
      <c r="CF6" s="295" t="str">
        <f>[1]Macro_Model!CF6</f>
        <v>E</v>
      </c>
      <c r="CG6" s="295" t="str">
        <f>[1]Macro_Model!CG6</f>
        <v>E</v>
      </c>
      <c r="CH6" s="296" t="str">
        <f>[1]Macro_Model!CH6</f>
        <v>E</v>
      </c>
      <c r="CI6" s="295" t="str">
        <f>[1]Macro_Model!CI6</f>
        <v>E</v>
      </c>
      <c r="CJ6" s="295" t="str">
        <f>[1]Macro_Model!CJ6</f>
        <v>E</v>
      </c>
      <c r="CK6" s="295" t="str">
        <f>[1]Macro_Model!CK6</f>
        <v>E</v>
      </c>
      <c r="CL6" s="295" t="str">
        <f>[1]Macro_Model!CL6</f>
        <v>E</v>
      </c>
      <c r="CM6" s="296" t="str">
        <f>[1]Macro_Model!CM6</f>
        <v>E</v>
      </c>
      <c r="CN6" s="295" t="str">
        <f>[1]Macro_Model!CN6</f>
        <v>E</v>
      </c>
      <c r="CO6" s="295" t="str">
        <f>[1]Macro_Model!CO6</f>
        <v>E</v>
      </c>
      <c r="CP6" s="295" t="str">
        <f>[1]Macro_Model!CP6</f>
        <v>E</v>
      </c>
      <c r="CQ6" s="295" t="str">
        <f>[1]Macro_Model!CQ6</f>
        <v>E</v>
      </c>
      <c r="CR6" s="296" t="str">
        <f>[1]Macro_Model!CR6</f>
        <v>E</v>
      </c>
      <c r="CS6" s="295" t="str">
        <f>[1]Macro_Model!CS6</f>
        <v>E</v>
      </c>
      <c r="CT6" s="295" t="str">
        <f>[1]Macro_Model!CT6</f>
        <v>E</v>
      </c>
      <c r="CU6" s="295" t="str">
        <f>[1]Macro_Model!CU6</f>
        <v>E</v>
      </c>
      <c r="CV6" s="295" t="str">
        <f>[1]Macro_Model!CV6</f>
        <v>E</v>
      </c>
      <c r="CW6" s="296" t="str">
        <f>[1]Macro_Model!CW6</f>
        <v>E</v>
      </c>
      <c r="CX6" s="295" t="str">
        <f>[1]Macro_Model!CX6</f>
        <v>E</v>
      </c>
      <c r="CY6" s="295" t="str">
        <f>[1]Macro_Model!CY6</f>
        <v>E</v>
      </c>
      <c r="CZ6" s="295" t="str">
        <f>[1]Macro_Model!CZ6</f>
        <v>E</v>
      </c>
      <c r="DA6" s="295" t="str">
        <f>[1]Macro_Model!DA6</f>
        <v>E</v>
      </c>
      <c r="DB6" s="296" t="str">
        <f>[1]Macro_Model!DB6</f>
        <v>E</v>
      </c>
    </row>
    <row r="7" spans="1:108" ht="11.25" customHeight="1" x14ac:dyDescent="0.2">
      <c r="A7" s="280" t="s">
        <v>350</v>
      </c>
      <c r="B7" s="344">
        <f>[1]Macro_Model!B7</f>
        <v>9.2091395447411406E-2</v>
      </c>
      <c r="C7" s="344">
        <f>[1]Macro_Model!C7</f>
        <v>8.5177279045859366E-2</v>
      </c>
      <c r="D7" s="344">
        <f>[1]Macro_Model!D7</f>
        <v>6.9071857128576442E-2</v>
      </c>
      <c r="E7" s="344">
        <f>[1]Macro_Model!E7</f>
        <v>5.6893599146983664E-2</v>
      </c>
      <c r="F7" s="345">
        <f>[1]Macro_Model!F7</f>
        <v>7.5282491203301882E-2</v>
      </c>
      <c r="G7" s="344">
        <f>[1]Macro_Model!G7</f>
        <v>5.1951253412497289E-2</v>
      </c>
      <c r="H7" s="344">
        <f>[1]Macro_Model!H7</f>
        <v>4.7004681395089731E-2</v>
      </c>
      <c r="I7" s="344">
        <f>[1]Macro_Model!I7</f>
        <v>3.5373156858682586E-2</v>
      </c>
      <c r="J7" s="344">
        <f>[1]Macro_Model!J7</f>
        <v>2.5679765697130374E-2</v>
      </c>
      <c r="K7" s="345">
        <f>[1]Macro_Model!K7</f>
        <v>3.9744026619628059E-2</v>
      </c>
      <c r="L7" s="344">
        <f>[1]Macro_Model!L7</f>
        <v>1.7071814802719132E-2</v>
      </c>
      <c r="M7" s="344">
        <f>[1]Macro_Model!M7</f>
        <v>9.8647148864128287E-3</v>
      </c>
      <c r="N7" s="344">
        <f>[1]Macro_Model!N7</f>
        <v>2.4854366410510531E-2</v>
      </c>
      <c r="O7" s="344">
        <f>[1]Macro_Model!O7</f>
        <v>2.4828180691497836E-2</v>
      </c>
      <c r="P7" s="345">
        <f>[1]Macro_Model!P7</f>
        <v>1.9211814943874916E-2</v>
      </c>
      <c r="Q7" s="344">
        <f>[1]Macro_Model!Q7</f>
        <v>2.721109278219136E-2</v>
      </c>
      <c r="R7" s="344">
        <f>[1]Macro_Model!R7</f>
        <v>4.0218251960159712E-2</v>
      </c>
      <c r="S7" s="344">
        <f>[1]Macro_Model!S7</f>
        <v>2.7589825463526063E-2</v>
      </c>
      <c r="T7" s="344">
        <f>[1]Macro_Model!T7</f>
        <v>2.5287673240891539E-2</v>
      </c>
      <c r="U7" s="345">
        <f>[1]Macro_Model!U7</f>
        <v>3.0048269457775278E-2</v>
      </c>
      <c r="V7" s="344">
        <f>[1]Macro_Model!V7</f>
        <v>3.469338083437834E-2</v>
      </c>
      <c r="W7" s="344">
        <f>[1]Macro_Model!W7</f>
        <v>-4.3525166474460697E-3</v>
      </c>
      <c r="X7" s="344">
        <f>[1]Macro_Model!X7</f>
        <v>-6.3884440792552066E-3</v>
      </c>
      <c r="Y7" s="344">
        <f>[1]Macro_Model!Y7</f>
        <v>-2.2852461490368015E-3</v>
      </c>
      <c r="Z7" s="345">
        <f>[1]Macro_Model!Z7</f>
        <v>5.0393459495359227E-3</v>
      </c>
      <c r="AA7" s="344">
        <f>[1]Macro_Model!AA7</f>
        <v>-1.6193986523845183E-2</v>
      </c>
      <c r="AB7" s="344">
        <f>[1]Macro_Model!AB7</f>
        <v>-2.740363059448403E-2</v>
      </c>
      <c r="AC7" s="344">
        <f>[1]Macro_Model!AC7</f>
        <v>-4.2628419736219447E-2</v>
      </c>
      <c r="AD7" s="344">
        <f>[1]Macro_Model!AD7</f>
        <v>-5.5195575073795244E-2</v>
      </c>
      <c r="AE7" s="345">
        <f>[1]Macro_Model!AE7</f>
        <v>-3.5457552842598106E-2</v>
      </c>
      <c r="AF7" s="344">
        <f>[1]Macro_Model!AF7</f>
        <v>-5.13823684366288E-2</v>
      </c>
      <c r="AG7" s="344">
        <f>[1]Macro_Model!AG7</f>
        <v>-3.2185235465757245E-2</v>
      </c>
      <c r="AH7" s="344">
        <f>[1]Macro_Model!AH7</f>
        <v>-2.4541728067141499E-2</v>
      </c>
      <c r="AI7" s="344">
        <f>[1]Macro_Model!AI7</f>
        <v>-2.2611264284385868E-2</v>
      </c>
      <c r="AJ7" s="345">
        <f>[1]Macro_Model!AJ7</f>
        <v>-3.2759130499899647E-2</v>
      </c>
      <c r="AK7" s="344">
        <f>[1]Macro_Model!AK7</f>
        <v>2.8201556182256837E-3</v>
      </c>
      <c r="AL7" s="344">
        <f>[1]Macro_Model!AL7</f>
        <v>7.8746648916356854E-3</v>
      </c>
      <c r="AM7" s="344">
        <f>[1]Macro_Model!AM7</f>
        <v>1.6407345281506336E-2</v>
      </c>
      <c r="AN7" s="344">
        <f>[1]Macro_Model!AN7</f>
        <v>2.5761908632542241E-2</v>
      </c>
      <c r="AO7" s="345">
        <f>[1]Macro_Model!AO7</f>
        <v>1.3228683839367816E-2</v>
      </c>
      <c r="AP7" s="344">
        <f>[1]Macro_Model!AP7</f>
        <v>1.9049819192124451E-2</v>
      </c>
      <c r="AQ7" s="344">
        <f>[1]Macro_Model!AQ7</f>
        <v>1.6170986261114573E-2</v>
      </c>
      <c r="AR7" s="344">
        <f>[1]Macro_Model!AR7</f>
        <v>2.0568110099114412E-2</v>
      </c>
      <c r="AS7" s="344">
        <f>[1]Macro_Model!AS7</f>
        <v>1.5545833073195681E-2</v>
      </c>
      <c r="AT7" s="345">
        <f>[1]Macro_Model!AT7</f>
        <v>1.7836721768855313E-2</v>
      </c>
      <c r="AU7" s="344">
        <f>[1]Macro_Model!AU7</f>
        <v>9.0128540019212E-3</v>
      </c>
      <c r="AV7" s="344">
        <f>[1]Macro_Model!AV7</f>
        <v>1.1725499876573675E-2</v>
      </c>
      <c r="AW7" s="344">
        <f>[1]Macro_Model!AW7</f>
        <v>1.1095246524801539E-2</v>
      </c>
      <c r="AX7" s="344">
        <f>[1]Macro_Model!AX7</f>
        <v>1.693878274851035E-2</v>
      </c>
      <c r="AY7" s="345">
        <f>[1]Macro_Model!AY7</f>
        <v>1.2207618682791299E-2</v>
      </c>
      <c r="AZ7" s="344">
        <f>[1]Macro_Model!AZ7</f>
        <v>4.1399507040313921E-3</v>
      </c>
      <c r="BA7" s="344">
        <f>[1]Macro_Model!BA7</f>
        <v>-0.10137678507336556</v>
      </c>
      <c r="BB7" s="344">
        <f>[1]Macro_Model!BB7</f>
        <v>-3.0357079095075568E-2</v>
      </c>
      <c r="BC7" s="344">
        <f>[1]Macro_Model!BC7</f>
        <v>-3.3388845777130305E-3</v>
      </c>
      <c r="BD7" s="345">
        <f>[1]Macro_Model!BD7</f>
        <v>-3.2767506495341547E-2</v>
      </c>
      <c r="BE7" s="344">
        <f>[1]Macro_Model!BE7</f>
        <v>1.7497488084810886E-2</v>
      </c>
      <c r="BF7" s="344">
        <f>[1]Macro_Model!BF7</f>
        <v>0.12396533236269192</v>
      </c>
      <c r="BG7" s="344">
        <f>[1]Macro_Model!BG7</f>
        <v>4.2129771241733005E-2</v>
      </c>
      <c r="BH7" s="344">
        <f>[1]Macro_Model!BH7</f>
        <v>1.4585985812359814E-2</v>
      </c>
      <c r="BI7" s="345">
        <f>[1]Macro_Model!BI7</f>
        <v>4.7625989483594866E-2</v>
      </c>
      <c r="BJ7" s="344">
        <f>[1]Macro_Model!BJ7</f>
        <v>1.4734322462760963E-2</v>
      </c>
      <c r="BK7" s="344">
        <f>[1]Macro_Model!BK7</f>
        <v>3.5438559024100424E-2</v>
      </c>
      <c r="BL7" s="344">
        <f>[1]Macro_Model!BL7</f>
        <v>4.3218147632462678E-2</v>
      </c>
      <c r="BM7" s="344">
        <f>[1]Macro_Model!BM7</f>
        <v>2.6939526327891317E-2</v>
      </c>
      <c r="BN7" s="345">
        <f>[1]Macro_Model!BN7</f>
        <v>3.0167179011841849E-2</v>
      </c>
      <c r="BO7" s="344">
        <f>[1]Macro_Model!BO7</f>
        <v>4.4442967641645348E-2</v>
      </c>
      <c r="BP7" s="344">
        <f>[1]Macro_Model!BP7</f>
        <v>3.850287148559306E-2</v>
      </c>
      <c r="BQ7" s="344">
        <f>[1]Macro_Model!BQ7</f>
        <v>2.3550371308832974E-2</v>
      </c>
      <c r="BR7" s="344">
        <f>[1]Macro_Model!BR7</f>
        <v>2.3805685421032896E-2</v>
      </c>
      <c r="BS7" s="345">
        <f>[1]Macro_Model!BS7</f>
        <v>3.2416517981320281E-2</v>
      </c>
      <c r="BT7" s="344">
        <f>[1]Macro_Model!BT7</f>
        <v>2.4603678711410781E-2</v>
      </c>
      <c r="BU7" s="344">
        <f>[1]Macro_Model!BU7</f>
        <v>3.4711079252089716E-2</v>
      </c>
      <c r="BV7" s="344">
        <f>[1]Macro_Model!BV7</f>
        <v>4.1365896567110871E-2</v>
      </c>
      <c r="BW7" s="344">
        <f>[1]Macro_Model!BW7</f>
        <v>3.580004723913488E-2</v>
      </c>
      <c r="BX7" s="345">
        <f>[1]Macro_Model!BX7</f>
        <v>3.4193154677671478E-2</v>
      </c>
      <c r="BY7" s="344">
        <f>[1]Macro_Model!BY7</f>
        <v>3.1489221531017852E-2</v>
      </c>
      <c r="BZ7" s="344">
        <f>[1]Macro_Model!BZ7</f>
        <v>2.3598075946817954E-2</v>
      </c>
      <c r="CA7" s="344">
        <f>[1]Macro_Model!CA7</f>
        <v>1.8236577305046131E-2</v>
      </c>
      <c r="CB7" s="344">
        <f>[1]Macro_Model!CB7</f>
        <v>1.8433123776042892E-2</v>
      </c>
      <c r="CC7" s="345">
        <f>[1]Macro_Model!CC7</f>
        <v>2.2857411131985694E-2</v>
      </c>
      <c r="CD7" s="344">
        <f>[1]Macro_Model!CD7</f>
        <v>1.8390673417260306E-2</v>
      </c>
      <c r="CE7" s="344">
        <f>[1]Macro_Model!CE7</f>
        <v>2.1500000000000075E-2</v>
      </c>
      <c r="CF7" s="344">
        <f>[1]Macro_Model!CF7</f>
        <v>2.2399999999999975E-2</v>
      </c>
      <c r="CG7" s="344">
        <f>[1]Macro_Model!CG7</f>
        <v>2.0999999999999908E-2</v>
      </c>
      <c r="CH7" s="345">
        <f>[1]Macro_Model!CH7</f>
        <v>2.0842238067008134E-2</v>
      </c>
      <c r="CI7" s="344">
        <f>[1]Macro_Model!CI7</f>
        <v>1.0000000000000009E-2</v>
      </c>
      <c r="CJ7" s="344">
        <f>[1]Macro_Model!CJ7</f>
        <v>1.8999999999999906E-2</v>
      </c>
      <c r="CK7" s="344">
        <f>[1]Macro_Model!CK7</f>
        <v>1.8000000000000016E-2</v>
      </c>
      <c r="CL7" s="344">
        <f>[1]Macro_Model!CL7</f>
        <v>2.0000000000000018E-2</v>
      </c>
      <c r="CM7" s="345">
        <f>[1]Macro_Model!CM7</f>
        <v>1.678733067565874E-2</v>
      </c>
      <c r="CN7" s="344">
        <f>[1]Macro_Model!CN7</f>
        <v>1.678733067565874E-2</v>
      </c>
      <c r="CO7" s="344">
        <f>[1]Macro_Model!CO7</f>
        <v>1.678733067565874E-2</v>
      </c>
      <c r="CP7" s="344">
        <f>[1]Macro_Model!CP7</f>
        <v>1.678733067565874E-2</v>
      </c>
      <c r="CQ7" s="344">
        <f>[1]Macro_Model!CQ7</f>
        <v>1.678733067565874E-2</v>
      </c>
      <c r="CR7" s="345">
        <f>[1]Macro_Model!CR7</f>
        <v>1.7076451891056887E-2</v>
      </c>
      <c r="CS7" s="344">
        <f>[1]Macro_Model!CS7</f>
        <v>1.7076451891056887E-2</v>
      </c>
      <c r="CT7" s="344">
        <f>[1]Macro_Model!CT7</f>
        <v>1.7076451891056887E-2</v>
      </c>
      <c r="CU7" s="344">
        <f>[1]Macro_Model!CU7</f>
        <v>1.7076451891056887E-2</v>
      </c>
      <c r="CV7" s="344">
        <f>[1]Macro_Model!CV7</f>
        <v>1.7076451891056887E-2</v>
      </c>
      <c r="CW7" s="345">
        <f>[1]Macro_Model!CW7</f>
        <v>1.7418902738868702E-2</v>
      </c>
      <c r="CX7" s="344">
        <f>[1]Macro_Model!CX7</f>
        <v>1.7418902738868702E-2</v>
      </c>
      <c r="CY7" s="344">
        <f>[1]Macro_Model!CY7</f>
        <v>1.7418902738868702E-2</v>
      </c>
      <c r="CZ7" s="344">
        <f>[1]Macro_Model!CZ7</f>
        <v>1.7418902738868702E-2</v>
      </c>
      <c r="DA7" s="344">
        <f>[1]Macro_Model!DA7</f>
        <v>1.7418902738868702E-2</v>
      </c>
      <c r="DB7" s="345">
        <f>[1]Macro_Model!DB7</f>
        <v>1.7418902738868702E-2</v>
      </c>
    </row>
    <row r="8" spans="1:108" ht="11.25" customHeight="1" x14ac:dyDescent="0.2">
      <c r="A8" s="280" t="s">
        <v>351</v>
      </c>
      <c r="B8" s="344">
        <f>[1]Macro_Model!B8</f>
        <v>2.7775099567613148E-2</v>
      </c>
      <c r="C8" s="344">
        <f>[1]Macro_Model!C8</f>
        <v>2.8275291412297232E-2</v>
      </c>
      <c r="D8" s="344">
        <f>[1]Macro_Model!D8</f>
        <v>2.0898783360507656E-2</v>
      </c>
      <c r="E8" s="344">
        <f>[1]Macro_Model!E8</f>
        <v>3.1799423953366324E-2</v>
      </c>
      <c r="F8" s="345">
        <f>[1]Macro_Model!F8</f>
        <v>0.11323142949673537</v>
      </c>
      <c r="G8" s="344">
        <f>[1]Macro_Model!G8</f>
        <v>2.4312626443201424E-2</v>
      </c>
      <c r="H8" s="344">
        <f>[1]Macro_Model!H8</f>
        <v>6.9680367870716964E-3</v>
      </c>
      <c r="I8" s="344">
        <f>[1]Macro_Model!I8</f>
        <v>9.7144444229142479E-3</v>
      </c>
      <c r="J8" s="344">
        <f>[1]Macro_Model!J8</f>
        <v>9.1198891198891463E-3</v>
      </c>
      <c r="K8" s="345">
        <f>[1]Macro_Model!K8</f>
        <v>5.0968130206239914E-2</v>
      </c>
      <c r="L8" s="344">
        <f>[1]Macro_Model!L8</f>
        <v>6.1573960596046362E-3</v>
      </c>
      <c r="M8" s="344">
        <f>[1]Macro_Model!M8</f>
        <v>2.5570914344997364E-2</v>
      </c>
      <c r="N8" s="344">
        <f>[1]Macro_Model!N8</f>
        <v>3.7805472394346618E-2</v>
      </c>
      <c r="O8" s="344">
        <f>[1]Macro_Model!O8</f>
        <v>6.8034190732513267E-3</v>
      </c>
      <c r="P8" s="345">
        <f>[1]Macro_Model!P8</f>
        <v>7.818244825167131E-2</v>
      </c>
      <c r="Q8" s="344">
        <f>[1]Macro_Model!Q8</f>
        <v>8.376253302289749E-3</v>
      </c>
      <c r="R8" s="344">
        <f>[1]Macro_Model!R8</f>
        <v>8.9927428351532779E-3</v>
      </c>
      <c r="S8" s="344">
        <f>[1]Macro_Model!S8</f>
        <v>1.9131161719184941E-2</v>
      </c>
      <c r="T8" s="344">
        <f>[1]Macro_Model!T8</f>
        <v>1.7549165067994643E-2</v>
      </c>
      <c r="U8" s="345">
        <f>[1]Macro_Model!U8</f>
        <v>5.5106104434671455E-2</v>
      </c>
      <c r="V8" s="344">
        <f>[1]Macro_Model!V8</f>
        <v>2.5478759960621877E-2</v>
      </c>
      <c r="W8" s="344">
        <f>[1]Macro_Model!W8</f>
        <v>-9.654275503679921E-4</v>
      </c>
      <c r="X8" s="344">
        <f>[1]Macro_Model!X8</f>
        <v>-6.7355145643036574E-3</v>
      </c>
      <c r="Y8" s="344">
        <f>[1]Macro_Model!Y8</f>
        <v>1.8936220312901986E-2</v>
      </c>
      <c r="Z8" s="345">
        <f>[1]Macro_Model!Z8</f>
        <v>3.6857551498040264E-2</v>
      </c>
      <c r="AA8" s="344">
        <f>[1]Macro_Model!AA8</f>
        <v>2.0284371736236873E-2</v>
      </c>
      <c r="AB8" s="344">
        <f>[1]Macro_Model!AB8</f>
        <v>2.2588563321721544E-2</v>
      </c>
      <c r="AC8" s="344">
        <f>[1]Macro_Model!AC8</f>
        <v>1.9239321361055328E-2</v>
      </c>
      <c r="AD8" s="344">
        <f>[1]Macro_Model!AD8</f>
        <v>3.9484102249640385E-2</v>
      </c>
      <c r="AE8" s="345">
        <f>[1]Macro_Model!AE8</f>
        <v>0.10539166948817025</v>
      </c>
      <c r="AF8" s="344">
        <f>[1]Macro_Model!AF8</f>
        <v>2.9665631624325117E-2</v>
      </c>
      <c r="AG8" s="344">
        <f>[1]Macro_Model!AG8</f>
        <v>2.8562254760769124E-2</v>
      </c>
      <c r="AH8" s="344">
        <f>[1]Macro_Model!AH8</f>
        <v>5.1997257825602272E-3</v>
      </c>
      <c r="AI8" s="344">
        <f>[1]Macro_Model!AI8</f>
        <v>6.7134119051170948E-3</v>
      </c>
      <c r="AJ8" s="345">
        <f>[1]Macro_Model!AJ8</f>
        <v>7.1729082528960708E-2</v>
      </c>
      <c r="AK8" s="344">
        <f>[1]Macro_Model!AK8</f>
        <v>7.3990176983655953E-3</v>
      </c>
      <c r="AL8" s="344">
        <f>[1]Macro_Model!AL8</f>
        <v>-2.6700810721153045E-2</v>
      </c>
      <c r="AM8" s="344">
        <f>[1]Macro_Model!AM8</f>
        <v>-1.5561165869073523E-3</v>
      </c>
      <c r="AN8" s="344">
        <f>[1]Macro_Model!AN8</f>
        <v>1.6155390793945124E-2</v>
      </c>
      <c r="AO8" s="345">
        <f>[1]Macro_Model!AO8</f>
        <v>-5.2094044493907754E-3</v>
      </c>
      <c r="AP8" s="344">
        <f>[1]Macro_Model!AP8</f>
        <v>1.4691598047605892E-2</v>
      </c>
      <c r="AQ8" s="344">
        <f>[1]Macro_Model!AQ8</f>
        <v>3.8594867001036759E-2</v>
      </c>
      <c r="AR8" s="344">
        <f>[1]Macro_Model!AR8</f>
        <v>2.7529724342155504E-2</v>
      </c>
      <c r="AS8" s="344">
        <f>[1]Macro_Model!AS8</f>
        <v>-6.9233393180258007E-3</v>
      </c>
      <c r="AT8" s="345">
        <f>[1]Macro_Model!AT8</f>
        <v>7.5368734029632511E-2</v>
      </c>
      <c r="AU8" s="344">
        <f>[1]Macro_Model!AU8</f>
        <v>2.1579184695260656E-2</v>
      </c>
      <c r="AV8" s="344">
        <f>[1]Macro_Model!AV8</f>
        <v>2.1743251414473752E-2</v>
      </c>
      <c r="AW8" s="344">
        <f>[1]Macro_Model!AW8</f>
        <v>-2.7883822372333222E-3</v>
      </c>
      <c r="AX8" s="344">
        <f>[1]Macro_Model!AX8</f>
        <v>3.089513038424041E-2</v>
      </c>
      <c r="AY8" s="345">
        <f>[1]Macro_Model!AY8</f>
        <v>7.3039306458065001E-2</v>
      </c>
      <c r="AZ8" s="344">
        <f>[1]Macro_Model!AZ8</f>
        <v>1.6856537638714864E-2</v>
      </c>
      <c r="BA8" s="344">
        <f>[1]Macro_Model!BA8</f>
        <v>2.6584774351347429E-2</v>
      </c>
      <c r="BB8" s="344">
        <f>[1]Macro_Model!BB8</f>
        <v>9.5924051239921759E-2</v>
      </c>
      <c r="BC8" s="344">
        <f>[1]Macro_Model!BC8</f>
        <v>7.6362036842990033E-2</v>
      </c>
      <c r="BD8" s="345">
        <f>[1]Macro_Model!BD8</f>
        <v>0.23138351126052559</v>
      </c>
      <c r="BE8" s="344">
        <f>[1]Macro_Model!BE8</f>
        <v>8.2577522738505493E-2</v>
      </c>
      <c r="BF8" s="344">
        <f>[1]Macro_Model!BF8</f>
        <v>6.3031894919501674E-2</v>
      </c>
      <c r="BG8" s="344">
        <f>[1]Macro_Model!BG8</f>
        <v>7.9750272604819372E-3</v>
      </c>
      <c r="BH8" s="344">
        <f>[1]Macro_Model!BH8</f>
        <v>1.5379337312507957E-2</v>
      </c>
      <c r="BI8" s="345">
        <f>[1]Macro_Model!BI8</f>
        <v>0.17783212339450416</v>
      </c>
      <c r="BJ8" s="344">
        <f>[1]Macro_Model!BJ8</f>
        <v>5.4887065072461994E-2</v>
      </c>
      <c r="BK8" s="344">
        <f>[1]Macro_Model!BK8</f>
        <v>2.5368988598420295E-2</v>
      </c>
      <c r="BL8" s="344">
        <f>[1]Macro_Model!BL8</f>
        <v>-1.434986841685415E-2</v>
      </c>
      <c r="BM8" s="344">
        <f>[1]Macro_Model!BM8</f>
        <v>-1.0893743615782214E-2</v>
      </c>
      <c r="BN8" s="345">
        <f>[1]Macro_Model!BN8</f>
        <v>5.4512855725947995E-2</v>
      </c>
      <c r="BO8" s="344">
        <f>[1]Macro_Model!BO8</f>
        <v>2.0266906458707989E-3</v>
      </c>
      <c r="BP8" s="344">
        <f>[1]Macro_Model!BP8</f>
        <v>-4.6528199807625903E-2</v>
      </c>
      <c r="BQ8" s="344">
        <f>[1]Macro_Model!BQ8</f>
        <v>-4.9493792991535113E-3</v>
      </c>
      <c r="BR8" s="344">
        <f>[1]Macro_Model!BR8</f>
        <v>1.8421004946816977E-2</v>
      </c>
      <c r="BS8" s="345">
        <f>[1]Macro_Model!BS8</f>
        <v>-3.1812066432042707E-2</v>
      </c>
      <c r="BT8" s="344">
        <f>[1]Macro_Model!BT8</f>
        <v>-9.1052886291980162E-3</v>
      </c>
      <c r="BU8" s="344">
        <f>[1]Macro_Model!BU8</f>
        <v>2.0265083670231832E-2</v>
      </c>
      <c r="BV8" s="344">
        <f>[1]Macro_Model!BV8</f>
        <v>1.523131196602634E-2</v>
      </c>
      <c r="BW8" s="344">
        <f>[1]Macro_Model!BW8</f>
        <v>3.8002354128131577E-2</v>
      </c>
      <c r="BX8" s="345">
        <f>[1]Macro_Model!BX8</f>
        <v>6.5378374339010392E-2</v>
      </c>
      <c r="BY8" s="344">
        <f>[1]Macro_Model!BY8</f>
        <v>9.9118041487622488E-3</v>
      </c>
      <c r="BZ8" s="344">
        <f>[1]Macro_Model!BZ8</f>
        <v>-1.9160233894919276E-2</v>
      </c>
      <c r="CA8" s="344">
        <f>[1]Macro_Model!CA8</f>
        <v>2.0231669475068159E-5</v>
      </c>
      <c r="CB8" s="344">
        <f>[1]Macro_Model!CB8</f>
        <v>-1.0832153878963524E-3</v>
      </c>
      <c r="CC8" s="345">
        <f>[1]Macro_Model!CC8</f>
        <v>-1.0491314854679579E-2</v>
      </c>
      <c r="CD8" s="344">
        <f>[1]Macro_Model!CD8</f>
        <v>1.9443070789990635E-3</v>
      </c>
      <c r="CE8" s="344">
        <f>[1]Macro_Model!CE8</f>
        <v>3.2749905109783706E-2</v>
      </c>
      <c r="CF8" s="344">
        <f>[1]Macro_Model!CF8</f>
        <v>5.7411679314405273E-3</v>
      </c>
      <c r="CG8" s="344">
        <f>[1]Macro_Model!CG8</f>
        <v>1.3710402840559688E-2</v>
      </c>
      <c r="CH8" s="345">
        <f>[1]Macro_Model!CH8</f>
        <v>5.496700400059229E-2</v>
      </c>
      <c r="CI8" s="344">
        <f>[1]Macro_Model!CI8</f>
        <v>1.2555349800803306E-2</v>
      </c>
      <c r="CJ8" s="344">
        <f>[1]Macro_Model!CJ8</f>
        <v>9.4182628001013846E-3</v>
      </c>
      <c r="CK8" s="344">
        <f>[1]Macro_Model!CK8</f>
        <v>6.2373245729370197E-3</v>
      </c>
      <c r="CL8" s="344">
        <f>[1]Macro_Model!CL8</f>
        <v>1.4135837518082006E-2</v>
      </c>
      <c r="CM8" s="345">
        <f>[1]Macro_Model!CM8</f>
        <v>4.3005223007009485E-2</v>
      </c>
      <c r="CN8" s="344">
        <f>[1]Macro_Model!CN8</f>
        <v>9.8534065489692679E-3</v>
      </c>
      <c r="CO8" s="344">
        <f>[1]Macro_Model!CO8</f>
        <v>9.8534065489692679E-3</v>
      </c>
      <c r="CP8" s="344">
        <f>[1]Macro_Model!CP8</f>
        <v>9.8534065489692679E-3</v>
      </c>
      <c r="CQ8" s="344">
        <f>[1]Macro_Model!CQ8</f>
        <v>9.8534065489692679E-3</v>
      </c>
      <c r="CR8" s="345">
        <f>[1]Macro_Model!CR8</f>
        <v>4.0000000000001368E-2</v>
      </c>
      <c r="CS8" s="344">
        <f>[1]Macro_Model!CS8</f>
        <v>8.6374459977136553E-3</v>
      </c>
      <c r="CT8" s="344">
        <f>[1]Macro_Model!CT8</f>
        <v>8.6374459977136553E-3</v>
      </c>
      <c r="CU8" s="344">
        <f>[1]Macro_Model!CU8</f>
        <v>8.6374459977136553E-3</v>
      </c>
      <c r="CV8" s="344">
        <f>[1]Macro_Model!CV8</f>
        <v>8.6374459977136553E-3</v>
      </c>
      <c r="CW8" s="345">
        <f>[1]Macro_Model!CW8</f>
        <v>3.5000000000000808E-2</v>
      </c>
      <c r="CX8" s="344">
        <f>[1]Macro_Model!CX8</f>
        <v>8.6374459977136553E-3</v>
      </c>
      <c r="CY8" s="344">
        <f>[1]Macro_Model!CY8</f>
        <v>8.6374459977136553E-3</v>
      </c>
      <c r="CZ8" s="344">
        <f>[1]Macro_Model!CZ8</f>
        <v>8.6374459977136553E-3</v>
      </c>
      <c r="DA8" s="344">
        <f>[1]Macro_Model!DA8</f>
        <v>8.6374459977136553E-3</v>
      </c>
      <c r="DB8" s="345">
        <f>[1]Macro_Model!DB8</f>
        <v>3.5000000000000808E-2</v>
      </c>
    </row>
    <row r="9" spans="1:108" ht="11.25" customHeight="1" x14ac:dyDescent="0.2">
      <c r="A9" s="280" t="s">
        <v>337</v>
      </c>
      <c r="B9" s="344">
        <f>[1]Macro_Model!B9</f>
        <v>1.94356167608285E-2</v>
      </c>
      <c r="C9" s="344">
        <f>[1]Macro_Model!C9</f>
        <v>5.1669676200410297E-2</v>
      </c>
      <c r="D9" s="344">
        <f>[1]Macro_Model!D9</f>
        <v>7.773401326106022E-2</v>
      </c>
      <c r="E9" s="344">
        <f>[1]Macro_Model!E9</f>
        <v>0.11323142949673537</v>
      </c>
      <c r="F9" s="345">
        <f>[1]Macro_Model!F9</f>
        <v>0.11323142949673537</v>
      </c>
      <c r="G9" s="344">
        <f>[1]Macro_Model!G9</f>
        <v>0.10948106241009881</v>
      </c>
      <c r="H9" s="344">
        <f>[1]Macro_Model!H9</f>
        <v>8.6491114391247681E-2</v>
      </c>
      <c r="I9" s="344">
        <f>[1]Macro_Model!I9</f>
        <v>7.4588186232164677E-2</v>
      </c>
      <c r="J9" s="344">
        <f>[1]Macro_Model!J9</f>
        <v>5.0968130206239914E-2</v>
      </c>
      <c r="K9" s="345">
        <f>[1]Macro_Model!K9</f>
        <v>5.0968130206239914E-2</v>
      </c>
      <c r="L9" s="344">
        <f>[1]Macro_Model!L9</f>
        <v>3.234044951858972E-2</v>
      </c>
      <c r="M9" s="344">
        <f>[1]Macro_Model!M9</f>
        <v>5.1412060810010596E-2</v>
      </c>
      <c r="N9" s="344">
        <f>[1]Macro_Model!N9</f>
        <v>8.0663148355455849E-2</v>
      </c>
      <c r="O9" s="344">
        <f>[1]Macro_Model!O9</f>
        <v>7.818244825167131E-2</v>
      </c>
      <c r="P9" s="345">
        <f>[1]Macro_Model!P9</f>
        <v>7.818244825167131E-2</v>
      </c>
      <c r="Q9" s="344">
        <f>[1]Macro_Model!Q9</f>
        <v>8.0560140791236634E-2</v>
      </c>
      <c r="R9" s="344">
        <f>[1]Macro_Model!R9</f>
        <v>6.3093078211581277E-2</v>
      </c>
      <c r="S9" s="344">
        <f>[1]Macro_Model!S9</f>
        <v>4.3963741406934487E-2</v>
      </c>
      <c r="T9" s="344">
        <f>[1]Macro_Model!T9</f>
        <v>5.5106104434671455E-2</v>
      </c>
      <c r="U9" s="345">
        <f>[1]Macro_Model!U9</f>
        <v>5.5106104434671455E-2</v>
      </c>
      <c r="V9" s="344">
        <f>[1]Macro_Model!V9</f>
        <v>7.3001170008901495E-2</v>
      </c>
      <c r="W9" s="344">
        <f>[1]Macro_Model!W9</f>
        <v>6.2411273747815965E-2</v>
      </c>
      <c r="X9" s="344">
        <f>[1]Macro_Model!X9</f>
        <v>3.5446100343045073E-2</v>
      </c>
      <c r="Y9" s="344">
        <f>[1]Macro_Model!Y9</f>
        <v>3.6857551498040264E-2</v>
      </c>
      <c r="Z9" s="345">
        <f>[1]Macro_Model!Z9</f>
        <v>3.6857551498040264E-2</v>
      </c>
      <c r="AA9" s="344">
        <f>[1]Macro_Model!AA9</f>
        <v>3.1605525940657797E-2</v>
      </c>
      <c r="AB9" s="344">
        <f>[1]Macro_Model!AB9</f>
        <v>5.5927434122497566E-2</v>
      </c>
      <c r="AC9" s="344">
        <f>[1]Macro_Model!AC9</f>
        <v>8.3540967327992322E-2</v>
      </c>
      <c r="AD9" s="344">
        <f>[1]Macro_Model!AD9</f>
        <v>0.10539166948817025</v>
      </c>
      <c r="AE9" s="345">
        <f>[1]Macro_Model!AE9</f>
        <v>0.10539166948817025</v>
      </c>
      <c r="AF9" s="344">
        <f>[1]Macro_Model!AF9</f>
        <v>0.11555546971569863</v>
      </c>
      <c r="AG9" s="344">
        <f>[1]Macro_Model!AG9</f>
        <v>0.12207224918913262</v>
      </c>
      <c r="AH9" s="344">
        <f>[1]Macro_Model!AH9</f>
        <v>0.10661617301711912</v>
      </c>
      <c r="AI9" s="344">
        <f>[1]Macro_Model!AI9</f>
        <v>7.1729082528960708E-2</v>
      </c>
      <c r="AJ9" s="345">
        <f>[1]Macro_Model!AJ9</f>
        <v>7.1729082528960708E-2</v>
      </c>
      <c r="AK9" s="344">
        <f>[1]Macro_Model!AK9</f>
        <v>4.8552842610911418E-2</v>
      </c>
      <c r="AL9" s="344">
        <f>[1]Macro_Model!AL9</f>
        <v>-7.7842863613548641E-3</v>
      </c>
      <c r="AM9" s="344">
        <f>[1]Macro_Model!AM9</f>
        <v>-1.4452864541311117E-2</v>
      </c>
      <c r="AN9" s="344">
        <f>[1]Macro_Model!AN9</f>
        <v>-5.2094044493907754E-3</v>
      </c>
      <c r="AO9" s="345">
        <f>[1]Macro_Model!AO9</f>
        <v>-5.2094044493907754E-3</v>
      </c>
      <c r="AP9" s="344">
        <f>[1]Macro_Model!AP9</f>
        <v>1.9919032958719551E-3</v>
      </c>
      <c r="AQ9" s="344">
        <f>[1]Macro_Model!AQ9</f>
        <v>6.9212487797054134E-2</v>
      </c>
      <c r="AR9" s="344">
        <f>[1]Macro_Model!AR9</f>
        <v>0.10035990114303384</v>
      </c>
      <c r="AS9" s="344">
        <f>[1]Macro_Model!AS9</f>
        <v>7.5368734029632511E-2</v>
      </c>
      <c r="AT9" s="345">
        <f>[1]Macro_Model!AT9</f>
        <v>7.5368734029632511E-2</v>
      </c>
      <c r="AU9" s="344">
        <f>[1]Macro_Model!AU9</f>
        <v>8.2668188709319912E-2</v>
      </c>
      <c r="AV9" s="344">
        <f>[1]Macro_Model!AV9</f>
        <v>6.5101465915270218E-2</v>
      </c>
      <c r="AW9" s="344">
        <f>[1]Macro_Model!AW9</f>
        <v>3.3674774310648914E-2</v>
      </c>
      <c r="AX9" s="344">
        <f>[1]Macro_Model!AX9</f>
        <v>7.3039306458065001E-2</v>
      </c>
      <c r="AY9" s="345">
        <f>[1]Macro_Model!AY9</f>
        <v>7.3039306458065001E-2</v>
      </c>
      <c r="AZ9" s="344">
        <f>[1]Macro_Model!AZ9</f>
        <v>6.8078764976678086E-2</v>
      </c>
      <c r="BA9" s="344">
        <f>[1]Macro_Model!BA9</f>
        <v>7.313984840626131E-2</v>
      </c>
      <c r="BB9" s="344">
        <f>[1]Macro_Model!BB9</f>
        <v>0.17936829983078972</v>
      </c>
      <c r="BC9" s="344">
        <f>[1]Macro_Model!BC9</f>
        <v>0.23138351126052559</v>
      </c>
      <c r="BD9" s="345">
        <f>[1]Macro_Model!BD9</f>
        <v>0.23138351126052559</v>
      </c>
      <c r="BE9" s="344">
        <f>[1]Macro_Model!BE9</f>
        <v>0.31096970105245703</v>
      </c>
      <c r="BF9" s="344">
        <f>[1]Macro_Model!BF9</f>
        <v>0.35751341760586741</v>
      </c>
      <c r="BG9" s="344">
        <f>[1]Macro_Model!BG9</f>
        <v>0.24857157990976941</v>
      </c>
      <c r="BH9" s="344">
        <f>[1]Macro_Model!BH9</f>
        <v>0.17783212339450416</v>
      </c>
      <c r="BI9" s="345">
        <f>[1]Macro_Model!BI9</f>
        <v>0.17783212339450416</v>
      </c>
      <c r="BJ9" s="344">
        <f>[1]Macro_Model!BJ9</f>
        <v>0.14770521805468251</v>
      </c>
      <c r="BK9" s="344">
        <f>[1]Macro_Model!BK9</f>
        <v>0.10704236088323049</v>
      </c>
      <c r="BL9" s="344">
        <f>[1]Macro_Model!BL9</f>
        <v>8.2523295877939162E-2</v>
      </c>
      <c r="BM9" s="344">
        <f>[1]Macro_Model!BM9</f>
        <v>5.4512855725947995E-2</v>
      </c>
      <c r="BN9" s="345">
        <f>[1]Macro_Model!BN9</f>
        <v>5.4512855725947995E-2</v>
      </c>
      <c r="BO9" s="344">
        <f>[1]Macro_Model!BO9</f>
        <v>1.6712329238912638E-3</v>
      </c>
      <c r="BP9" s="344">
        <f>[1]Macro_Model!BP9</f>
        <v>-6.8564307798757551E-2</v>
      </c>
      <c r="BQ9" s="344">
        <f>[1]Macro_Model!BQ9</f>
        <v>-5.9680880700430095E-2</v>
      </c>
      <c r="BR9" s="344">
        <f>[1]Macro_Model!BR9</f>
        <v>-3.1812066432042707E-2</v>
      </c>
      <c r="BS9" s="345">
        <f>[1]Macro_Model!BS9</f>
        <v>-3.1812066432042707E-2</v>
      </c>
      <c r="BT9" s="344">
        <f>[1]Macro_Model!BT9</f>
        <v>-4.2568115259348116E-2</v>
      </c>
      <c r="BU9" s="344">
        <f>[1]Macro_Model!BU9</f>
        <v>2.4502582872803824E-2</v>
      </c>
      <c r="BV9" s="344">
        <f>[1]Macro_Model!BV9</f>
        <v>4.5280591443637164E-2</v>
      </c>
      <c r="BW9" s="344">
        <f>[1]Macro_Model!BW9</f>
        <v>6.5378374339010392E-2</v>
      </c>
      <c r="BX9" s="345">
        <f>[1]Macro_Model!BX9</f>
        <v>6.5378374339010392E-2</v>
      </c>
      <c r="BY9" s="344">
        <f>[1]Macro_Model!BY9</f>
        <v>8.5824945660810448E-2</v>
      </c>
      <c r="BZ9" s="344">
        <f>[1]Macro_Model!BZ9</f>
        <v>4.3866248859345536E-2</v>
      </c>
      <c r="CA9" s="344">
        <f>[1]Macro_Model!CA9</f>
        <v>2.8226134982725304E-2</v>
      </c>
      <c r="CB9" s="344">
        <f>[1]Macro_Model!CB9</f>
        <v>-1.0491314854679579E-2</v>
      </c>
      <c r="CC9" s="345">
        <f>[1]Macro_Model!CC9</f>
        <v>-1.0491314854679579E-2</v>
      </c>
      <c r="CD9" s="344">
        <f>[1]Macro_Model!CD9</f>
        <v>-1.829784560024883E-2</v>
      </c>
      <c r="CE9" s="344">
        <f>[1]Macro_Model!CE9</f>
        <v>3.3657934596623695E-2</v>
      </c>
      <c r="CF9" s="344">
        <f>[1]Macro_Model!CF9</f>
        <v>3.9571306119747574E-2</v>
      </c>
      <c r="CG9" s="344">
        <f>[1]Macro_Model!CG9</f>
        <v>5.496700400059229E-2</v>
      </c>
      <c r="CH9" s="345">
        <f>[1]Macro_Model!CH9</f>
        <v>5.496700400059229E-2</v>
      </c>
      <c r="CI9" s="344">
        <f>[1]Macro_Model!CI9</f>
        <v>6.6139581029528438E-2</v>
      </c>
      <c r="CJ9" s="344">
        <f>[1]Macro_Model!CJ9</f>
        <v>4.2053607035533069E-2</v>
      </c>
      <c r="CK9" s="344">
        <f>[1]Macro_Model!CK9</f>
        <v>4.2567677488659417E-2</v>
      </c>
      <c r="CL9" s="344">
        <f>[1]Macro_Model!CL9</f>
        <v>4.3005223007009485E-2</v>
      </c>
      <c r="CM9" s="345">
        <f>[1]Macro_Model!CM9</f>
        <v>4.3005223007009485E-2</v>
      </c>
      <c r="CN9" s="344">
        <f>[1]Macro_Model!CN9</f>
        <v>3.6775643418645032E-2</v>
      </c>
      <c r="CO9" s="344">
        <f>[1]Macro_Model!CO9</f>
        <v>3.6992652662166225E-2</v>
      </c>
      <c r="CP9" s="344">
        <f>[1]Macro_Model!CP9</f>
        <v>4.3978034228469465E-2</v>
      </c>
      <c r="CQ9" s="344">
        <f>[1]Macro_Model!CQ9</f>
        <v>4.0000000000001368E-2</v>
      </c>
      <c r="CR9" s="345">
        <f>[1]Macro_Model!CR9</f>
        <v>4.0000000000001368E-2</v>
      </c>
      <c r="CS9" s="344">
        <f>[1]Macro_Model!CS9</f>
        <v>3.8747740053057589E-2</v>
      </c>
      <c r="CT9" s="344">
        <f>[1]Macro_Model!CT9</f>
        <v>3.7496987947435834E-2</v>
      </c>
      <c r="CU9" s="344">
        <f>[1]Macro_Model!CU9</f>
        <v>3.6247741867549976E-2</v>
      </c>
      <c r="CV9" s="344">
        <f>[1]Macro_Model!CV9</f>
        <v>3.5000000000000808E-2</v>
      </c>
      <c r="CW9" s="345">
        <f>[1]Macro_Model!CW9</f>
        <v>3.5000000000000808E-2</v>
      </c>
      <c r="CX9" s="344">
        <f>[1]Macro_Model!CX9</f>
        <v>3.5000000000000808E-2</v>
      </c>
      <c r="CY9" s="344">
        <f>[1]Macro_Model!CY9</f>
        <v>3.5000000000000808E-2</v>
      </c>
      <c r="CZ9" s="344">
        <f>[1]Macro_Model!CZ9</f>
        <v>3.5000000000000808E-2</v>
      </c>
      <c r="DA9" s="344">
        <f>[1]Macro_Model!DA9</f>
        <v>3.5000000000000808E-2</v>
      </c>
      <c r="DB9" s="345">
        <f>[1]Macro_Model!DB9</f>
        <v>3.5000000000000808E-2</v>
      </c>
    </row>
    <row r="10" spans="1:108" ht="11.25" customHeight="1" x14ac:dyDescent="0.2">
      <c r="A10" s="280" t="s">
        <v>335</v>
      </c>
      <c r="B10" s="344">
        <f>[1]Macro_Model!B10</f>
        <v>2.0635672838258401E-2</v>
      </c>
      <c r="C10" s="344">
        <f>[1]Macro_Model!C10</f>
        <v>1.0026429772781675E-2</v>
      </c>
      <c r="D10" s="344">
        <f>[1]Macro_Model!D10</f>
        <v>4.9988105724041443E-3</v>
      </c>
      <c r="E10" s="344">
        <f>[1]Macro_Model!E10</f>
        <v>2.2262809912068304E-2</v>
      </c>
      <c r="F10" s="345">
        <f>[1]Macro_Model!F10</f>
        <v>5.9086887217945305E-2</v>
      </c>
      <c r="G10" s="344">
        <f>[1]Macro_Model!G10</f>
        <v>2.4396959845301325E-2</v>
      </c>
      <c r="H10" s="344">
        <f>[1]Macro_Model!H10</f>
        <v>1.3956003005626494E-2</v>
      </c>
      <c r="I10" s="344">
        <f>[1]Macro_Model!I10</f>
        <v>1.0633971472036707E-2</v>
      </c>
      <c r="J10" s="344">
        <f>[1]Macro_Model!J10</f>
        <v>1.4569950966511147E-2</v>
      </c>
      <c r="K10" s="345">
        <f>[1]Macro_Model!K10</f>
        <v>6.5033527436801686E-2</v>
      </c>
      <c r="L10" s="344">
        <f>[1]Macro_Model!L10</f>
        <v>1.2245389616685198E-2</v>
      </c>
      <c r="M10" s="344">
        <f>[1]Macro_Model!M10</f>
        <v>1.0828899898705835E-2</v>
      </c>
      <c r="N10" s="344">
        <f>[1]Macro_Model!N10</f>
        <v>1.4167087793448774E-2</v>
      </c>
      <c r="O10" s="344">
        <f>[1]Macro_Model!O10</f>
        <v>1.993171123933335E-2</v>
      </c>
      <c r="P10" s="345">
        <f>[1]Macro_Model!P10</f>
        <v>5.8385947181474496E-2</v>
      </c>
      <c r="Q10" s="344">
        <f>[1]Macro_Model!Q10</f>
        <v>1.94200629569794E-2</v>
      </c>
      <c r="R10" s="344">
        <f>[1]Macro_Model!R10</f>
        <v>1.1845050402731649E-2</v>
      </c>
      <c r="S10" s="344">
        <f>[1]Macro_Model!S10</f>
        <v>6.2084221404119511E-3</v>
      </c>
      <c r="T10" s="344">
        <f>[1]Macro_Model!T10</f>
        <v>2.043332557722799E-2</v>
      </c>
      <c r="U10" s="345">
        <f>[1]Macro_Model!U10</f>
        <v>5.910683255331084E-2</v>
      </c>
      <c r="V10" s="344">
        <f>[1]Macro_Model!V10</f>
        <v>2.1751380592809788E-2</v>
      </c>
      <c r="W10" s="344">
        <f>[1]Macro_Model!W10</f>
        <v>1.5375617564219013E-2</v>
      </c>
      <c r="X10" s="344">
        <f>[1]Macro_Model!X10</f>
        <v>8.3166595929584641E-3</v>
      </c>
      <c r="Y10" s="344">
        <f>[1]Macro_Model!Y10</f>
        <v>1.7192651907677936E-2</v>
      </c>
      <c r="Z10" s="345">
        <f>[1]Macro_Model!Z10</f>
        <v>6.4074707959081545E-2</v>
      </c>
      <c r="AA10" s="344">
        <f>[1]Macro_Model!AA10</f>
        <v>3.8277181971792196E-2</v>
      </c>
      <c r="AB10" s="344">
        <f>[1]Macro_Model!AB10</f>
        <v>2.2568002922714214E-2</v>
      </c>
      <c r="AC10" s="344">
        <f>[1]Macro_Model!AC10</f>
        <v>1.3857214776389126E-2</v>
      </c>
      <c r="AD10" s="344">
        <f>[1]Macro_Model!AD10</f>
        <v>2.8157121543573194E-2</v>
      </c>
      <c r="AE10" s="345">
        <f>[1]Macro_Model!AE10</f>
        <v>0.1067302813397506</v>
      </c>
      <c r="AF10" s="344">
        <f>[1]Macro_Model!AF10</f>
        <v>2.6206442222306281E-2</v>
      </c>
      <c r="AG10" s="344">
        <f>[1]Macro_Model!AG10</f>
        <v>1.749542390672576E-2</v>
      </c>
      <c r="AH10" s="344">
        <f>[1]Macro_Model!AH10</f>
        <v>1.0431431561581439E-2</v>
      </c>
      <c r="AI10" s="344">
        <f>[1]Macro_Model!AI10</f>
        <v>7.4190016728088448E-3</v>
      </c>
      <c r="AJ10" s="345">
        <f>[1]Macro_Model!AJ10</f>
        <v>6.2879882132213849E-2</v>
      </c>
      <c r="AK10" s="344">
        <f>[1]Macro_Model!AK10</f>
        <v>9.6300018845405511E-3</v>
      </c>
      <c r="AL10" s="344">
        <f>[1]Macro_Model!AL10</f>
        <v>2.1942513931838548E-3</v>
      </c>
      <c r="AM10" s="344">
        <f>[1]Macro_Model!AM10</f>
        <v>5.9102657757119648E-3</v>
      </c>
      <c r="AN10" s="344">
        <f>[1]Macro_Model!AN10</f>
        <v>1.1444547536120453E-2</v>
      </c>
      <c r="AO10" s="345">
        <f>[1]Macro_Model!AO10</f>
        <v>2.9474213204347066E-2</v>
      </c>
      <c r="AP10" s="344">
        <f>[1]Macro_Model!AP10</f>
        <v>7.0152101308664783E-3</v>
      </c>
      <c r="AQ10" s="344">
        <f>[1]Macro_Model!AQ10</f>
        <v>1.8887284258576775E-2</v>
      </c>
      <c r="AR10" s="344">
        <f>[1]Macro_Model!AR10</f>
        <v>7.2098896611332286E-3</v>
      </c>
      <c r="AS10" s="344">
        <f>[1]Macro_Model!AS10</f>
        <v>3.8930647158041953E-3</v>
      </c>
      <c r="AT10" s="345">
        <f>[1]Macro_Model!AT10</f>
        <v>3.7455811701915476E-2</v>
      </c>
      <c r="AU10" s="344">
        <f>[1]Macro_Model!AU10</f>
        <v>1.5068785890315128E-2</v>
      </c>
      <c r="AV10" s="344">
        <f>[1]Macro_Model!AV10</f>
        <v>7.1077186347772159E-3</v>
      </c>
      <c r="AW10" s="344">
        <f>[1]Macro_Model!AW10</f>
        <v>2.6024735964957912E-3</v>
      </c>
      <c r="AX10" s="344">
        <f>[1]Macro_Model!AX10</f>
        <v>1.7676516496296646E-2</v>
      </c>
      <c r="AY10" s="345">
        <f>[1]Macro_Model!AY10</f>
        <v>4.306151617159526E-2</v>
      </c>
      <c r="AZ10" s="344">
        <f>[1]Macro_Model!AZ10</f>
        <v>5.3080212396032778E-3</v>
      </c>
      <c r="BA10" s="344">
        <f>[1]Macro_Model!BA10</f>
        <v>-4.3058882039602731E-3</v>
      </c>
      <c r="BB10" s="344">
        <f>[1]Macro_Model!BB10</f>
        <v>1.2447750992402584E-2</v>
      </c>
      <c r="BC10" s="344">
        <f>[1]Macro_Model!BC10</f>
        <v>3.1314508276533592E-2</v>
      </c>
      <c r="BD10" s="345">
        <f>[1]Macro_Model!BD10</f>
        <v>4.517456886424509E-2</v>
      </c>
      <c r="BE10" s="344">
        <f>[1]Macro_Model!BE10</f>
        <v>2.0524800425854028E-2</v>
      </c>
      <c r="BF10" s="344">
        <f>[1]Macro_Model!BF10</f>
        <v>1.6786731327713023E-2</v>
      </c>
      <c r="BG10" s="344">
        <f>[1]Macro_Model!BG10</f>
        <v>3.0195945219914089E-2</v>
      </c>
      <c r="BH10" s="344">
        <f>[1]Macro_Model!BH10</f>
        <v>2.9580045119536491E-2</v>
      </c>
      <c r="BI10" s="345">
        <f>[1]Macro_Model!BI10</f>
        <v>0.10060982737443336</v>
      </c>
      <c r="BJ10" s="344">
        <f>[1]Macro_Model!BJ10</f>
        <v>3.2007960732282958E-2</v>
      </c>
      <c r="BK10" s="344">
        <f>[1]Macro_Model!BK10</f>
        <v>2.2153507084467394E-2</v>
      </c>
      <c r="BL10" s="344">
        <f>[1]Macro_Model!BL10</f>
        <v>-1.3245351115654835E-2</v>
      </c>
      <c r="BM10" s="344">
        <f>[1]Macro_Model!BM10</f>
        <v>1.6286414853838194E-2</v>
      </c>
      <c r="BN10" s="345">
        <f>[1]Macro_Model!BN10</f>
        <v>5.7850929078894664E-2</v>
      </c>
      <c r="BO10" s="344">
        <f>[1]Macro_Model!BO10</f>
        <v>2.0941939330469506E-2</v>
      </c>
      <c r="BP10" s="344">
        <f>[1]Macro_Model!BP10</f>
        <v>7.6070363573370603E-3</v>
      </c>
      <c r="BQ10" s="344">
        <f>[1]Macro_Model!BQ10</f>
        <v>6.1126585034421144E-3</v>
      </c>
      <c r="BR10" s="344">
        <f>[1]Macro_Model!BR10</f>
        <v>1.0836245981739268E-2</v>
      </c>
      <c r="BS10" s="345">
        <f>[1]Macro_Model!BS10</f>
        <v>4.6211900050818322E-2</v>
      </c>
      <c r="BT10" s="344">
        <f>[1]Macro_Model!BT10</f>
        <v>1.4154167780112026E-2</v>
      </c>
      <c r="BU10" s="344">
        <f>[1]Macro_Model!BU10</f>
        <v>1.0535525553417191E-2</v>
      </c>
      <c r="BV10" s="344">
        <f>[1]Macro_Model!BV10</f>
        <v>8.0155470495610892E-3</v>
      </c>
      <c r="BW10" s="344">
        <f>[1]Macro_Model!BW10</f>
        <v>1.4770299336158255E-2</v>
      </c>
      <c r="BX10" s="345">
        <f>[1]Macro_Model!BX10</f>
        <v>4.8311967483947837E-2</v>
      </c>
      <c r="BY10" s="344">
        <f>[1]Macro_Model!BY10</f>
        <v>2.0404196887543247E-2</v>
      </c>
      <c r="BZ10" s="344">
        <f>[1]Macro_Model!BZ10</f>
        <v>9.3287032564199901E-3</v>
      </c>
      <c r="CA10" s="344">
        <f>[1]Macro_Model!CA10</f>
        <v>6.3025008990875708E-3</v>
      </c>
      <c r="CB10" s="344">
        <f>[1]Macro_Model!CB10</f>
        <v>6.0102784866544745E-3</v>
      </c>
      <c r="CC10" s="345">
        <f>[1]Macro_Model!CC10</f>
        <v>4.2643475811562581E-2</v>
      </c>
      <c r="CD10" s="344">
        <f>[1]Macro_Model!CD10</f>
        <v>1.9213079590290283E-2</v>
      </c>
      <c r="CE10" s="344">
        <f>[1]Macro_Model!CE10</f>
        <v>1.6163211861857318E-2</v>
      </c>
      <c r="CF10" s="344">
        <f>[1]Macro_Model!CF10</f>
        <v>6.3436665714595719E-3</v>
      </c>
      <c r="CG10" s="344">
        <f>[1]Macro_Model!CG10</f>
        <v>1.0821486937104385E-2</v>
      </c>
      <c r="CH10" s="345">
        <f>[1]Macro_Model!CH10</f>
        <v>5.3535657795385605E-2</v>
      </c>
      <c r="CI10" s="344">
        <f>[1]Macro_Model!CI10</f>
        <v>1.5176360929941568E-2</v>
      </c>
      <c r="CJ10" s="344">
        <f>[1]Macro_Model!CJ10</f>
        <v>1.0908057590300668E-2</v>
      </c>
      <c r="CK10" s="344">
        <f>[1]Macro_Model!CK10</f>
        <v>5.3233421243645829E-3</v>
      </c>
      <c r="CL10" s="344">
        <f>[1]Macro_Model!CL10</f>
        <v>1.3330466833520127E-2</v>
      </c>
      <c r="CM10" s="345">
        <f>[1]Macro_Model!CM10</f>
        <v>4.5466259296915279E-2</v>
      </c>
      <c r="CN10" s="344">
        <f>[1]Macro_Model!CN10</f>
        <v>9.8534065489690459E-3</v>
      </c>
      <c r="CO10" s="344">
        <f>[1]Macro_Model!CO10</f>
        <v>9.8534065489690459E-3</v>
      </c>
      <c r="CP10" s="344">
        <f>[1]Macro_Model!CP10</f>
        <v>9.8534065489690459E-3</v>
      </c>
      <c r="CQ10" s="344">
        <f>[1]Macro_Model!CQ10</f>
        <v>9.8534065489690459E-3</v>
      </c>
      <c r="CR10" s="345">
        <f>[1]Macro_Model!CR10</f>
        <v>4.000000000000048E-2</v>
      </c>
      <c r="CS10" s="344">
        <f>[1]Macro_Model!CS10</f>
        <v>9.7307691290944298E-3</v>
      </c>
      <c r="CT10" s="344">
        <f>[1]Macro_Model!CT10</f>
        <v>9.7307691290944298E-3</v>
      </c>
      <c r="CU10" s="344">
        <f>[1]Macro_Model!CU10</f>
        <v>9.7307691290944298E-3</v>
      </c>
      <c r="CV10" s="344">
        <f>[1]Macro_Model!CV10</f>
        <v>9.7307691290944298E-3</v>
      </c>
      <c r="CW10" s="345">
        <f>[1]Macro_Model!CW10</f>
        <v>3.9494898232357745E-2</v>
      </c>
      <c r="CX10" s="344">
        <f>[1]Macro_Model!CX10</f>
        <v>9.7307691290944298E-3</v>
      </c>
      <c r="CY10" s="344">
        <f>[1]Macro_Model!CY10</f>
        <v>9.7307691290944298E-3</v>
      </c>
      <c r="CZ10" s="344">
        <f>[1]Macro_Model!CZ10</f>
        <v>9.7307691290944298E-3</v>
      </c>
      <c r="DA10" s="344">
        <f>[1]Macro_Model!DA10</f>
        <v>9.7307691290944298E-3</v>
      </c>
      <c r="DB10" s="345">
        <f>[1]Macro_Model!DB10</f>
        <v>3.9494898232357745E-2</v>
      </c>
    </row>
    <row r="11" spans="1:108" ht="11.25" customHeight="1" x14ac:dyDescent="0.2">
      <c r="A11" s="280" t="s">
        <v>336</v>
      </c>
      <c r="B11" s="344">
        <f>[1]Macro_Model!B11</f>
        <v>5.1660025200012338E-2</v>
      </c>
      <c r="C11" s="344">
        <f>[1]Macro_Model!C11</f>
        <v>4.8410906272117415E-2</v>
      </c>
      <c r="D11" s="344">
        <f>[1]Macro_Model!D11</f>
        <v>4.7042195972309298E-2</v>
      </c>
      <c r="E11" s="344">
        <f>[1]Macro_Model!E11</f>
        <v>5.9086887217945305E-2</v>
      </c>
      <c r="F11" s="345">
        <f>[1]Macro_Model!F11</f>
        <v>5.9086887217945305E-2</v>
      </c>
      <c r="G11" s="344">
        <f>[1]Macro_Model!G11</f>
        <v>6.2989876163202174E-2</v>
      </c>
      <c r="H11" s="344">
        <f>[1]Macro_Model!H11</f>
        <v>6.7125507114063065E-2</v>
      </c>
      <c r="I11" s="344">
        <f>[1]Macro_Model!I11</f>
        <v>7.3109020596297869E-2</v>
      </c>
      <c r="J11" s="344">
        <f>[1]Macro_Model!J11</f>
        <v>6.5033527436801686E-2</v>
      </c>
      <c r="K11" s="345">
        <f>[1]Macro_Model!K11</f>
        <v>6.5033527436801686E-2</v>
      </c>
      <c r="L11" s="344">
        <f>[1]Macro_Model!L11</f>
        <v>5.2399919361243219E-2</v>
      </c>
      <c r="M11" s="344">
        <f>[1]Macro_Model!M11</f>
        <v>4.9154252835474477E-2</v>
      </c>
      <c r="N11" s="344">
        <f>[1]Macro_Model!N11</f>
        <v>5.2822033772001786E-2</v>
      </c>
      <c r="O11" s="344">
        <f>[1]Macro_Model!O11</f>
        <v>5.8385947181474496E-2</v>
      </c>
      <c r="P11" s="345">
        <f>[1]Macro_Model!P11</f>
        <v>5.8385947181474496E-2</v>
      </c>
      <c r="Q11" s="344">
        <f>[1]Macro_Model!Q11</f>
        <v>6.588765923358908E-2</v>
      </c>
      <c r="R11" s="344">
        <f>[1]Macro_Model!R11</f>
        <v>6.6959158358983917E-2</v>
      </c>
      <c r="S11" s="344">
        <f>[1]Macro_Model!S11</f>
        <v>5.858620748231913E-2</v>
      </c>
      <c r="T11" s="344">
        <f>[1]Macro_Model!T11</f>
        <v>5.910683255331084E-2</v>
      </c>
      <c r="U11" s="345">
        <f>[1]Macro_Model!U11</f>
        <v>5.910683255331084E-2</v>
      </c>
      <c r="V11" s="344">
        <f>[1]Macro_Model!V11</f>
        <v>6.1528910091982913E-2</v>
      </c>
      <c r="W11" s="344">
        <f>[1]Macro_Model!W11</f>
        <v>6.5232836013692452E-2</v>
      </c>
      <c r="X11" s="344">
        <f>[1]Macro_Model!X11</f>
        <v>6.7464743152562567E-2</v>
      </c>
      <c r="Y11" s="344">
        <f>[1]Macro_Model!Y11</f>
        <v>6.4074707959081545E-2</v>
      </c>
      <c r="Z11" s="345">
        <f>[1]Macro_Model!Z11</f>
        <v>6.4074707959081545E-2</v>
      </c>
      <c r="AA11" s="344">
        <f>[1]Macro_Model!AA11</f>
        <v>8.1285046609104405E-2</v>
      </c>
      <c r="AB11" s="344">
        <f>[1]Macro_Model!AB11</f>
        <v>8.894429960185124E-2</v>
      </c>
      <c r="AC11" s="344">
        <f>[1]Macro_Model!AC11</f>
        <v>9.4927892083663146E-2</v>
      </c>
      <c r="AD11" s="344">
        <f>[1]Macro_Model!AD11</f>
        <v>0.1067302813397506</v>
      </c>
      <c r="AE11" s="345">
        <f>[1]Macro_Model!AE11</f>
        <v>0.1067302813397506</v>
      </c>
      <c r="AF11" s="344">
        <f>[1]Macro_Model!AF11</f>
        <v>9.3863723708620617E-2</v>
      </c>
      <c r="AG11" s="344">
        <f>[1]Macro_Model!AG11</f>
        <v>8.8437473175281056E-2</v>
      </c>
      <c r="AH11" s="344">
        <f>[1]Macro_Model!AH11</f>
        <v>8.4759686232872333E-2</v>
      </c>
      <c r="AI11" s="344">
        <f>[1]Macro_Model!AI11</f>
        <v>6.2879882132213849E-2</v>
      </c>
      <c r="AJ11" s="345">
        <f>[1]Macro_Model!AJ11</f>
        <v>6.2879882132213849E-2</v>
      </c>
      <c r="AK11" s="344">
        <f>[1]Macro_Model!AK11</f>
        <v>4.5711051156818838E-2</v>
      </c>
      <c r="AL11" s="344">
        <f>[1]Macro_Model!AL11</f>
        <v>2.9985569924055655E-2</v>
      </c>
      <c r="AM11" s="344">
        <f>[1]Macro_Model!AM11</f>
        <v>2.5376909332922803E-2</v>
      </c>
      <c r="AN11" s="344">
        <f>[1]Macro_Model!AN11</f>
        <v>2.9474213204347066E-2</v>
      </c>
      <c r="AO11" s="345">
        <f>[1]Macro_Model!AO11</f>
        <v>2.9474213204347066E-2</v>
      </c>
      <c r="AP11" s="344">
        <f>[1]Macro_Model!AP11</f>
        <v>2.6808027890635966E-2</v>
      </c>
      <c r="AQ11" s="344">
        <f>[1]Macro_Model!AQ11</f>
        <v>4.3911039739087387E-2</v>
      </c>
      <c r="AR11" s="344">
        <f>[1]Macro_Model!AR11</f>
        <v>4.5259760164416463E-2</v>
      </c>
      <c r="AS11" s="344">
        <f>[1]Macro_Model!AS11</f>
        <v>3.7455811701915476E-2</v>
      </c>
      <c r="AT11" s="345">
        <f>[1]Macro_Model!AT11</f>
        <v>3.7455811701915476E-2</v>
      </c>
      <c r="AU11" s="344">
        <f>[1]Macro_Model!AU11</f>
        <v>4.5752835314434748E-2</v>
      </c>
      <c r="AV11" s="344">
        <f>[1]Macro_Model!AV11</f>
        <v>3.3662671524801624E-2</v>
      </c>
      <c r="AW11" s="344">
        <f>[1]Macro_Model!AW11</f>
        <v>2.8934248931768991E-2</v>
      </c>
      <c r="AX11" s="344">
        <f>[1]Macro_Model!AX11</f>
        <v>4.306151617159526E-2</v>
      </c>
      <c r="AY11" s="345">
        <f>[1]Macro_Model!AY11</f>
        <v>4.306151617159526E-2</v>
      </c>
      <c r="AZ11" s="344">
        <f>[1]Macro_Model!AZ11</f>
        <v>3.303157719890204E-2</v>
      </c>
      <c r="BA11" s="344">
        <f>[1]Macro_Model!BA11</f>
        <v>2.1324173853674466E-2</v>
      </c>
      <c r="BB11" s="344">
        <f>[1]Macro_Model!BB11</f>
        <v>3.1353293138274951E-2</v>
      </c>
      <c r="BC11" s="344">
        <f>[1]Macro_Model!BC11</f>
        <v>4.517456886424509E-2</v>
      </c>
      <c r="BD11" s="345">
        <f>[1]Macro_Model!BD11</f>
        <v>4.517456886424509E-2</v>
      </c>
      <c r="BE11" s="344">
        <f>[1]Macro_Model!BE11</f>
        <v>6.0994785444116184E-2</v>
      </c>
      <c r="BF11" s="344">
        <f>[1]Macro_Model!BF11</f>
        <v>8.3470723655796775E-2</v>
      </c>
      <c r="BG11" s="344">
        <f>[1]Macro_Model!BG11</f>
        <v>0.10246394955255722</v>
      </c>
      <c r="BH11" s="344">
        <f>[1]Macro_Model!BH11</f>
        <v>0.10060982737443336</v>
      </c>
      <c r="BI11" s="345">
        <f>[1]Macro_Model!BI11</f>
        <v>0.10060982737443336</v>
      </c>
      <c r="BJ11" s="344">
        <f>[1]Macro_Model!BJ11</f>
        <v>0.11299412129585251</v>
      </c>
      <c r="BK11" s="344">
        <f>[1]Macro_Model!BK11</f>
        <v>0.11886869625198027</v>
      </c>
      <c r="BL11" s="344">
        <f>[1]Macro_Model!BL11</f>
        <v>7.1688247891645851E-2</v>
      </c>
      <c r="BM11" s="344">
        <f>[1]Macro_Model!BM11</f>
        <v>5.7850929078894886E-2</v>
      </c>
      <c r="BN11" s="345">
        <f>[1]Macro_Model!BN11</f>
        <v>5.7850929078894664E-2</v>
      </c>
      <c r="BO11" s="344">
        <f>[1]Macro_Model!BO11</f>
        <v>4.6507798534815903E-2</v>
      </c>
      <c r="BP11" s="344">
        <f>[1]Macro_Model!BP11</f>
        <v>3.1614737021461004E-2</v>
      </c>
      <c r="BQ11" s="344">
        <f>[1]Macro_Model!BQ11</f>
        <v>5.1852805344769548E-2</v>
      </c>
      <c r="BR11" s="344">
        <f>[1]Macro_Model!BR11</f>
        <v>4.62119000508181E-2</v>
      </c>
      <c r="BS11" s="345">
        <f>[1]Macro_Model!BS11</f>
        <v>4.6211900050818322E-2</v>
      </c>
      <c r="BT11" s="344">
        <f>[1]Macro_Model!BT11</f>
        <v>3.925612019964686E-2</v>
      </c>
      <c r="BU11" s="344">
        <f>[1]Macro_Model!BU11</f>
        <v>4.2276593668120643E-2</v>
      </c>
      <c r="BV11" s="344">
        <f>[1]Macro_Model!BV11</f>
        <v>4.424788005957625E-2</v>
      </c>
      <c r="BW11" s="344">
        <f>[1]Macro_Model!BW11</f>
        <v>4.8311967483947837E-2</v>
      </c>
      <c r="BX11" s="345">
        <f>[1]Macro_Model!BX11</f>
        <v>4.8311967483947837E-2</v>
      </c>
      <c r="BY11" s="344">
        <f>[1]Macro_Model!BY11</f>
        <v>5.4772504272732725E-2</v>
      </c>
      <c r="BZ11" s="344">
        <f>[1]Macro_Model!BZ11</f>
        <v>5.3512852390906307E-2</v>
      </c>
      <c r="CA11" s="344">
        <f>[1]Macro_Model!CA11</f>
        <v>5.1722487012569429E-2</v>
      </c>
      <c r="CB11" s="344">
        <f>[1]Macro_Model!CB11</f>
        <v>4.2643475811562581E-2</v>
      </c>
      <c r="CC11" s="345">
        <f>[1]Macro_Model!CC11</f>
        <v>4.2643475811562581E-2</v>
      </c>
      <c r="CD11" s="344">
        <f>[1]Macro_Model!CD11</f>
        <v>4.1426398615393545E-2</v>
      </c>
      <c r="CE11" s="344">
        <f>[1]Macro_Model!CE11</f>
        <v>4.8478251654252569E-2</v>
      </c>
      <c r="CF11" s="344">
        <f>[1]Macro_Model!CF11</f>
        <v>4.8521142645935766E-2</v>
      </c>
      <c r="CG11" s="344">
        <f>[1]Macro_Model!CG11</f>
        <v>5.3535657795385605E-2</v>
      </c>
      <c r="CH11" s="345">
        <f>[1]Macro_Model!CH11</f>
        <v>5.3535657795385605E-2</v>
      </c>
      <c r="CI11" s="344">
        <f>[1]Macro_Model!CI11</f>
        <v>4.9363000345900243E-2</v>
      </c>
      <c r="CJ11" s="344">
        <f>[1]Macro_Model!CJ11</f>
        <v>4.3936151204631457E-2</v>
      </c>
      <c r="CK11" s="344">
        <f>[1]Macro_Model!CK11</f>
        <v>4.2877712013664748E-2</v>
      </c>
      <c r="CL11" s="344">
        <f>[1]Macro_Model!CL11</f>
        <v>4.5466259296915279E-2</v>
      </c>
      <c r="CM11" s="345">
        <f>[1]Macro_Model!CM11</f>
        <v>4.5466259296915279E-2</v>
      </c>
      <c r="CN11" s="344">
        <f>[1]Macro_Model!CN11</f>
        <v>4.5466259296915279E-2</v>
      </c>
      <c r="CO11" s="344">
        <f>[1]Macro_Model!CO11</f>
        <v>4.5466259296915279E-2</v>
      </c>
      <c r="CP11" s="344">
        <f>[1]Macro_Model!CP11</f>
        <v>4.5466259296915279E-2</v>
      </c>
      <c r="CQ11" s="344">
        <f>[1]Macro_Model!CQ11</f>
        <v>4.5466259296915279E-2</v>
      </c>
      <c r="CR11" s="345">
        <f>[1]Macro_Model!CR11</f>
        <v>4.000000000000048E-2</v>
      </c>
      <c r="CS11" s="344">
        <f>[1]Macro_Model!CS11</f>
        <v>4.000000000000048E-2</v>
      </c>
      <c r="CT11" s="344">
        <f>[1]Macro_Model!CT11</f>
        <v>4.000000000000048E-2</v>
      </c>
      <c r="CU11" s="344">
        <f>[1]Macro_Model!CU11</f>
        <v>4.000000000000048E-2</v>
      </c>
      <c r="CV11" s="344">
        <f>[1]Macro_Model!CV11</f>
        <v>4.000000000000048E-2</v>
      </c>
      <c r="CW11" s="345">
        <f>[1]Macro_Model!CW11</f>
        <v>3.9494898232357745E-2</v>
      </c>
      <c r="CX11" s="344">
        <f>[1]Macro_Model!CX11</f>
        <v>3.9494898232357745E-2</v>
      </c>
      <c r="CY11" s="344">
        <f>[1]Macro_Model!CY11</f>
        <v>3.9494898232357745E-2</v>
      </c>
      <c r="CZ11" s="344">
        <f>[1]Macro_Model!CZ11</f>
        <v>3.9494898232357745E-2</v>
      </c>
      <c r="DA11" s="344">
        <f>[1]Macro_Model!DA11</f>
        <v>3.9494898232357745E-2</v>
      </c>
      <c r="DB11" s="345">
        <f>[1]Macro_Model!DB11</f>
        <v>3.9494898232357745E-2</v>
      </c>
    </row>
    <row r="12" spans="1:108" ht="11.25" customHeight="1" x14ac:dyDescent="0.2">
      <c r="A12" s="297" t="s">
        <v>352</v>
      </c>
      <c r="B12" s="346">
        <f>[1]Macro_Model!B12</f>
        <v>8.7499999999999994E-2</v>
      </c>
      <c r="C12" s="346">
        <f>[1]Macro_Model!C12</f>
        <v>9.7500000000000003E-2</v>
      </c>
      <c r="D12" s="346">
        <f>[1]Macro_Model!D12</f>
        <v>0.1075</v>
      </c>
      <c r="E12" s="346">
        <f>[1]Macro_Model!E12</f>
        <v>0.1075</v>
      </c>
      <c r="F12" s="347">
        <f>[1]Macro_Model!F12</f>
        <v>0.1</v>
      </c>
      <c r="G12" s="346">
        <f>[1]Macro_Model!G12</f>
        <v>0.11416666666666667</v>
      </c>
      <c r="H12" s="346">
        <f>[1]Macro_Model!H12</f>
        <v>0.12083333333333333</v>
      </c>
      <c r="I12" s="346">
        <f>[1]Macro_Model!I12</f>
        <v>0.12166666666666666</v>
      </c>
      <c r="J12" s="346">
        <f>[1]Macro_Model!J12</f>
        <v>0.11166666666666666</v>
      </c>
      <c r="K12" s="347">
        <f>[1]Macro_Model!K12</f>
        <v>0.11708333333333334</v>
      </c>
      <c r="L12" s="346">
        <f>[1]Macro_Model!L12</f>
        <v>0.10249999999999999</v>
      </c>
      <c r="M12" s="346">
        <f>[1]Macro_Model!M12</f>
        <v>8.6666666666666656E-2</v>
      </c>
      <c r="N12" s="346">
        <f>[1]Macro_Model!N12</f>
        <v>7.6666666666666675E-2</v>
      </c>
      <c r="O12" s="346">
        <f>[1]Macro_Model!O12</f>
        <v>7.2499999999999995E-2</v>
      </c>
      <c r="P12" s="347">
        <f>[1]Macro_Model!P12</f>
        <v>8.4583333333333344E-2</v>
      </c>
      <c r="Q12" s="346">
        <f>[1]Macro_Model!Q12</f>
        <v>7.2499999999999995E-2</v>
      </c>
      <c r="R12" s="346">
        <f>[1]Macro_Model!R12</f>
        <v>7.8333333333333324E-2</v>
      </c>
      <c r="S12" s="346">
        <f>[1]Macro_Model!S12</f>
        <v>8.8333333333333333E-2</v>
      </c>
      <c r="T12" s="346">
        <f>[1]Macro_Model!T12</f>
        <v>9.8333333333333342E-2</v>
      </c>
      <c r="U12" s="347">
        <f>[1]Macro_Model!U12</f>
        <v>8.4375000000000006E-2</v>
      </c>
      <c r="V12" s="346">
        <f>[1]Macro_Model!V12</f>
        <v>0.10666666666666666</v>
      </c>
      <c r="W12" s="346">
        <f>[1]Macro_Model!W12</f>
        <v>0.11</v>
      </c>
      <c r="X12" s="346">
        <f>[1]Macro_Model!X12</f>
        <v>0.11</v>
      </c>
      <c r="Y12" s="346">
        <f>[1]Macro_Model!Y12</f>
        <v>0.11416666666666667</v>
      </c>
      <c r="Z12" s="347">
        <f>[1]Macro_Model!Z12</f>
        <v>0.11020833333333334</v>
      </c>
      <c r="AA12" s="346">
        <f>[1]Macro_Model!AA12</f>
        <v>0.12416666666666666</v>
      </c>
      <c r="AB12" s="346">
        <f>[1]Macro_Model!AB12</f>
        <v>0.13416666666666666</v>
      </c>
      <c r="AC12" s="346">
        <f>[1]Macro_Model!AC12</f>
        <v>0.14249999999999999</v>
      </c>
      <c r="AD12" s="346">
        <f>[1]Macro_Model!AD12</f>
        <v>0.14249999999999999</v>
      </c>
      <c r="AE12" s="347">
        <f>[1]Macro_Model!AE12</f>
        <v>0.13583333333333333</v>
      </c>
      <c r="AF12" s="346">
        <f>[1]Macro_Model!AF12</f>
        <v>0.14249999999999999</v>
      </c>
      <c r="AG12" s="346">
        <f>[1]Macro_Model!AG12</f>
        <v>0.14249999999999999</v>
      </c>
      <c r="AH12" s="346">
        <f>[1]Macro_Model!AH12</f>
        <v>0.14249999999999999</v>
      </c>
      <c r="AI12" s="346">
        <f>[1]Macro_Model!AI12</f>
        <v>0.13916666666666666</v>
      </c>
      <c r="AJ12" s="347">
        <f>[1]Macro_Model!AJ12</f>
        <v>0.14166666666666666</v>
      </c>
      <c r="AK12" s="346">
        <f>[1]Macro_Model!AK12</f>
        <v>0.125</v>
      </c>
      <c r="AL12" s="346">
        <f>[1]Macro_Model!AL12</f>
        <v>0.10916666666666666</v>
      </c>
      <c r="AM12" s="348">
        <f>[1]Macro_Model!AM12</f>
        <v>8.9166666666666658E-2</v>
      </c>
      <c r="AN12" s="346">
        <f>[1]Macro_Model!AN12</f>
        <v>7.3333333333333334E-2</v>
      </c>
      <c r="AO12" s="347">
        <f>[1]Macro_Model!AO12</f>
        <v>9.9166666666666667E-2</v>
      </c>
      <c r="AP12" s="346">
        <f>[1]Macro_Model!AP12</f>
        <v>6.7500000000000004E-2</v>
      </c>
      <c r="AQ12" s="346">
        <f>[1]Macro_Model!AQ12</f>
        <v>6.5000000000000002E-2</v>
      </c>
      <c r="AR12" s="346">
        <f>[1]Macro_Model!AR12</f>
        <v>6.5000000000000002E-2</v>
      </c>
      <c r="AS12" s="346">
        <f>[1]Macro_Model!AS12</f>
        <v>6.5000000000000002E-2</v>
      </c>
      <c r="AT12" s="347">
        <f>[1]Macro_Model!AT12</f>
        <v>6.5625000000000003E-2</v>
      </c>
      <c r="AU12" s="346">
        <f>[1]Macro_Model!AU12</f>
        <v>6.5000000000000002E-2</v>
      </c>
      <c r="AV12" s="346">
        <f>[1]Macro_Model!AV12</f>
        <v>6.5000000000000002E-2</v>
      </c>
      <c r="AW12" s="346">
        <f>[1]Macro_Model!AW12</f>
        <v>0.06</v>
      </c>
      <c r="AX12" s="346">
        <f>[1]Macro_Model!AX12</f>
        <v>4.8333333333333332E-2</v>
      </c>
      <c r="AY12" s="347">
        <f>[1]Macro_Model!AY12</f>
        <v>5.9583333333333328E-2</v>
      </c>
      <c r="AZ12" s="346">
        <f>[1]Macro_Model!AZ12</f>
        <v>4.1666666666666671E-2</v>
      </c>
      <c r="BA12" s="346">
        <f>[1]Macro_Model!BA12</f>
        <v>0.03</v>
      </c>
      <c r="BB12" s="346">
        <f>[1]Macro_Model!BB12</f>
        <v>2.0833333333333336E-2</v>
      </c>
      <c r="BC12" s="346">
        <f>[1]Macro_Model!BC12</f>
        <v>0.02</v>
      </c>
      <c r="BD12" s="347">
        <f>[1]Macro_Model!BD12</f>
        <v>2.8125000000000001E-2</v>
      </c>
      <c r="BE12" s="346">
        <f>[1]Macro_Model!BE12</f>
        <v>2.2499999999999999E-2</v>
      </c>
      <c r="BF12" s="346">
        <f>[1]Macro_Model!BF12</f>
        <v>3.5000000000000003E-2</v>
      </c>
      <c r="BG12" s="346">
        <f>[1]Macro_Model!BG12</f>
        <v>5.2499999999999998E-2</v>
      </c>
      <c r="BH12" s="346">
        <f>[1]Macro_Model!BH12</f>
        <v>8.2500000000000004E-2</v>
      </c>
      <c r="BI12" s="347">
        <f>[1]Macro_Model!BI12</f>
        <v>4.8125000000000001E-2</v>
      </c>
      <c r="BJ12" s="346">
        <f>[1]Macro_Model!BJ12</f>
        <v>0.10583333333333333</v>
      </c>
      <c r="BK12" s="346">
        <f>[1]Macro_Model!BK12</f>
        <v>0.12583333333333335</v>
      </c>
      <c r="BL12" s="346">
        <f>[1]Macro_Model!BL12</f>
        <v>0.13583333333333333</v>
      </c>
      <c r="BM12" s="346">
        <f>[1]Macro_Model!BM12</f>
        <v>0.13750000000000001</v>
      </c>
      <c r="BN12" s="347">
        <f>[1]Macro_Model!BN12</f>
        <v>0.12625</v>
      </c>
      <c r="BO12" s="346">
        <f>[1]Macro_Model!BO12</f>
        <v>0.13750000000000001</v>
      </c>
      <c r="BP12" s="346">
        <f>[1]Macro_Model!BP12</f>
        <v>0.13750000000000001</v>
      </c>
      <c r="BQ12" s="346">
        <f>[1]Macro_Model!BQ12</f>
        <v>0.13250000000000001</v>
      </c>
      <c r="BR12" s="346">
        <f>[1]Macro_Model!BR12</f>
        <v>0.1225</v>
      </c>
      <c r="BS12" s="347">
        <f>[1]Macro_Model!BS12</f>
        <v>0.13250000000000001</v>
      </c>
      <c r="BT12" s="346">
        <f>[1]Macro_Model!BT12</f>
        <v>0.11083333333333334</v>
      </c>
      <c r="BU12" s="346">
        <f>[1]Macro_Model!BU12</f>
        <v>0.10583333333333333</v>
      </c>
      <c r="BV12" s="346">
        <f>[1]Macro_Model!BV12</f>
        <v>0.10583333333333333</v>
      </c>
      <c r="BW12" s="346">
        <f>[1]Macro_Model!BW12</f>
        <v>0.11416666666666667</v>
      </c>
      <c r="BX12" s="347">
        <f>[1]Macro_Model!BX12</f>
        <v>0.10916666666666666</v>
      </c>
      <c r="BY12" s="346">
        <f>[1]Macro_Model!BY12</f>
        <v>0.13583333333333333</v>
      </c>
      <c r="BZ12" s="346">
        <f>[1]Macro_Model!BZ12</f>
        <v>0.14666666666666667</v>
      </c>
      <c r="CA12" s="346">
        <f>[1]Macro_Model!CA12</f>
        <v>0.15</v>
      </c>
      <c r="CB12" s="346">
        <f>[1]Macro_Model!CB12</f>
        <v>0.15</v>
      </c>
      <c r="CC12" s="347">
        <f>[1]Macro_Model!CC12</f>
        <v>0.145625</v>
      </c>
      <c r="CD12" s="346">
        <f>[1]Macro_Model!CD12</f>
        <v>0.14916666666666667</v>
      </c>
      <c r="CE12" s="346">
        <f>[1]Macro_Model!CE12</f>
        <v>0.14416666666666667</v>
      </c>
      <c r="CF12" s="346">
        <f>[1]Macro_Model!CF12</f>
        <v>0.14083333333333334</v>
      </c>
      <c r="CG12" s="346">
        <f>[1]Macro_Model!CG12</f>
        <v>0.14000000000000001</v>
      </c>
      <c r="CH12" s="347">
        <f>[1]Macro_Model!CH12</f>
        <v>0.14354166666666665</v>
      </c>
      <c r="CI12" s="346">
        <f>[1]Macro_Model!CI12</f>
        <v>0.14000000000000001</v>
      </c>
      <c r="CJ12" s="346">
        <f>[1]Macro_Model!CJ12</f>
        <v>0.13333333333333333</v>
      </c>
      <c r="CK12" s="346">
        <f>[1]Macro_Model!CK12</f>
        <v>0.12666666666666665</v>
      </c>
      <c r="CL12" s="346">
        <f>[1]Macro_Model!CL12</f>
        <v>0.125</v>
      </c>
      <c r="CM12" s="347">
        <f>[1]Macro_Model!CM12</f>
        <v>0.13125000000000001</v>
      </c>
      <c r="CN12" s="346">
        <f>[1]Macro_Model!CN12</f>
        <v>0.125</v>
      </c>
      <c r="CO12" s="346">
        <f>[1]Macro_Model!CO12</f>
        <v>0.125</v>
      </c>
      <c r="CP12" s="346">
        <f>[1]Macro_Model!CP12</f>
        <v>0.125</v>
      </c>
      <c r="CQ12" s="346">
        <f>[1]Macro_Model!CQ12</f>
        <v>0.125</v>
      </c>
      <c r="CR12" s="347">
        <f>[1]Macro_Model!CR12</f>
        <v>0.125</v>
      </c>
      <c r="CS12" s="346">
        <f>[1]Macro_Model!CS12</f>
        <v>0.125</v>
      </c>
      <c r="CT12" s="346">
        <f>[1]Macro_Model!CT12</f>
        <v>0.125</v>
      </c>
      <c r="CU12" s="346">
        <f>[1]Macro_Model!CU12</f>
        <v>0.125</v>
      </c>
      <c r="CV12" s="346">
        <f>[1]Macro_Model!CV12</f>
        <v>0.125</v>
      </c>
      <c r="CW12" s="347">
        <f>[1]Macro_Model!CW12</f>
        <v>0.125</v>
      </c>
      <c r="CX12" s="346">
        <f>[1]Macro_Model!CX12</f>
        <v>0.125</v>
      </c>
      <c r="CY12" s="346">
        <f>[1]Macro_Model!CY12</f>
        <v>0.125</v>
      </c>
      <c r="CZ12" s="346">
        <f>[1]Macro_Model!CZ12</f>
        <v>0.125</v>
      </c>
      <c r="DA12" s="346">
        <f>[1]Macro_Model!DA12</f>
        <v>0.125</v>
      </c>
      <c r="DB12" s="347">
        <f>[1]Macro_Model!DB12</f>
        <v>0.125</v>
      </c>
    </row>
    <row r="13" spans="1:108" ht="11.25" customHeight="1" x14ac:dyDescent="0.2">
      <c r="A13" s="349" t="s">
        <v>353</v>
      </c>
      <c r="B13" s="344"/>
      <c r="C13" s="344"/>
      <c r="D13" s="344"/>
      <c r="E13" s="344"/>
      <c r="F13" s="345"/>
      <c r="G13" s="344"/>
      <c r="H13" s="344"/>
      <c r="I13" s="344"/>
      <c r="J13" s="344"/>
      <c r="K13" s="345"/>
      <c r="L13" s="344"/>
      <c r="M13" s="344"/>
      <c r="N13" s="344"/>
      <c r="O13" s="344"/>
      <c r="P13" s="345"/>
      <c r="Q13" s="344"/>
      <c r="R13" s="344"/>
      <c r="S13" s="344"/>
      <c r="T13" s="344"/>
      <c r="U13" s="345"/>
      <c r="V13" s="344"/>
      <c r="W13" s="344"/>
      <c r="X13" s="344"/>
      <c r="Y13" s="344"/>
      <c r="Z13" s="345"/>
      <c r="AA13" s="344"/>
      <c r="AB13" s="344"/>
      <c r="AC13" s="344"/>
      <c r="AD13" s="344"/>
      <c r="AE13" s="345"/>
      <c r="AF13" s="344"/>
      <c r="AG13" s="344"/>
      <c r="AH13" s="344"/>
      <c r="AI13" s="344"/>
      <c r="AJ13" s="345"/>
      <c r="AK13" s="344"/>
      <c r="AL13" s="344"/>
      <c r="AM13" s="344"/>
      <c r="AN13" s="344"/>
      <c r="AO13" s="345"/>
      <c r="AP13" s="344"/>
      <c r="AQ13" s="344"/>
      <c r="AR13" s="344"/>
      <c r="AS13" s="344"/>
      <c r="AT13" s="345"/>
      <c r="AU13" s="344"/>
      <c r="AV13" s="344"/>
      <c r="AW13" s="344"/>
      <c r="AX13" s="344"/>
      <c r="AY13" s="345"/>
      <c r="AZ13" s="344"/>
      <c r="BA13" s="344"/>
      <c r="BB13" s="344"/>
      <c r="BC13" s="344"/>
      <c r="BD13" s="345"/>
      <c r="BE13" s="344"/>
      <c r="BF13" s="344"/>
      <c r="BG13" s="344"/>
      <c r="BH13" s="344"/>
      <c r="BI13" s="345"/>
      <c r="BJ13" s="344"/>
      <c r="BK13" s="344"/>
      <c r="BL13" s="344"/>
      <c r="BM13" s="344"/>
      <c r="BN13" s="345"/>
      <c r="BO13" s="344"/>
      <c r="BP13" s="344"/>
      <c r="BQ13" s="344"/>
      <c r="BR13" s="344"/>
      <c r="BS13" s="345"/>
      <c r="BT13" s="344"/>
      <c r="BU13" s="344"/>
      <c r="BV13" s="344"/>
      <c r="BW13" s="344"/>
      <c r="BX13" s="345"/>
      <c r="BY13" s="344"/>
      <c r="BZ13" s="344"/>
      <c r="CA13" s="344"/>
      <c r="CB13" s="344"/>
      <c r="CC13" s="345"/>
      <c r="CD13" s="344"/>
      <c r="CE13" s="344"/>
      <c r="CF13" s="344"/>
      <c r="CG13" s="344"/>
      <c r="CH13" s="345"/>
      <c r="CI13" s="344"/>
      <c r="CJ13" s="344"/>
      <c r="CK13" s="344"/>
      <c r="CL13" s="344"/>
      <c r="CM13" s="345"/>
      <c r="CN13" s="344"/>
      <c r="CO13" s="344"/>
      <c r="CP13" s="344"/>
      <c r="CQ13" s="344"/>
      <c r="CR13" s="345"/>
      <c r="CS13" s="344"/>
      <c r="CT13" s="344"/>
      <c r="CU13" s="344"/>
      <c r="CV13" s="344"/>
      <c r="CW13" s="345"/>
      <c r="CX13" s="344"/>
      <c r="CY13" s="344"/>
      <c r="CZ13" s="344"/>
      <c r="DA13" s="344"/>
      <c r="DB13" s="345"/>
      <c r="DC13" s="281"/>
      <c r="DD13" s="281"/>
    </row>
    <row r="14" spans="1:108" ht="11.25" customHeight="1" collapsed="1" x14ac:dyDescent="0.2">
      <c r="A14" s="282" t="s">
        <v>354</v>
      </c>
      <c r="B14" s="344"/>
      <c r="C14" s="344"/>
      <c r="D14" s="344"/>
      <c r="E14" s="344"/>
      <c r="F14" s="345"/>
      <c r="G14" s="344"/>
      <c r="H14" s="344"/>
      <c r="I14" s="344"/>
      <c r="J14" s="344"/>
      <c r="K14" s="345"/>
      <c r="L14" s="344"/>
      <c r="M14" s="344"/>
      <c r="N14" s="344"/>
      <c r="O14" s="344"/>
      <c r="P14" s="345"/>
      <c r="Q14" s="344"/>
      <c r="R14" s="344"/>
      <c r="S14" s="344"/>
      <c r="T14" s="344"/>
      <c r="U14" s="345"/>
      <c r="V14" s="344"/>
      <c r="W14" s="344"/>
      <c r="X14" s="344"/>
      <c r="Y14" s="344"/>
      <c r="Z14" s="345"/>
      <c r="AA14" s="344"/>
      <c r="AB14" s="344"/>
      <c r="AC14" s="344"/>
      <c r="AD14" s="344"/>
      <c r="AE14" s="345"/>
      <c r="AF14" s="344"/>
      <c r="AG14" s="344"/>
      <c r="AH14" s="344"/>
      <c r="AI14" s="344"/>
      <c r="AJ14" s="345"/>
      <c r="AK14" s="344"/>
      <c r="AL14" s="344"/>
      <c r="AM14" s="344"/>
      <c r="AN14" s="344"/>
      <c r="AO14" s="345"/>
      <c r="AP14" s="344"/>
      <c r="AQ14" s="344"/>
      <c r="AR14" s="344"/>
      <c r="AS14" s="344"/>
      <c r="AT14" s="345"/>
      <c r="AU14" s="344"/>
      <c r="AV14" s="344"/>
      <c r="AW14" s="344"/>
      <c r="AX14" s="344"/>
      <c r="AY14" s="345"/>
      <c r="AZ14" s="344"/>
      <c r="BA14" s="344"/>
      <c r="BB14" s="344"/>
      <c r="BC14" s="344"/>
      <c r="BD14" s="345"/>
      <c r="BE14" s="344"/>
      <c r="BF14" s="344"/>
      <c r="BG14" s="344"/>
      <c r="BH14" s="344"/>
      <c r="BI14" s="345"/>
      <c r="BJ14" s="344"/>
      <c r="BK14" s="344"/>
      <c r="BL14" s="344"/>
      <c r="BM14" s="344"/>
      <c r="BN14" s="345"/>
      <c r="BO14" s="344"/>
      <c r="BP14" s="344"/>
      <c r="BQ14" s="344"/>
      <c r="BR14" s="344"/>
      <c r="BS14" s="345"/>
      <c r="BT14" s="344"/>
      <c r="BU14" s="344"/>
      <c r="BV14" s="344"/>
      <c r="BW14" s="344"/>
      <c r="BX14" s="345"/>
      <c r="BY14" s="344"/>
      <c r="BZ14" s="344"/>
      <c r="CA14" s="344"/>
      <c r="CB14" s="344"/>
      <c r="CC14" s="345"/>
      <c r="CD14" s="344"/>
      <c r="CE14" s="344"/>
      <c r="CF14" s="344"/>
      <c r="CG14" s="344"/>
      <c r="CH14" s="345"/>
      <c r="CI14" s="344"/>
      <c r="CJ14" s="344"/>
      <c r="CK14" s="344"/>
      <c r="CL14" s="344"/>
      <c r="CM14" s="345"/>
      <c r="CN14" s="344"/>
      <c r="CO14" s="344"/>
      <c r="CP14" s="344"/>
      <c r="CQ14" s="344"/>
      <c r="CR14" s="345"/>
      <c r="CS14" s="344"/>
      <c r="CT14" s="344"/>
      <c r="CU14" s="344"/>
      <c r="CV14" s="344"/>
      <c r="CW14" s="345"/>
      <c r="CX14" s="344"/>
      <c r="CY14" s="344"/>
      <c r="CZ14" s="344"/>
      <c r="DA14" s="344"/>
      <c r="DB14" s="345"/>
      <c r="DC14" s="281"/>
      <c r="DD14" s="281"/>
    </row>
    <row r="15" spans="1:108" ht="11.25" customHeight="1" x14ac:dyDescent="0.2">
      <c r="A15" s="350" t="s">
        <v>355</v>
      </c>
      <c r="B15" s="346"/>
      <c r="C15" s="346"/>
      <c r="D15" s="346"/>
      <c r="E15" s="346"/>
      <c r="F15" s="347"/>
      <c r="G15" s="346"/>
      <c r="H15" s="346"/>
      <c r="I15" s="346"/>
      <c r="J15" s="346"/>
      <c r="K15" s="347"/>
      <c r="L15" s="346"/>
      <c r="M15" s="346"/>
      <c r="N15" s="346"/>
      <c r="O15" s="346"/>
      <c r="P15" s="347"/>
      <c r="Q15" s="346"/>
      <c r="R15" s="346"/>
      <c r="S15" s="346"/>
      <c r="T15" s="346"/>
      <c r="U15" s="347"/>
      <c r="V15" s="346"/>
      <c r="W15" s="346"/>
      <c r="X15" s="346"/>
      <c r="Y15" s="346"/>
      <c r="Z15" s="347"/>
      <c r="AA15" s="346"/>
      <c r="AB15" s="346"/>
      <c r="AC15" s="346"/>
      <c r="AD15" s="346"/>
      <c r="AE15" s="347"/>
      <c r="AF15" s="346"/>
      <c r="AG15" s="346"/>
      <c r="AH15" s="346"/>
      <c r="AI15" s="346"/>
      <c r="AJ15" s="347"/>
      <c r="AK15" s="346"/>
      <c r="AL15" s="346"/>
      <c r="AM15" s="348"/>
      <c r="AN15" s="346"/>
      <c r="AO15" s="347"/>
      <c r="AP15" s="346"/>
      <c r="AQ15" s="346"/>
      <c r="AR15" s="346"/>
      <c r="AS15" s="346"/>
      <c r="AT15" s="347"/>
      <c r="AU15" s="346"/>
      <c r="AV15" s="346"/>
      <c r="AW15" s="346"/>
      <c r="AX15" s="346"/>
      <c r="AY15" s="347"/>
      <c r="AZ15" s="346"/>
      <c r="BA15" s="346"/>
      <c r="BB15" s="346"/>
      <c r="BC15" s="346"/>
      <c r="BD15" s="347"/>
      <c r="BE15" s="346"/>
      <c r="BF15" s="346"/>
      <c r="BG15" s="346"/>
      <c r="BH15" s="346"/>
      <c r="BI15" s="347"/>
      <c r="BJ15" s="346"/>
      <c r="BK15" s="346"/>
      <c r="BL15" s="346"/>
      <c r="BM15" s="346"/>
      <c r="BN15" s="347"/>
      <c r="BO15" s="346"/>
      <c r="BP15" s="346"/>
      <c r="BQ15" s="346"/>
      <c r="BR15" s="346"/>
      <c r="BS15" s="347"/>
      <c r="BT15" s="346"/>
      <c r="BU15" s="346"/>
      <c r="BV15" s="346"/>
      <c r="BW15" s="346"/>
      <c r="BX15" s="347"/>
      <c r="BY15" s="346"/>
      <c r="BZ15" s="346"/>
      <c r="CA15" s="346"/>
      <c r="CB15" s="346"/>
      <c r="CC15" s="347"/>
      <c r="CD15" s="346"/>
      <c r="CE15" s="346"/>
      <c r="CF15" s="346"/>
      <c r="CG15" s="346"/>
      <c r="CH15" s="347"/>
      <c r="CI15" s="346"/>
      <c r="CJ15" s="346"/>
      <c r="CK15" s="346"/>
      <c r="CL15" s="346"/>
      <c r="CM15" s="347"/>
      <c r="CN15" s="346"/>
      <c r="CO15" s="346"/>
      <c r="CP15" s="346"/>
      <c r="CQ15" s="346"/>
      <c r="CR15" s="347"/>
      <c r="CS15" s="346"/>
      <c r="CT15" s="346"/>
      <c r="CU15" s="346"/>
      <c r="CV15" s="346"/>
      <c r="CW15" s="347"/>
      <c r="CX15" s="346"/>
      <c r="CY15" s="346"/>
      <c r="CZ15" s="346"/>
      <c r="DA15" s="346"/>
      <c r="DB15" s="347"/>
      <c r="DC15" s="281"/>
      <c r="DD15" s="281"/>
    </row>
    <row r="16" spans="1:108" ht="11.25" customHeight="1" collapsed="1" x14ac:dyDescent="0.2">
      <c r="A16" s="282"/>
      <c r="F16" s="300"/>
      <c r="K16" s="300"/>
      <c r="P16" s="300"/>
      <c r="U16" s="300"/>
      <c r="Z16" s="300"/>
      <c r="AE16" s="300"/>
      <c r="AJ16" s="300"/>
      <c r="AO16" s="300"/>
      <c r="AT16" s="300"/>
      <c r="AY16" s="300"/>
      <c r="BD16" s="300"/>
      <c r="BI16" s="298"/>
      <c r="BJ16" s="281"/>
      <c r="BK16" s="281"/>
      <c r="BL16" s="281"/>
      <c r="BM16" s="281"/>
      <c r="BN16" s="281"/>
      <c r="BO16" s="281"/>
      <c r="BP16" s="281"/>
      <c r="BQ16" s="281"/>
      <c r="BR16" s="281"/>
      <c r="BS16" s="281"/>
      <c r="BT16" s="281"/>
      <c r="BU16" s="281"/>
      <c r="BV16" s="281"/>
      <c r="BW16" s="281"/>
      <c r="BX16" s="281"/>
      <c r="BY16" s="281"/>
      <c r="BZ16" s="281"/>
      <c r="CA16" s="281"/>
      <c r="CB16" s="281"/>
      <c r="CC16" s="281"/>
      <c r="CD16" s="281"/>
      <c r="CE16" s="281"/>
      <c r="CF16" s="281"/>
      <c r="CG16" s="281"/>
      <c r="CH16" s="281"/>
      <c r="CI16" s="281"/>
      <c r="CJ16" s="281"/>
      <c r="CK16" s="281"/>
      <c r="CL16" s="281"/>
      <c r="CM16" s="281"/>
      <c r="CN16" s="281"/>
      <c r="CO16" s="281"/>
      <c r="CP16" s="281"/>
      <c r="CQ16" s="281"/>
      <c r="CR16" s="281"/>
      <c r="CS16" s="281"/>
      <c r="CT16" s="281"/>
      <c r="CU16" s="281"/>
      <c r="CV16" s="281"/>
      <c r="CW16" s="281"/>
      <c r="CX16" s="281"/>
      <c r="CY16" s="281"/>
      <c r="CZ16" s="281"/>
      <c r="DA16" s="281"/>
      <c r="DB16" s="281"/>
      <c r="DC16" s="281"/>
      <c r="DD16" s="281"/>
    </row>
    <row r="17" spans="1:108" ht="11.25" customHeight="1" x14ac:dyDescent="0.2">
      <c r="A17" s="282"/>
      <c r="F17" s="300"/>
      <c r="K17" s="300"/>
      <c r="P17" s="300"/>
      <c r="U17" s="300"/>
      <c r="Z17" s="300"/>
      <c r="AE17" s="300"/>
      <c r="AJ17" s="300"/>
      <c r="AO17" s="300"/>
      <c r="AT17" s="300"/>
      <c r="AY17" s="300"/>
      <c r="BD17" s="300"/>
      <c r="BI17" s="298"/>
      <c r="BJ17" s="281"/>
      <c r="BK17" s="281"/>
      <c r="BL17" s="281"/>
      <c r="BM17" s="281"/>
      <c r="BN17" s="281"/>
      <c r="BO17" s="281"/>
      <c r="BP17" s="281"/>
      <c r="BQ17" s="281"/>
      <c r="BR17" s="281"/>
      <c r="BS17" s="281"/>
      <c r="BT17" s="281"/>
      <c r="BU17" s="281"/>
      <c r="BV17" s="281"/>
      <c r="BW17" s="281"/>
      <c r="BX17" s="281"/>
      <c r="BY17" s="281"/>
      <c r="BZ17" s="281"/>
      <c r="CA17" s="281"/>
      <c r="CB17" s="281"/>
      <c r="CC17" s="281"/>
      <c r="CD17" s="281"/>
      <c r="CE17" s="281"/>
      <c r="CF17" s="281"/>
      <c r="CG17" s="281"/>
      <c r="CH17" s="281"/>
      <c r="CI17" s="281"/>
      <c r="CJ17" s="281"/>
      <c r="CK17" s="281"/>
      <c r="CL17" s="281"/>
      <c r="CM17" s="281"/>
      <c r="CN17" s="281"/>
      <c r="CO17" s="281"/>
      <c r="CP17" s="281"/>
      <c r="CQ17" s="281"/>
      <c r="CR17" s="281"/>
      <c r="CS17" s="281"/>
      <c r="CT17" s="281"/>
      <c r="CU17" s="281"/>
      <c r="CV17" s="281"/>
      <c r="CW17" s="281"/>
      <c r="CX17" s="281"/>
      <c r="CY17" s="281"/>
      <c r="CZ17" s="281"/>
      <c r="DA17" s="281"/>
      <c r="DB17" s="281"/>
      <c r="DC17" s="281"/>
      <c r="DD17" s="281"/>
    </row>
    <row r="18" spans="1:108" ht="11.25" customHeight="1" x14ac:dyDescent="0.2">
      <c r="A18" s="282"/>
      <c r="F18" s="300"/>
      <c r="K18" s="300"/>
      <c r="P18" s="300"/>
      <c r="U18" s="300"/>
      <c r="Z18" s="300"/>
      <c r="AE18" s="300"/>
      <c r="AJ18" s="300"/>
      <c r="AO18" s="300"/>
      <c r="AT18" s="300"/>
      <c r="AY18" s="300"/>
      <c r="BD18" s="300"/>
      <c r="BI18" s="298"/>
      <c r="BJ18" s="281"/>
      <c r="BK18" s="281"/>
      <c r="BL18" s="281"/>
      <c r="BM18" s="281"/>
      <c r="BN18" s="281"/>
      <c r="BO18" s="281"/>
      <c r="BP18" s="281"/>
      <c r="BQ18" s="281"/>
      <c r="BR18" s="281"/>
      <c r="BS18" s="281"/>
      <c r="BT18" s="281"/>
      <c r="BU18" s="281"/>
      <c r="BV18" s="281"/>
      <c r="BW18" s="281"/>
      <c r="BX18" s="281"/>
      <c r="BY18" s="281"/>
      <c r="BZ18" s="281"/>
      <c r="CA18" s="281"/>
      <c r="CB18" s="281"/>
      <c r="CC18" s="281"/>
      <c r="CD18" s="281"/>
      <c r="CE18" s="281"/>
      <c r="CF18" s="281"/>
      <c r="CG18" s="281"/>
      <c r="CH18" s="281"/>
      <c r="CI18" s="281"/>
      <c r="CJ18" s="281"/>
      <c r="CK18" s="281"/>
      <c r="CL18" s="281"/>
      <c r="CM18" s="281"/>
      <c r="CN18" s="281"/>
      <c r="CO18" s="281"/>
      <c r="CP18" s="281"/>
      <c r="CQ18" s="281"/>
      <c r="CR18" s="281"/>
      <c r="CS18" s="281"/>
      <c r="CT18" s="281"/>
      <c r="CU18" s="281"/>
      <c r="CV18" s="281"/>
      <c r="CW18" s="281"/>
      <c r="CX18" s="281"/>
      <c r="CY18" s="281"/>
      <c r="CZ18" s="281"/>
      <c r="DA18" s="281"/>
      <c r="DB18" s="281"/>
      <c r="DC18" s="281"/>
      <c r="DD18" s="281"/>
    </row>
    <row r="19" spans="1:108" ht="11.25" customHeight="1" x14ac:dyDescent="0.2">
      <c r="A19" s="282"/>
      <c r="F19" s="300"/>
      <c r="K19" s="300"/>
      <c r="P19" s="300"/>
      <c r="U19" s="300"/>
      <c r="Z19" s="300"/>
      <c r="AE19" s="300"/>
      <c r="AJ19" s="300"/>
      <c r="AO19" s="300"/>
      <c r="AT19" s="300"/>
      <c r="AY19" s="300"/>
      <c r="BD19" s="300"/>
      <c r="BI19" s="298"/>
      <c r="BJ19" s="281"/>
      <c r="BK19" s="281"/>
      <c r="BL19" s="281"/>
      <c r="BM19" s="281"/>
      <c r="BN19" s="281"/>
      <c r="BO19" s="281"/>
      <c r="BP19" s="281"/>
      <c r="BQ19" s="281"/>
      <c r="BR19" s="281"/>
      <c r="BS19" s="281"/>
      <c r="BT19" s="281"/>
      <c r="BU19" s="281"/>
      <c r="BV19" s="281"/>
      <c r="BW19" s="281"/>
      <c r="BX19" s="281"/>
      <c r="BY19" s="281"/>
      <c r="BZ19" s="281"/>
      <c r="CA19" s="281"/>
      <c r="CB19" s="281"/>
      <c r="CC19" s="281"/>
      <c r="CD19" s="281"/>
      <c r="CE19" s="281"/>
      <c r="CF19" s="281"/>
      <c r="CG19" s="281"/>
      <c r="CH19" s="281"/>
      <c r="CI19" s="281"/>
      <c r="CJ19" s="281"/>
      <c r="CK19" s="281"/>
      <c r="CL19" s="281"/>
      <c r="CM19" s="281"/>
      <c r="CN19" s="281"/>
      <c r="CO19" s="281"/>
      <c r="CP19" s="281"/>
      <c r="CQ19" s="281"/>
      <c r="CR19" s="281"/>
      <c r="CS19" s="281"/>
      <c r="CT19" s="281"/>
      <c r="CU19" s="281"/>
      <c r="CV19" s="281"/>
      <c r="CW19" s="281"/>
      <c r="CX19" s="281"/>
      <c r="CY19" s="281"/>
      <c r="CZ19" s="281"/>
      <c r="DA19" s="281"/>
      <c r="DB19" s="281"/>
      <c r="DC19" s="281"/>
      <c r="DD19" s="281"/>
    </row>
    <row r="20" spans="1:108" ht="11.25" customHeight="1" x14ac:dyDescent="0.2">
      <c r="A20" s="282"/>
      <c r="F20" s="300"/>
      <c r="K20" s="300"/>
      <c r="P20" s="300"/>
      <c r="U20" s="300"/>
      <c r="Z20" s="300"/>
      <c r="AE20" s="300"/>
      <c r="AJ20" s="300"/>
      <c r="AO20" s="300"/>
      <c r="AT20" s="300"/>
      <c r="AY20" s="300"/>
      <c r="BD20" s="300"/>
      <c r="BI20" s="298"/>
      <c r="BJ20" s="281"/>
      <c r="BK20" s="281"/>
      <c r="BL20" s="281"/>
      <c r="BM20" s="281"/>
      <c r="BN20" s="281"/>
      <c r="BO20" s="281"/>
      <c r="BP20" s="281"/>
      <c r="BQ20" s="281"/>
      <c r="BR20" s="281"/>
      <c r="BS20" s="281"/>
      <c r="BT20" s="281"/>
      <c r="BU20" s="281"/>
      <c r="BV20" s="281"/>
      <c r="BW20" s="281"/>
      <c r="BX20" s="281"/>
      <c r="BY20" s="281"/>
      <c r="BZ20" s="281"/>
      <c r="CA20" s="281"/>
      <c r="CB20" s="281"/>
      <c r="CC20" s="281"/>
      <c r="CD20" s="281"/>
      <c r="CE20" s="281"/>
      <c r="CF20" s="281"/>
      <c r="CG20" s="281"/>
      <c r="CH20" s="281"/>
      <c r="CI20" s="281"/>
      <c r="CJ20" s="281"/>
      <c r="CK20" s="281"/>
      <c r="CL20" s="281"/>
      <c r="CM20" s="281"/>
      <c r="CN20" s="281"/>
      <c r="CO20" s="281"/>
      <c r="CP20" s="281"/>
      <c r="CQ20" s="281"/>
      <c r="CR20" s="281"/>
      <c r="CS20" s="281"/>
      <c r="CT20" s="281"/>
      <c r="CU20" s="281"/>
      <c r="CV20" s="281"/>
      <c r="CW20" s="281"/>
      <c r="CX20" s="281"/>
      <c r="CY20" s="281"/>
      <c r="CZ20" s="281"/>
      <c r="DA20" s="281"/>
      <c r="DB20" s="281"/>
      <c r="DC20" s="281"/>
      <c r="DD20" s="281"/>
    </row>
    <row r="21" spans="1:108" ht="11.25" customHeight="1" x14ac:dyDescent="0.2">
      <c r="A21" s="282"/>
      <c r="F21" s="300"/>
      <c r="K21" s="300"/>
      <c r="P21" s="300"/>
      <c r="U21" s="300"/>
      <c r="Z21" s="300"/>
      <c r="AE21" s="300"/>
      <c r="AJ21" s="300"/>
      <c r="AO21" s="300"/>
      <c r="AT21" s="300"/>
      <c r="AY21" s="300"/>
      <c r="BD21" s="300"/>
      <c r="BI21" s="298"/>
      <c r="BJ21" s="281"/>
      <c r="BK21" s="281"/>
      <c r="BL21" s="281"/>
      <c r="BM21" s="281"/>
      <c r="BN21" s="281"/>
      <c r="BO21" s="281"/>
      <c r="BP21" s="281"/>
      <c r="BQ21" s="281"/>
      <c r="BR21" s="281"/>
      <c r="BS21" s="281"/>
      <c r="BT21" s="281"/>
      <c r="BU21" s="281"/>
      <c r="BV21" s="281"/>
      <c r="BW21" s="281"/>
      <c r="BX21" s="281"/>
      <c r="BY21" s="281"/>
      <c r="BZ21" s="281"/>
      <c r="CA21" s="281"/>
      <c r="CB21" s="281"/>
      <c r="CC21" s="281"/>
      <c r="CD21" s="281"/>
      <c r="CE21" s="281"/>
      <c r="CF21" s="281"/>
      <c r="CG21" s="281"/>
      <c r="CH21" s="281"/>
      <c r="CI21" s="281"/>
      <c r="CJ21" s="281"/>
      <c r="CK21" s="281"/>
      <c r="CL21" s="281"/>
      <c r="CM21" s="281"/>
      <c r="CN21" s="281"/>
      <c r="CO21" s="281"/>
      <c r="CP21" s="281"/>
      <c r="CQ21" s="281"/>
      <c r="CR21" s="281"/>
      <c r="CS21" s="281"/>
      <c r="CT21" s="281"/>
      <c r="CU21" s="281"/>
      <c r="CV21" s="281"/>
      <c r="CW21" s="281"/>
      <c r="CX21" s="281"/>
      <c r="CY21" s="281"/>
      <c r="CZ21" s="281"/>
      <c r="DA21" s="281"/>
      <c r="DB21" s="281"/>
      <c r="DC21" s="281"/>
      <c r="DD21" s="281"/>
    </row>
    <row r="22" spans="1:108" ht="11.25" customHeight="1" x14ac:dyDescent="0.2">
      <c r="A22" s="282"/>
      <c r="F22" s="300"/>
      <c r="K22" s="300"/>
      <c r="P22" s="300"/>
      <c r="U22" s="300"/>
      <c r="Z22" s="300"/>
      <c r="AE22" s="300"/>
      <c r="AJ22" s="300"/>
      <c r="AO22" s="300"/>
      <c r="AT22" s="300"/>
      <c r="AY22" s="300"/>
      <c r="BD22" s="300"/>
      <c r="BI22" s="298"/>
      <c r="BJ22" s="281"/>
      <c r="BK22" s="281"/>
      <c r="BL22" s="281"/>
      <c r="BM22" s="281"/>
      <c r="BN22" s="281"/>
      <c r="BO22" s="281"/>
      <c r="BP22" s="281"/>
      <c r="BQ22" s="281"/>
      <c r="BR22" s="281"/>
      <c r="BS22" s="281"/>
      <c r="BT22" s="281"/>
      <c r="BU22" s="281"/>
      <c r="BV22" s="281"/>
      <c r="BW22" s="281"/>
      <c r="BX22" s="281"/>
      <c r="BY22" s="281"/>
      <c r="BZ22" s="281"/>
      <c r="CA22" s="281"/>
      <c r="CB22" s="281"/>
      <c r="CC22" s="281"/>
      <c r="CD22" s="281"/>
      <c r="CE22" s="281"/>
      <c r="CF22" s="281"/>
      <c r="CG22" s="281"/>
      <c r="CH22" s="281"/>
      <c r="CI22" s="281"/>
      <c r="CJ22" s="281"/>
      <c r="CK22" s="281"/>
      <c r="CL22" s="281"/>
      <c r="CM22" s="281"/>
      <c r="CN22" s="281"/>
      <c r="CO22" s="281"/>
      <c r="CP22" s="281"/>
      <c r="CQ22" s="281"/>
      <c r="CR22" s="281"/>
      <c r="CS22" s="281"/>
      <c r="CT22" s="281"/>
      <c r="CU22" s="281"/>
      <c r="CV22" s="281"/>
      <c r="CW22" s="281"/>
      <c r="CX22" s="281"/>
      <c r="CY22" s="281"/>
      <c r="CZ22" s="281"/>
      <c r="DA22" s="281"/>
      <c r="DB22" s="281"/>
      <c r="DC22" s="281"/>
      <c r="DD22" s="281"/>
    </row>
    <row r="23" spans="1:108" ht="11.25" customHeight="1" x14ac:dyDescent="0.2">
      <c r="A23" s="282"/>
      <c r="F23" s="300"/>
      <c r="K23" s="300"/>
      <c r="P23" s="300"/>
      <c r="U23" s="300"/>
      <c r="Z23" s="300"/>
      <c r="AE23" s="300"/>
      <c r="AJ23" s="300"/>
      <c r="AO23" s="300"/>
      <c r="AT23" s="300"/>
      <c r="AY23" s="300"/>
      <c r="BD23" s="300"/>
      <c r="BI23" s="298"/>
      <c r="BJ23" s="281"/>
      <c r="BK23" s="281"/>
      <c r="BL23" s="281"/>
      <c r="BM23" s="281"/>
      <c r="BN23" s="281"/>
      <c r="BO23" s="281"/>
      <c r="BP23" s="281"/>
      <c r="BQ23" s="281"/>
      <c r="BR23" s="281"/>
      <c r="BS23" s="281"/>
      <c r="BT23" s="281"/>
      <c r="BU23" s="281"/>
      <c r="BV23" s="281"/>
      <c r="BW23" s="281"/>
      <c r="BX23" s="281"/>
      <c r="BY23" s="281"/>
      <c r="BZ23" s="281"/>
      <c r="CA23" s="281"/>
      <c r="CB23" s="281"/>
      <c r="CC23" s="281"/>
      <c r="CD23" s="281"/>
      <c r="CE23" s="281"/>
      <c r="CF23" s="281"/>
      <c r="CG23" s="281"/>
      <c r="CH23" s="281"/>
      <c r="CI23" s="281"/>
      <c r="CJ23" s="281"/>
      <c r="CK23" s="281"/>
      <c r="CL23" s="281"/>
      <c r="CM23" s="281"/>
      <c r="CN23" s="281"/>
      <c r="CO23" s="281"/>
      <c r="CP23" s="281"/>
      <c r="CQ23" s="281"/>
      <c r="CR23" s="281"/>
      <c r="CS23" s="281"/>
      <c r="CT23" s="281"/>
      <c r="CU23" s="281"/>
      <c r="CV23" s="281"/>
      <c r="CW23" s="281"/>
      <c r="CX23" s="281"/>
      <c r="CY23" s="281"/>
      <c r="CZ23" s="281"/>
      <c r="DA23" s="281"/>
      <c r="DB23" s="281"/>
      <c r="DC23" s="281"/>
      <c r="DD23" s="281"/>
    </row>
    <row r="24" spans="1:108" ht="11.25" customHeight="1" x14ac:dyDescent="0.2">
      <c r="A24" s="282"/>
      <c r="F24" s="300"/>
      <c r="K24" s="300"/>
      <c r="P24" s="300"/>
      <c r="U24" s="300"/>
      <c r="Z24" s="300"/>
      <c r="AE24" s="300"/>
      <c r="AJ24" s="300"/>
      <c r="AO24" s="300"/>
      <c r="AT24" s="300"/>
      <c r="AY24" s="300"/>
      <c r="BD24" s="300"/>
      <c r="BI24" s="298"/>
      <c r="BJ24" s="281"/>
      <c r="BK24" s="281"/>
      <c r="BL24" s="281"/>
      <c r="BM24" s="281"/>
      <c r="BN24" s="281"/>
      <c r="BO24" s="281"/>
      <c r="BP24" s="281"/>
      <c r="BQ24" s="281"/>
      <c r="BR24" s="281"/>
      <c r="BS24" s="281"/>
      <c r="BT24" s="281"/>
      <c r="BU24" s="281"/>
      <c r="BV24" s="281"/>
      <c r="BW24" s="281"/>
      <c r="BX24" s="281"/>
      <c r="BY24" s="281"/>
      <c r="BZ24" s="281"/>
      <c r="CA24" s="281"/>
      <c r="CB24" s="281"/>
      <c r="CC24" s="281"/>
      <c r="CD24" s="281"/>
      <c r="CE24" s="281"/>
      <c r="CF24" s="281"/>
      <c r="CG24" s="281"/>
      <c r="CH24" s="281"/>
      <c r="CI24" s="281"/>
      <c r="CJ24" s="281"/>
      <c r="CK24" s="281"/>
      <c r="CL24" s="281"/>
      <c r="CM24" s="281"/>
      <c r="CN24" s="281"/>
      <c r="CO24" s="281"/>
      <c r="CP24" s="281"/>
      <c r="CQ24" s="281"/>
      <c r="CR24" s="281"/>
      <c r="CS24" s="281"/>
      <c r="CT24" s="281"/>
      <c r="CU24" s="281"/>
      <c r="CV24" s="281"/>
      <c r="CW24" s="281"/>
      <c r="CX24" s="281"/>
      <c r="CY24" s="281"/>
      <c r="CZ24" s="281"/>
      <c r="DA24" s="281"/>
      <c r="DB24" s="281"/>
      <c r="DC24" s="281"/>
      <c r="DD24" s="281"/>
    </row>
    <row r="25" spans="1:108" ht="11.25" customHeight="1" x14ac:dyDescent="0.2">
      <c r="A25" s="282"/>
      <c r="F25" s="300"/>
      <c r="K25" s="300"/>
      <c r="P25" s="300"/>
      <c r="U25" s="300"/>
      <c r="Z25" s="300"/>
      <c r="AE25" s="300"/>
      <c r="AJ25" s="300"/>
      <c r="AO25" s="300"/>
      <c r="AT25" s="300"/>
      <c r="AY25" s="300"/>
      <c r="BD25" s="300"/>
      <c r="BI25" s="298"/>
      <c r="BJ25" s="281"/>
      <c r="BK25" s="281"/>
      <c r="BL25" s="281"/>
      <c r="BM25" s="281"/>
      <c r="BN25" s="281"/>
      <c r="BO25" s="281"/>
      <c r="BP25" s="281"/>
      <c r="BQ25" s="281"/>
      <c r="BR25" s="281"/>
      <c r="BS25" s="281"/>
      <c r="BT25" s="281"/>
      <c r="BU25" s="281"/>
      <c r="BV25" s="281"/>
      <c r="BW25" s="281"/>
      <c r="BX25" s="281"/>
      <c r="BY25" s="281"/>
      <c r="BZ25" s="281"/>
      <c r="CA25" s="281"/>
      <c r="CB25" s="281"/>
      <c r="CC25" s="281"/>
      <c r="CD25" s="281"/>
      <c r="CE25" s="281"/>
      <c r="CF25" s="281"/>
      <c r="CG25" s="281"/>
      <c r="CH25" s="281"/>
      <c r="CI25" s="281"/>
      <c r="CJ25" s="281"/>
      <c r="CK25" s="281"/>
      <c r="CL25" s="281"/>
      <c r="CM25" s="281"/>
      <c r="CN25" s="281"/>
      <c r="CO25" s="281"/>
      <c r="CP25" s="281"/>
      <c r="CQ25" s="281"/>
      <c r="CR25" s="281"/>
      <c r="CS25" s="281"/>
      <c r="CT25" s="281"/>
      <c r="CU25" s="281"/>
      <c r="CV25" s="281"/>
      <c r="CW25" s="281"/>
      <c r="CX25" s="281"/>
      <c r="CY25" s="281"/>
      <c r="CZ25" s="281"/>
      <c r="DA25" s="281"/>
      <c r="DB25" s="281"/>
      <c r="DC25" s="281"/>
      <c r="DD25" s="281"/>
    </row>
    <row r="26" spans="1:108" ht="11.25" customHeight="1" x14ac:dyDescent="0.2">
      <c r="A26" s="282"/>
      <c r="F26" s="300"/>
      <c r="K26" s="300"/>
      <c r="P26" s="300"/>
      <c r="U26" s="300"/>
      <c r="Z26" s="300"/>
      <c r="AE26" s="300"/>
      <c r="AJ26" s="300"/>
      <c r="AO26" s="300"/>
      <c r="AT26" s="300"/>
      <c r="AY26" s="300"/>
      <c r="BD26" s="300"/>
      <c r="BI26" s="298"/>
      <c r="BJ26" s="281"/>
      <c r="BK26" s="281"/>
      <c r="BL26" s="281"/>
      <c r="BM26" s="281"/>
      <c r="BN26" s="281"/>
      <c r="BO26" s="281"/>
      <c r="BP26" s="281"/>
      <c r="BQ26" s="281"/>
      <c r="BR26" s="281"/>
      <c r="BS26" s="281"/>
      <c r="BT26" s="281"/>
      <c r="BU26" s="281"/>
      <c r="BV26" s="281"/>
      <c r="BW26" s="281"/>
      <c r="BX26" s="281"/>
      <c r="BY26" s="281"/>
      <c r="BZ26" s="281"/>
      <c r="CA26" s="281"/>
      <c r="CB26" s="281"/>
      <c r="CC26" s="281"/>
      <c r="CD26" s="281"/>
      <c r="CE26" s="281"/>
      <c r="CF26" s="281"/>
      <c r="CG26" s="281"/>
      <c r="CH26" s="281"/>
      <c r="CI26" s="281"/>
      <c r="CJ26" s="281"/>
      <c r="CK26" s="281"/>
      <c r="CL26" s="281"/>
      <c r="CM26" s="281"/>
      <c r="CN26" s="281"/>
      <c r="CO26" s="281"/>
      <c r="CP26" s="281"/>
      <c r="CQ26" s="281"/>
      <c r="CR26" s="281"/>
      <c r="CS26" s="281"/>
      <c r="CT26" s="281"/>
      <c r="CU26" s="281"/>
      <c r="CV26" s="281"/>
      <c r="CW26" s="281"/>
      <c r="CX26" s="281"/>
      <c r="CY26" s="281"/>
      <c r="CZ26" s="281"/>
      <c r="DA26" s="281"/>
      <c r="DB26" s="281"/>
      <c r="DC26" s="281"/>
      <c r="DD26" s="281"/>
    </row>
    <row r="27" spans="1:108" ht="11.25" customHeight="1" x14ac:dyDescent="0.2">
      <c r="A27" s="282"/>
      <c r="F27" s="300"/>
      <c r="K27" s="300"/>
      <c r="P27" s="300"/>
      <c r="U27" s="300"/>
      <c r="Z27" s="300"/>
      <c r="AE27" s="300"/>
      <c r="AJ27" s="300"/>
      <c r="AO27" s="300"/>
      <c r="AT27" s="300"/>
      <c r="AY27" s="300"/>
      <c r="BD27" s="300"/>
      <c r="BI27" s="298"/>
      <c r="BJ27" s="281"/>
      <c r="BK27" s="281"/>
      <c r="BL27" s="281"/>
      <c r="BM27" s="281"/>
      <c r="BN27" s="281"/>
      <c r="BO27" s="281"/>
      <c r="BP27" s="281"/>
      <c r="BQ27" s="281"/>
      <c r="BR27" s="281"/>
      <c r="BS27" s="281"/>
      <c r="BT27" s="281"/>
      <c r="BU27" s="281"/>
      <c r="BV27" s="281"/>
      <c r="BW27" s="281"/>
      <c r="BX27" s="281"/>
      <c r="BY27" s="281"/>
      <c r="BZ27" s="281"/>
      <c r="CA27" s="281"/>
      <c r="CB27" s="281"/>
      <c r="CC27" s="281"/>
      <c r="CD27" s="281"/>
      <c r="CE27" s="281"/>
      <c r="CF27" s="281"/>
      <c r="CG27" s="281"/>
      <c r="CH27" s="281"/>
      <c r="CI27" s="281"/>
      <c r="CJ27" s="281"/>
      <c r="CK27" s="281"/>
      <c r="CL27" s="281"/>
      <c r="CM27" s="281"/>
      <c r="CN27" s="281"/>
      <c r="CO27" s="281"/>
      <c r="CP27" s="281"/>
      <c r="CQ27" s="281"/>
      <c r="CR27" s="281"/>
      <c r="CS27" s="281"/>
      <c r="CT27" s="281"/>
      <c r="CU27" s="281"/>
      <c r="CV27" s="281"/>
      <c r="CW27" s="281"/>
      <c r="CX27" s="281"/>
      <c r="CY27" s="281"/>
      <c r="CZ27" s="281"/>
      <c r="DA27" s="281"/>
      <c r="DB27" s="281"/>
      <c r="DC27" s="281"/>
      <c r="DD27" s="281"/>
    </row>
    <row r="28" spans="1:108" ht="11.25" customHeight="1" x14ac:dyDescent="0.2">
      <c r="A28" s="282"/>
      <c r="F28" s="300"/>
      <c r="K28" s="300"/>
      <c r="P28" s="300"/>
      <c r="U28" s="300"/>
      <c r="Z28" s="300"/>
      <c r="AE28" s="300"/>
      <c r="AJ28" s="300"/>
      <c r="AO28" s="300"/>
      <c r="AT28" s="300"/>
      <c r="AY28" s="300"/>
      <c r="BD28" s="300"/>
      <c r="BI28" s="298"/>
      <c r="BJ28" s="281"/>
      <c r="BK28" s="281"/>
      <c r="BL28" s="281"/>
      <c r="BM28" s="281"/>
      <c r="BN28" s="281"/>
      <c r="BO28" s="281"/>
      <c r="BP28" s="281"/>
      <c r="BQ28" s="281"/>
      <c r="BR28" s="281"/>
      <c r="BS28" s="281"/>
      <c r="BT28" s="281"/>
      <c r="BU28" s="281"/>
      <c r="BV28" s="281"/>
      <c r="BW28" s="281"/>
      <c r="BX28" s="281"/>
      <c r="BY28" s="281"/>
      <c r="BZ28" s="281"/>
      <c r="CA28" s="281"/>
      <c r="CB28" s="281"/>
      <c r="CC28" s="281"/>
      <c r="CD28" s="281"/>
      <c r="CE28" s="281"/>
      <c r="CF28" s="281"/>
      <c r="CG28" s="281"/>
      <c r="CH28" s="281"/>
      <c r="CI28" s="281"/>
      <c r="CJ28" s="281"/>
      <c r="CK28" s="281"/>
      <c r="CL28" s="281"/>
      <c r="CM28" s="281"/>
      <c r="CN28" s="281"/>
      <c r="CO28" s="281"/>
      <c r="CP28" s="281"/>
      <c r="CQ28" s="281"/>
      <c r="CR28" s="281"/>
      <c r="CS28" s="281"/>
      <c r="CT28" s="281"/>
      <c r="CU28" s="281"/>
      <c r="CV28" s="281"/>
      <c r="CW28" s="281"/>
      <c r="CX28" s="281"/>
      <c r="CY28" s="281"/>
      <c r="CZ28" s="281"/>
      <c r="DA28" s="281"/>
      <c r="DB28" s="281"/>
      <c r="DC28" s="281"/>
      <c r="DD28" s="281"/>
    </row>
    <row r="29" spans="1:108" ht="11.25" customHeight="1" x14ac:dyDescent="0.25">
      <c r="A29" s="283"/>
      <c r="F29" s="301"/>
      <c r="K29" s="301"/>
      <c r="P29" s="301"/>
      <c r="U29" s="301"/>
      <c r="Z29" s="301"/>
      <c r="AE29" s="301"/>
      <c r="AJ29" s="301"/>
      <c r="AO29" s="301"/>
      <c r="AT29" s="301"/>
      <c r="AY29" s="301"/>
      <c r="BD29" s="301"/>
      <c r="BI29" s="298"/>
      <c r="BJ29" s="281"/>
      <c r="BK29" s="281"/>
      <c r="BL29" s="281"/>
      <c r="BM29" s="281"/>
      <c r="BN29" s="281"/>
      <c r="BO29" s="281"/>
      <c r="BP29" s="281"/>
      <c r="BQ29" s="281"/>
      <c r="BR29" s="281"/>
      <c r="BS29" s="281"/>
      <c r="BT29" s="281"/>
      <c r="BU29" s="281"/>
      <c r="BV29" s="281"/>
      <c r="BW29" s="281"/>
      <c r="BX29" s="281"/>
      <c r="BY29" s="281"/>
      <c r="BZ29" s="281"/>
      <c r="CA29" s="281"/>
      <c r="CB29" s="281"/>
      <c r="CC29" s="281"/>
      <c r="CD29" s="281"/>
      <c r="CE29" s="281"/>
      <c r="CF29" s="281"/>
      <c r="CG29" s="281"/>
      <c r="CH29" s="281"/>
      <c r="CI29" s="281"/>
      <c r="CJ29" s="281"/>
      <c r="CK29" s="281"/>
      <c r="CL29" s="281"/>
      <c r="CM29" s="281"/>
      <c r="CN29" s="281"/>
      <c r="CO29" s="281"/>
      <c r="CP29" s="281"/>
      <c r="CQ29" s="281"/>
      <c r="CR29" s="281"/>
      <c r="CS29" s="281"/>
      <c r="CT29" s="281"/>
      <c r="CU29" s="281"/>
      <c r="CV29" s="281"/>
      <c r="CW29" s="281"/>
      <c r="CX29" s="281"/>
      <c r="CY29" s="281"/>
      <c r="CZ29" s="281"/>
      <c r="DA29" s="281"/>
      <c r="DB29" s="281"/>
      <c r="DC29" s="281"/>
      <c r="DD29" s="281"/>
    </row>
    <row r="30" spans="1:108" s="277" customFormat="1" ht="11.25" customHeight="1" collapsed="1" x14ac:dyDescent="0.25">
      <c r="A30" s="283"/>
      <c r="F30" s="299"/>
      <c r="K30" s="299"/>
      <c r="P30" s="299"/>
      <c r="U30" s="299"/>
      <c r="Z30" s="299"/>
      <c r="AE30" s="299"/>
      <c r="AJ30" s="299"/>
      <c r="AO30" s="299"/>
      <c r="AT30" s="299"/>
      <c r="AY30" s="299"/>
      <c r="BD30" s="299"/>
      <c r="BI30" s="298"/>
      <c r="BJ30" s="281"/>
      <c r="BK30" s="281"/>
      <c r="BL30" s="281"/>
      <c r="BM30" s="281"/>
      <c r="BN30" s="281"/>
      <c r="BO30" s="281"/>
      <c r="BP30" s="281"/>
      <c r="BQ30" s="281"/>
      <c r="BR30" s="281"/>
      <c r="BS30" s="281"/>
      <c r="BT30" s="281"/>
      <c r="BU30" s="281"/>
      <c r="BV30" s="281"/>
      <c r="BW30" s="281"/>
      <c r="BX30" s="281"/>
      <c r="BY30" s="281"/>
      <c r="BZ30" s="281"/>
      <c r="CA30" s="281"/>
      <c r="CB30" s="281"/>
      <c r="CC30" s="281"/>
      <c r="CD30" s="281"/>
      <c r="CE30" s="281"/>
      <c r="CF30" s="281"/>
      <c r="CG30" s="281"/>
      <c r="CH30" s="281"/>
      <c r="CI30" s="281"/>
      <c r="CJ30" s="281"/>
      <c r="CK30" s="281"/>
      <c r="CL30" s="281"/>
      <c r="CM30" s="281"/>
      <c r="CN30" s="281"/>
      <c r="CO30" s="281"/>
      <c r="CP30" s="281"/>
      <c r="CQ30" s="281"/>
      <c r="CR30" s="281"/>
      <c r="CS30" s="281"/>
      <c r="CT30" s="281"/>
      <c r="CU30" s="281"/>
      <c r="CV30" s="281"/>
      <c r="CW30" s="281"/>
      <c r="CX30" s="281"/>
      <c r="CY30" s="281"/>
      <c r="CZ30" s="281"/>
      <c r="DA30" s="281"/>
      <c r="DB30" s="281"/>
      <c r="DC30" s="281"/>
      <c r="DD30" s="281"/>
    </row>
    <row r="31" spans="1:108" ht="11.25" customHeight="1" x14ac:dyDescent="0.2">
      <c r="A31" s="282"/>
      <c r="F31" s="300"/>
      <c r="K31" s="300"/>
      <c r="P31" s="300"/>
      <c r="U31" s="300"/>
      <c r="Z31" s="300"/>
      <c r="AE31" s="300"/>
      <c r="AJ31" s="300"/>
      <c r="AO31" s="300"/>
      <c r="AT31" s="300"/>
      <c r="AY31" s="300"/>
      <c r="BD31" s="300"/>
      <c r="BI31" s="298"/>
      <c r="BJ31" s="281"/>
      <c r="BK31" s="281"/>
      <c r="BL31" s="281"/>
      <c r="BM31" s="281"/>
      <c r="BN31" s="281"/>
      <c r="BO31" s="281"/>
      <c r="BP31" s="281"/>
      <c r="BQ31" s="281"/>
      <c r="BR31" s="281"/>
      <c r="BS31" s="281"/>
      <c r="BT31" s="281"/>
      <c r="BU31" s="281"/>
      <c r="BV31" s="281"/>
      <c r="BW31" s="281"/>
      <c r="BX31" s="281"/>
      <c r="BY31" s="281"/>
      <c r="BZ31" s="281"/>
      <c r="CA31" s="281"/>
      <c r="CB31" s="281"/>
      <c r="CC31" s="281"/>
      <c r="CD31" s="281"/>
      <c r="CE31" s="281"/>
      <c r="CF31" s="281"/>
      <c r="CG31" s="281"/>
      <c r="CH31" s="281"/>
      <c r="CI31" s="281"/>
      <c r="CJ31" s="281"/>
      <c r="CK31" s="281"/>
      <c r="CL31" s="281"/>
      <c r="CM31" s="281"/>
      <c r="CN31" s="281"/>
      <c r="CO31" s="281"/>
      <c r="CP31" s="281"/>
      <c r="CQ31" s="281"/>
      <c r="CR31" s="281"/>
      <c r="CS31" s="281"/>
      <c r="CT31" s="281"/>
      <c r="CU31" s="281"/>
      <c r="CV31" s="281"/>
      <c r="CW31" s="281"/>
      <c r="CX31" s="281"/>
      <c r="CY31" s="281"/>
      <c r="CZ31" s="281"/>
      <c r="DA31" s="281"/>
      <c r="DB31" s="281"/>
      <c r="DC31" s="281"/>
      <c r="DD31" s="281"/>
    </row>
    <row r="32" spans="1:108" ht="11.25" customHeight="1" x14ac:dyDescent="0.2">
      <c r="A32" s="282"/>
      <c r="F32" s="300"/>
      <c r="K32" s="300"/>
      <c r="P32" s="300"/>
      <c r="U32" s="300"/>
      <c r="Z32" s="300"/>
      <c r="AE32" s="300"/>
      <c r="AJ32" s="300"/>
      <c r="AO32" s="300"/>
      <c r="AT32" s="300"/>
      <c r="AY32" s="300"/>
      <c r="BD32" s="300"/>
      <c r="BI32" s="298"/>
      <c r="BJ32" s="281"/>
      <c r="BK32" s="281"/>
      <c r="BL32" s="281"/>
      <c r="BM32" s="281"/>
      <c r="BN32" s="281"/>
      <c r="BO32" s="281"/>
      <c r="BP32" s="281"/>
      <c r="BQ32" s="281"/>
      <c r="BR32" s="281"/>
      <c r="BS32" s="281"/>
      <c r="BT32" s="281"/>
      <c r="BU32" s="281"/>
      <c r="BV32" s="281"/>
      <c r="BW32" s="281"/>
      <c r="BX32" s="281"/>
      <c r="BY32" s="281"/>
      <c r="BZ32" s="281"/>
      <c r="CA32" s="281"/>
      <c r="CB32" s="281"/>
      <c r="CC32" s="281"/>
      <c r="CD32" s="281"/>
      <c r="CE32" s="281"/>
      <c r="CF32" s="281"/>
      <c r="CG32" s="281"/>
      <c r="CH32" s="281"/>
      <c r="CI32" s="281"/>
      <c r="CJ32" s="281"/>
      <c r="CK32" s="281"/>
      <c r="CL32" s="281"/>
      <c r="CM32" s="281"/>
      <c r="CN32" s="281"/>
      <c r="CO32" s="281"/>
      <c r="CP32" s="281"/>
      <c r="CQ32" s="281"/>
      <c r="CR32" s="281"/>
      <c r="CS32" s="281"/>
      <c r="CT32" s="281"/>
      <c r="CU32" s="281"/>
      <c r="CV32" s="281"/>
      <c r="CW32" s="281"/>
      <c r="CX32" s="281"/>
      <c r="CY32" s="281"/>
      <c r="CZ32" s="281"/>
      <c r="DA32" s="281"/>
      <c r="DB32" s="281"/>
      <c r="DC32" s="281"/>
      <c r="DD32" s="281"/>
    </row>
    <row r="33" spans="1:108" ht="11.25" customHeight="1" x14ac:dyDescent="0.25">
      <c r="A33" s="283"/>
      <c r="F33" s="300"/>
      <c r="K33" s="300"/>
      <c r="P33" s="300"/>
      <c r="U33" s="300"/>
      <c r="Z33" s="300"/>
      <c r="AE33" s="300"/>
      <c r="AJ33" s="300"/>
      <c r="AO33" s="300"/>
      <c r="AT33" s="300"/>
      <c r="AY33" s="300"/>
      <c r="BD33" s="300"/>
      <c r="BI33" s="298"/>
      <c r="BJ33" s="281"/>
      <c r="BK33" s="281"/>
      <c r="BL33" s="281"/>
      <c r="BM33" s="281"/>
      <c r="BN33" s="281"/>
      <c r="BO33" s="281"/>
      <c r="BP33" s="281"/>
      <c r="BQ33" s="281"/>
      <c r="BR33" s="281"/>
      <c r="BS33" s="281"/>
      <c r="BT33" s="281"/>
      <c r="BU33" s="281"/>
      <c r="BV33" s="281"/>
      <c r="BW33" s="281"/>
      <c r="BX33" s="281"/>
      <c r="BY33" s="281"/>
      <c r="BZ33" s="281"/>
      <c r="CA33" s="281"/>
      <c r="CB33" s="281"/>
      <c r="CC33" s="281"/>
      <c r="CD33" s="281"/>
      <c r="CE33" s="281"/>
      <c r="CF33" s="281"/>
      <c r="CG33" s="281"/>
      <c r="CH33" s="281"/>
      <c r="CI33" s="281"/>
      <c r="CJ33" s="281"/>
      <c r="CK33" s="281"/>
      <c r="CL33" s="281"/>
      <c r="CM33" s="281"/>
      <c r="CN33" s="281"/>
      <c r="CO33" s="281"/>
      <c r="CP33" s="281"/>
      <c r="CQ33" s="281"/>
      <c r="CR33" s="281"/>
      <c r="CS33" s="281"/>
      <c r="CT33" s="281"/>
      <c r="CU33" s="281"/>
      <c r="CV33" s="281"/>
      <c r="CW33" s="281"/>
      <c r="CX33" s="281"/>
      <c r="CY33" s="281"/>
      <c r="CZ33" s="281"/>
      <c r="DA33" s="281"/>
      <c r="DB33" s="281"/>
      <c r="DC33" s="281"/>
      <c r="DD33" s="281"/>
    </row>
    <row r="34" spans="1:108" ht="11.25" customHeight="1" collapsed="1" x14ac:dyDescent="0.25">
      <c r="A34" s="283"/>
      <c r="F34" s="302"/>
      <c r="K34" s="302"/>
      <c r="P34" s="302"/>
      <c r="U34" s="302"/>
      <c r="Z34" s="302"/>
      <c r="AE34" s="302"/>
      <c r="AJ34" s="302"/>
      <c r="AO34" s="302"/>
      <c r="AT34" s="302"/>
      <c r="AY34" s="302"/>
      <c r="BD34" s="302"/>
      <c r="BI34" s="298"/>
      <c r="BJ34" s="281"/>
      <c r="BK34" s="281"/>
      <c r="BL34" s="281"/>
      <c r="BM34" s="281"/>
      <c r="BN34" s="281"/>
      <c r="BO34" s="281"/>
      <c r="BP34" s="281"/>
      <c r="BQ34" s="281"/>
      <c r="BR34" s="281"/>
      <c r="BS34" s="281"/>
      <c r="BT34" s="281"/>
      <c r="BU34" s="281"/>
      <c r="BV34" s="281"/>
      <c r="BW34" s="281"/>
      <c r="BX34" s="281"/>
      <c r="BY34" s="281"/>
      <c r="BZ34" s="281"/>
      <c r="CA34" s="281"/>
      <c r="CB34" s="281"/>
      <c r="CC34" s="281"/>
      <c r="CD34" s="281"/>
      <c r="CE34" s="281"/>
      <c r="CF34" s="281"/>
      <c r="CG34" s="281"/>
      <c r="CH34" s="281"/>
      <c r="CI34" s="281"/>
      <c r="CJ34" s="281"/>
      <c r="CK34" s="281"/>
      <c r="CL34" s="281"/>
      <c r="CM34" s="281"/>
      <c r="CN34" s="281"/>
      <c r="CO34" s="281"/>
      <c r="CP34" s="281"/>
      <c r="CQ34" s="281"/>
      <c r="CR34" s="281"/>
      <c r="CS34" s="281"/>
      <c r="CT34" s="281"/>
      <c r="CU34" s="281"/>
      <c r="CV34" s="281"/>
      <c r="CW34" s="281"/>
      <c r="CX34" s="281"/>
      <c r="CY34" s="281"/>
      <c r="CZ34" s="281"/>
      <c r="DA34" s="281"/>
      <c r="DB34" s="281"/>
      <c r="DC34" s="281"/>
      <c r="DD34" s="281"/>
    </row>
    <row r="35" spans="1:108" ht="11.25" customHeight="1" x14ac:dyDescent="0.2">
      <c r="A35" s="282"/>
      <c r="F35" s="300"/>
      <c r="K35" s="300"/>
      <c r="P35" s="300"/>
      <c r="U35" s="300"/>
      <c r="Z35" s="300"/>
      <c r="AE35" s="300"/>
      <c r="AJ35" s="300"/>
      <c r="AO35" s="300"/>
      <c r="AT35" s="300"/>
      <c r="AY35" s="300"/>
      <c r="BD35" s="300"/>
      <c r="BI35" s="298"/>
      <c r="BJ35" s="281"/>
      <c r="BK35" s="281"/>
      <c r="BL35" s="281"/>
      <c r="BM35" s="281"/>
      <c r="BN35" s="281"/>
      <c r="BO35" s="281"/>
      <c r="BP35" s="281"/>
      <c r="BQ35" s="281"/>
      <c r="BR35" s="281"/>
      <c r="BS35" s="281"/>
      <c r="BT35" s="281"/>
      <c r="BU35" s="281"/>
      <c r="BV35" s="281"/>
      <c r="BW35" s="281"/>
      <c r="BX35" s="281"/>
      <c r="BY35" s="281"/>
      <c r="BZ35" s="281"/>
      <c r="CA35" s="281"/>
      <c r="CB35" s="281"/>
      <c r="CC35" s="281"/>
      <c r="CD35" s="281"/>
      <c r="CE35" s="281"/>
      <c r="CF35" s="281"/>
      <c r="CG35" s="281"/>
      <c r="CH35" s="281"/>
      <c r="CI35" s="281"/>
      <c r="CJ35" s="281"/>
      <c r="CK35" s="281"/>
      <c r="CL35" s="281"/>
      <c r="CM35" s="281"/>
      <c r="CN35" s="281"/>
      <c r="CO35" s="281"/>
      <c r="CP35" s="281"/>
      <c r="CQ35" s="281"/>
      <c r="CR35" s="281"/>
      <c r="CS35" s="281"/>
      <c r="CT35" s="281"/>
      <c r="CU35" s="281"/>
      <c r="CV35" s="281"/>
      <c r="CW35" s="281"/>
      <c r="CX35" s="281"/>
      <c r="CY35" s="281"/>
      <c r="CZ35" s="281"/>
      <c r="DA35" s="281"/>
      <c r="DB35" s="281"/>
      <c r="DC35" s="281"/>
      <c r="DD35" s="281"/>
    </row>
    <row r="36" spans="1:108" ht="11.25" customHeight="1" x14ac:dyDescent="0.2">
      <c r="A36" s="282"/>
      <c r="F36" s="300"/>
      <c r="K36" s="300"/>
      <c r="P36" s="300"/>
      <c r="U36" s="300"/>
      <c r="Z36" s="300"/>
      <c r="AE36" s="300"/>
      <c r="AJ36" s="300"/>
      <c r="AO36" s="300"/>
      <c r="AT36" s="300"/>
      <c r="AY36" s="300"/>
      <c r="BD36" s="300"/>
      <c r="BI36" s="298"/>
      <c r="BJ36" s="281"/>
      <c r="BK36" s="281"/>
      <c r="BL36" s="281"/>
      <c r="BM36" s="281"/>
      <c r="BN36" s="281"/>
      <c r="BO36" s="281"/>
      <c r="BP36" s="281"/>
      <c r="BQ36" s="281"/>
      <c r="BR36" s="281"/>
      <c r="BS36" s="281"/>
      <c r="BT36" s="281"/>
      <c r="BU36" s="281"/>
      <c r="BV36" s="281"/>
      <c r="BW36" s="281"/>
      <c r="BX36" s="281"/>
      <c r="BY36" s="281"/>
      <c r="BZ36" s="281"/>
      <c r="CA36" s="281"/>
      <c r="CB36" s="281"/>
      <c r="CC36" s="281"/>
      <c r="CD36" s="281"/>
      <c r="CE36" s="281"/>
      <c r="CF36" s="281"/>
      <c r="CG36" s="281"/>
      <c r="CH36" s="281"/>
      <c r="CI36" s="281"/>
      <c r="CJ36" s="281"/>
      <c r="CK36" s="281"/>
      <c r="CL36" s="281"/>
      <c r="CM36" s="281"/>
      <c r="CN36" s="281"/>
      <c r="CO36" s="281"/>
      <c r="CP36" s="281"/>
      <c r="CQ36" s="281"/>
      <c r="CR36" s="281"/>
      <c r="CS36" s="281"/>
      <c r="CT36" s="281"/>
      <c r="CU36" s="281"/>
      <c r="CV36" s="281"/>
      <c r="CW36" s="281"/>
      <c r="CX36" s="281"/>
      <c r="CY36" s="281"/>
      <c r="CZ36" s="281"/>
      <c r="DA36" s="281"/>
      <c r="DB36" s="281"/>
      <c r="DC36" s="281"/>
      <c r="DD36" s="281"/>
    </row>
    <row r="37" spans="1:108" ht="11.25" customHeight="1" x14ac:dyDescent="0.2">
      <c r="A37" s="282"/>
      <c r="F37" s="302"/>
      <c r="K37" s="302"/>
      <c r="P37" s="302"/>
      <c r="U37" s="302"/>
      <c r="Z37" s="302"/>
      <c r="AE37" s="302"/>
      <c r="AJ37" s="302"/>
      <c r="AO37" s="302"/>
      <c r="AT37" s="302"/>
      <c r="AY37" s="302"/>
      <c r="BD37" s="302"/>
      <c r="BI37" s="298"/>
      <c r="BJ37" s="281"/>
      <c r="BK37" s="281"/>
      <c r="BL37" s="281"/>
      <c r="BM37" s="281"/>
      <c r="BN37" s="281"/>
      <c r="BO37" s="281"/>
      <c r="BP37" s="281"/>
      <c r="BQ37" s="281"/>
      <c r="BR37" s="281"/>
      <c r="BS37" s="281"/>
      <c r="BT37" s="281"/>
      <c r="BU37" s="281"/>
      <c r="BV37" s="281"/>
      <c r="BW37" s="281"/>
      <c r="BX37" s="281"/>
      <c r="BY37" s="281"/>
      <c r="BZ37" s="281"/>
      <c r="CA37" s="281"/>
      <c r="CB37" s="281"/>
      <c r="CC37" s="281"/>
      <c r="CD37" s="281"/>
      <c r="CE37" s="281"/>
      <c r="CF37" s="281"/>
      <c r="CG37" s="281"/>
      <c r="CH37" s="281"/>
      <c r="CI37" s="281"/>
      <c r="CJ37" s="281"/>
      <c r="CK37" s="281"/>
      <c r="CL37" s="281"/>
      <c r="CM37" s="281"/>
      <c r="CN37" s="281"/>
      <c r="CO37" s="281"/>
      <c r="CP37" s="281"/>
      <c r="CQ37" s="281"/>
      <c r="CR37" s="281"/>
      <c r="CS37" s="281"/>
      <c r="CT37" s="281"/>
      <c r="CU37" s="281"/>
      <c r="CV37" s="281"/>
      <c r="CW37" s="281"/>
      <c r="CX37" s="281"/>
      <c r="CY37" s="281"/>
      <c r="CZ37" s="281"/>
      <c r="DA37" s="281"/>
      <c r="DB37" s="281"/>
      <c r="DC37" s="281"/>
      <c r="DD37" s="281"/>
    </row>
    <row r="38" spans="1:108" ht="11.25" customHeight="1" collapsed="1" x14ac:dyDescent="0.2">
      <c r="A38" s="282"/>
      <c r="F38" s="300"/>
      <c r="K38" s="300"/>
      <c r="P38" s="300"/>
      <c r="U38" s="300"/>
      <c r="Z38" s="300"/>
      <c r="AE38" s="300"/>
      <c r="AJ38" s="300"/>
      <c r="AO38" s="300"/>
      <c r="AT38" s="300"/>
      <c r="AY38" s="300"/>
      <c r="BD38" s="300"/>
      <c r="BM38" s="281"/>
      <c r="BN38" s="281"/>
      <c r="BO38" s="281"/>
      <c r="BP38" s="281"/>
      <c r="BQ38" s="281"/>
      <c r="BR38" s="281"/>
      <c r="BS38" s="281"/>
      <c r="BT38" s="281"/>
      <c r="BU38" s="281"/>
      <c r="BV38" s="281"/>
      <c r="BW38" s="281"/>
      <c r="BX38" s="281"/>
      <c r="BY38" s="281"/>
      <c r="BZ38" s="281"/>
      <c r="CA38" s="281"/>
      <c r="CB38" s="281"/>
      <c r="CC38" s="281"/>
      <c r="CD38" s="281"/>
      <c r="CE38" s="281"/>
      <c r="CF38" s="281"/>
      <c r="CG38" s="281"/>
      <c r="CH38" s="281"/>
      <c r="CI38" s="281"/>
      <c r="CJ38" s="281"/>
      <c r="CK38" s="281"/>
      <c r="CL38" s="281"/>
      <c r="CM38" s="281"/>
      <c r="CN38" s="281"/>
      <c r="CO38" s="281"/>
      <c r="CP38" s="281"/>
      <c r="CQ38" s="281"/>
      <c r="CR38" s="281"/>
      <c r="CS38" s="281"/>
      <c r="CT38" s="281"/>
      <c r="CU38" s="281"/>
      <c r="CV38" s="281"/>
      <c r="CW38" s="281"/>
      <c r="CX38" s="281"/>
      <c r="CY38" s="281"/>
      <c r="CZ38" s="281"/>
      <c r="DA38" s="281"/>
      <c r="DB38" s="281"/>
      <c r="DC38" s="281"/>
      <c r="DD38" s="281"/>
    </row>
    <row r="39" spans="1:108" ht="11.25" customHeight="1" x14ac:dyDescent="0.2">
      <c r="A39" s="282"/>
      <c r="F39" s="300"/>
      <c r="K39" s="300"/>
      <c r="P39" s="300"/>
      <c r="U39" s="300"/>
      <c r="Z39" s="300"/>
      <c r="AE39" s="300"/>
      <c r="AJ39" s="300"/>
      <c r="AO39" s="300"/>
      <c r="AT39" s="300"/>
      <c r="AY39" s="300"/>
      <c r="BD39" s="300"/>
      <c r="BM39" s="281"/>
      <c r="BN39" s="281"/>
      <c r="BO39" s="281"/>
      <c r="BP39" s="281"/>
      <c r="BQ39" s="281"/>
      <c r="BR39" s="281"/>
      <c r="BS39" s="281"/>
      <c r="BT39" s="281"/>
      <c r="BU39" s="281"/>
      <c r="BV39" s="281"/>
      <c r="BW39" s="281"/>
      <c r="BX39" s="281"/>
      <c r="BY39" s="281"/>
      <c r="BZ39" s="281"/>
      <c r="CA39" s="281"/>
      <c r="CB39" s="281"/>
      <c r="CC39" s="281"/>
      <c r="CD39" s="281"/>
      <c r="CE39" s="281"/>
      <c r="CF39" s="281"/>
      <c r="CG39" s="281"/>
      <c r="CH39" s="281"/>
      <c r="CI39" s="281"/>
      <c r="CJ39" s="281"/>
      <c r="CK39" s="281"/>
      <c r="CL39" s="281"/>
      <c r="CM39" s="281"/>
      <c r="CN39" s="281"/>
      <c r="CO39" s="281"/>
      <c r="CP39" s="281"/>
      <c r="CQ39" s="281"/>
      <c r="CR39" s="281"/>
      <c r="CS39" s="281"/>
      <c r="CT39" s="281"/>
      <c r="CU39" s="281"/>
      <c r="CV39" s="281"/>
      <c r="CW39" s="281"/>
      <c r="CX39" s="281"/>
      <c r="CY39" s="281"/>
      <c r="CZ39" s="281"/>
      <c r="DA39" s="281"/>
      <c r="DB39" s="281"/>
      <c r="DC39" s="281"/>
      <c r="DD39" s="281"/>
    </row>
    <row r="40" spans="1:108" ht="11.25" customHeight="1" x14ac:dyDescent="0.25">
      <c r="A40" s="283"/>
      <c r="F40" s="301"/>
      <c r="K40" s="301"/>
      <c r="P40" s="301"/>
      <c r="U40" s="301"/>
      <c r="Z40" s="301"/>
      <c r="AE40" s="301"/>
      <c r="AJ40" s="301"/>
      <c r="AO40" s="301"/>
      <c r="AT40" s="301"/>
      <c r="AY40" s="301"/>
      <c r="BD40" s="301"/>
      <c r="BM40" s="281"/>
      <c r="BN40" s="281"/>
      <c r="BO40" s="281"/>
      <c r="BP40" s="281"/>
      <c r="BQ40" s="281"/>
      <c r="BR40" s="281"/>
      <c r="BS40" s="281"/>
      <c r="BT40" s="281"/>
      <c r="BU40" s="281"/>
      <c r="BV40" s="281"/>
      <c r="BW40" s="281"/>
      <c r="BX40" s="281"/>
      <c r="BY40" s="281"/>
      <c r="BZ40" s="281"/>
      <c r="CA40" s="281"/>
      <c r="CB40" s="281"/>
      <c r="CC40" s="281"/>
      <c r="CD40" s="281"/>
      <c r="CE40" s="281"/>
      <c r="CF40" s="281"/>
      <c r="CG40" s="281"/>
      <c r="CH40" s="281"/>
      <c r="CI40" s="281"/>
      <c r="CJ40" s="281"/>
      <c r="CK40" s="281"/>
      <c r="CL40" s="281"/>
      <c r="CM40" s="281"/>
      <c r="CN40" s="281"/>
      <c r="CO40" s="281"/>
      <c r="CP40" s="281"/>
      <c r="CQ40" s="281"/>
      <c r="CR40" s="281"/>
      <c r="CS40" s="281"/>
      <c r="CT40" s="281"/>
      <c r="CU40" s="281"/>
      <c r="CV40" s="281"/>
      <c r="CW40" s="281"/>
      <c r="CX40" s="281"/>
      <c r="CY40" s="281"/>
      <c r="CZ40" s="281"/>
      <c r="DA40" s="281"/>
      <c r="DB40" s="281"/>
      <c r="DC40" s="281"/>
      <c r="DD40" s="281"/>
    </row>
    <row r="41" spans="1:108" ht="11.25" customHeight="1" x14ac:dyDescent="0.25">
      <c r="A41" s="283"/>
      <c r="B41" s="284"/>
      <c r="C41" s="284"/>
      <c r="D41" s="284"/>
      <c r="E41" s="284"/>
      <c r="F41" s="300"/>
      <c r="G41" s="284"/>
      <c r="H41" s="284"/>
      <c r="I41" s="284"/>
      <c r="J41" s="284"/>
      <c r="K41" s="300"/>
      <c r="L41" s="284"/>
      <c r="M41" s="284"/>
      <c r="N41" s="284"/>
      <c r="O41" s="284"/>
      <c r="P41" s="300"/>
      <c r="Q41" s="284"/>
      <c r="R41" s="284"/>
      <c r="S41" s="284"/>
      <c r="T41" s="284"/>
      <c r="U41" s="300"/>
      <c r="V41" s="284"/>
      <c r="W41" s="284"/>
      <c r="X41" s="284"/>
      <c r="Y41" s="284"/>
      <c r="Z41" s="300"/>
      <c r="AA41" s="284"/>
      <c r="AB41" s="284"/>
      <c r="AC41" s="284"/>
      <c r="AD41" s="284"/>
      <c r="AE41" s="300"/>
      <c r="AF41" s="284"/>
      <c r="AG41" s="284"/>
      <c r="AH41" s="284"/>
      <c r="AI41" s="284"/>
      <c r="AJ41" s="300"/>
      <c r="AK41" s="284"/>
      <c r="AL41" s="284"/>
      <c r="AM41" s="284"/>
      <c r="AN41" s="284"/>
      <c r="AO41" s="300"/>
      <c r="AP41" s="284"/>
      <c r="AQ41" s="284"/>
      <c r="AR41" s="284"/>
      <c r="AS41" s="284"/>
      <c r="AT41" s="300"/>
      <c r="AU41" s="284"/>
      <c r="AV41" s="284"/>
      <c r="AW41" s="284"/>
      <c r="AX41" s="284"/>
      <c r="AY41" s="300"/>
      <c r="AZ41" s="284"/>
      <c r="BA41" s="284"/>
      <c r="BB41" s="284"/>
      <c r="BC41" s="284"/>
      <c r="BD41" s="300"/>
      <c r="BM41" s="281"/>
      <c r="BN41" s="281"/>
      <c r="BO41" s="281"/>
      <c r="BP41" s="281"/>
      <c r="BQ41" s="281"/>
      <c r="BR41" s="281"/>
      <c r="BS41" s="281"/>
      <c r="BT41" s="281"/>
      <c r="BU41" s="281"/>
      <c r="BV41" s="281"/>
      <c r="BW41" s="281"/>
      <c r="BX41" s="281"/>
      <c r="BY41" s="281"/>
      <c r="BZ41" s="281"/>
      <c r="CA41" s="281"/>
      <c r="CB41" s="281"/>
      <c r="CC41" s="281"/>
      <c r="CD41" s="281"/>
      <c r="CE41" s="281"/>
      <c r="CF41" s="281"/>
      <c r="CG41" s="281"/>
      <c r="CH41" s="281"/>
      <c r="CI41" s="281"/>
      <c r="CJ41" s="281"/>
      <c r="CK41" s="281"/>
      <c r="CL41" s="281"/>
      <c r="CM41" s="281"/>
      <c r="CN41" s="281"/>
      <c r="CO41" s="281"/>
      <c r="CP41" s="281"/>
      <c r="CQ41" s="281"/>
      <c r="CR41" s="281"/>
      <c r="CS41" s="281"/>
      <c r="CT41" s="281"/>
      <c r="CU41" s="281"/>
      <c r="CV41" s="281"/>
      <c r="CW41" s="281"/>
      <c r="CX41" s="281"/>
      <c r="CY41" s="281"/>
      <c r="CZ41" s="281"/>
      <c r="DA41" s="281"/>
      <c r="DB41" s="281"/>
      <c r="DC41" s="281"/>
      <c r="DD41" s="281"/>
    </row>
    <row r="42" spans="1:108" ht="11.25" customHeight="1" x14ac:dyDescent="0.25">
      <c r="A42" s="283"/>
      <c r="B42" s="284"/>
      <c r="C42" s="284"/>
      <c r="D42" s="284"/>
      <c r="E42" s="284"/>
      <c r="F42" s="300"/>
      <c r="G42" s="284"/>
      <c r="H42" s="284"/>
      <c r="I42" s="284"/>
      <c r="J42" s="284"/>
      <c r="K42" s="300"/>
      <c r="L42" s="284"/>
      <c r="M42" s="284"/>
      <c r="N42" s="284"/>
      <c r="O42" s="284"/>
      <c r="P42" s="300"/>
      <c r="Q42" s="284"/>
      <c r="R42" s="284"/>
      <c r="S42" s="284"/>
      <c r="T42" s="284"/>
      <c r="U42" s="300"/>
      <c r="V42" s="284"/>
      <c r="W42" s="284"/>
      <c r="X42" s="284"/>
      <c r="Y42" s="284"/>
      <c r="Z42" s="300"/>
      <c r="AA42" s="284"/>
      <c r="AB42" s="284"/>
      <c r="AC42" s="284"/>
      <c r="AD42" s="284"/>
      <c r="AE42" s="300"/>
      <c r="AF42" s="284"/>
      <c r="AG42" s="284"/>
      <c r="AH42" s="284"/>
      <c r="AI42" s="284"/>
      <c r="AJ42" s="300"/>
      <c r="AK42" s="284"/>
      <c r="AL42" s="284"/>
      <c r="AM42" s="284"/>
      <c r="AN42" s="284"/>
      <c r="AO42" s="300"/>
      <c r="AP42" s="284"/>
      <c r="AQ42" s="284"/>
      <c r="AR42" s="284"/>
      <c r="AS42" s="284"/>
      <c r="AT42" s="300"/>
      <c r="AU42" s="284"/>
      <c r="AV42" s="284"/>
      <c r="AW42" s="284"/>
      <c r="AX42" s="284"/>
      <c r="AY42" s="300"/>
      <c r="AZ42" s="284"/>
      <c r="BA42" s="284"/>
      <c r="BB42" s="284"/>
      <c r="BC42" s="284"/>
      <c r="BD42" s="300"/>
      <c r="BM42" s="281"/>
      <c r="BN42" s="281"/>
      <c r="BO42" s="281"/>
      <c r="BP42" s="281"/>
      <c r="BQ42" s="281"/>
      <c r="BR42" s="281"/>
      <c r="BS42" s="281"/>
      <c r="BT42" s="281"/>
      <c r="BU42" s="281"/>
      <c r="BV42" s="281"/>
      <c r="BW42" s="281"/>
      <c r="BX42" s="281"/>
      <c r="BY42" s="281"/>
      <c r="BZ42" s="281"/>
      <c r="CA42" s="281"/>
      <c r="CB42" s="281"/>
      <c r="CC42" s="281"/>
      <c r="CD42" s="281"/>
      <c r="CE42" s="281"/>
      <c r="CF42" s="281"/>
      <c r="CG42" s="281"/>
      <c r="CH42" s="281"/>
      <c r="CI42" s="281"/>
      <c r="CJ42" s="281"/>
      <c r="CK42" s="281"/>
      <c r="CL42" s="281"/>
      <c r="CM42" s="281"/>
      <c r="CN42" s="281"/>
      <c r="CO42" s="281"/>
      <c r="CP42" s="281"/>
      <c r="CQ42" s="281"/>
      <c r="CR42" s="281"/>
      <c r="CS42" s="281"/>
      <c r="CT42" s="281"/>
      <c r="CU42" s="281"/>
      <c r="CV42" s="281"/>
      <c r="CW42" s="281"/>
      <c r="CX42" s="281"/>
      <c r="CY42" s="281"/>
      <c r="CZ42" s="281"/>
      <c r="DA42" s="281"/>
      <c r="DB42" s="281"/>
      <c r="DC42" s="281"/>
      <c r="DD42" s="281"/>
    </row>
    <row r="43" spans="1:108" ht="11.25" customHeight="1" collapsed="1" x14ac:dyDescent="0.2">
      <c r="A43" s="282"/>
      <c r="F43" s="300"/>
      <c r="K43" s="300"/>
      <c r="P43" s="300"/>
      <c r="U43" s="300"/>
      <c r="Z43" s="300"/>
      <c r="AE43" s="300"/>
      <c r="AJ43" s="300"/>
      <c r="AO43" s="300"/>
      <c r="AT43" s="300"/>
      <c r="AY43" s="300"/>
      <c r="BD43" s="300"/>
    </row>
    <row r="44" spans="1:108" ht="11.25" customHeight="1" x14ac:dyDescent="0.2">
      <c r="A44" s="282"/>
      <c r="F44" s="300"/>
      <c r="K44" s="300"/>
      <c r="P44" s="300"/>
      <c r="U44" s="300"/>
      <c r="Z44" s="300"/>
      <c r="AE44" s="300"/>
      <c r="AJ44" s="300"/>
      <c r="AO44" s="300"/>
      <c r="AT44" s="300"/>
      <c r="AY44" s="300"/>
      <c r="BD44" s="300"/>
    </row>
    <row r="45" spans="1:108" ht="11.25" customHeight="1" x14ac:dyDescent="0.2">
      <c r="A45" s="282"/>
      <c r="F45" s="300"/>
      <c r="K45" s="300"/>
      <c r="P45" s="300"/>
      <c r="U45" s="300"/>
      <c r="Z45" s="300"/>
      <c r="AE45" s="300"/>
      <c r="AJ45" s="300"/>
      <c r="AO45" s="300"/>
      <c r="AT45" s="300"/>
      <c r="AY45" s="300"/>
      <c r="BD45" s="300"/>
    </row>
  </sheetData>
  <pageMargins left="0.7" right="0.7" top="0.75" bottom="0.75" header="0.3" footer="0.3"/>
  <pageSetup orientation="portrait" r:id="rId1"/>
  <headerFooter>
    <oddFooter>&amp;L_x000D_&amp;1#&amp;"Calibri"&amp;9&amp;K000000 Corporativo | Interno</oddFooter>
  </headerFooter>
  <ignoredErrors>
    <ignoredError sqref="A1:XFD1 EB9:XFD9 A16:DB1048576 EB11:XFD11 EB6:XFD6 A3:XFD3 B2:XFD2 EB7:XFD7 EB10:XFD10 EB12:XFD12 EB8:XFD8 EB13:XFD15 EB4:XFD5 EB16:XFD1048576" formula="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78FE-7E2A-465E-A8E7-A43EBED314E6}">
  <sheetPr>
    <tabColor rgb="FFFFFF99"/>
  </sheetPr>
  <dimension ref="A1:DC129"/>
  <sheetViews>
    <sheetView showGridLines="0" zoomScaleNormal="100" workbookViewId="0">
      <pane xSplit="1" ySplit="3" topLeftCell="CB85" activePane="bottomRight" state="frozen"/>
      <selection pane="topRight" activeCell="B1" sqref="B1"/>
      <selection pane="bottomLeft" activeCell="A4" sqref="A4"/>
      <selection pane="bottomRight" activeCell="CF12" sqref="CF12"/>
    </sheetView>
  </sheetViews>
  <sheetFormatPr defaultColWidth="11" defaultRowHeight="11.25" customHeight="1" outlineLevelRow="1" outlineLevelCol="1" x14ac:dyDescent="0.35"/>
  <cols>
    <col min="1" max="1" width="30.7265625" style="7" customWidth="1"/>
    <col min="2" max="5" width="11" style="7" hidden="1" customWidth="1" outlineLevel="1"/>
    <col min="6" max="6" width="0" style="7" hidden="1" customWidth="1" collapsed="1"/>
    <col min="7" max="10" width="11" style="7" hidden="1" customWidth="1" outlineLevel="1"/>
    <col min="11" max="11" width="0" style="7" hidden="1" customWidth="1" collapsed="1"/>
    <col min="12" max="15" width="11" style="7" hidden="1" customWidth="1" outlineLevel="1"/>
    <col min="16" max="16" width="0" style="7" hidden="1" customWidth="1" collapsed="1"/>
    <col min="17" max="20" width="11" style="7" hidden="1" customWidth="1" outlineLevel="1"/>
    <col min="21" max="21" width="0" style="7" hidden="1" customWidth="1" collapsed="1"/>
    <col min="22" max="25" width="11" style="7" hidden="1" customWidth="1" outlineLevel="1"/>
    <col min="26" max="26" width="0" style="7" hidden="1" customWidth="1" collapsed="1"/>
    <col min="27" max="30" width="11" style="7" hidden="1" customWidth="1" outlineLevel="1"/>
    <col min="31" max="31" width="0" style="7" hidden="1" customWidth="1" collapsed="1"/>
    <col min="32" max="35" width="11" style="7" hidden="1" customWidth="1" outlineLevel="1"/>
    <col min="36" max="36" width="0" style="7" hidden="1" customWidth="1" collapsed="1"/>
    <col min="37" max="40" width="11" style="7" hidden="1" customWidth="1" outlineLevel="1"/>
    <col min="41" max="41" width="11" style="7" collapsed="1"/>
    <col min="42" max="45" width="11" style="7" hidden="1" customWidth="1" outlineLevel="1"/>
    <col min="46" max="46" width="11" style="7" collapsed="1"/>
    <col min="47" max="50" width="11" style="7" hidden="1" customWidth="1" outlineLevel="1"/>
    <col min="51" max="51" width="11" style="7" collapsed="1"/>
    <col min="52" max="55" width="11" style="7" hidden="1" customWidth="1" outlineLevel="1"/>
    <col min="56" max="56" width="11" style="7" collapsed="1"/>
    <col min="57" max="60" width="11" style="7" hidden="1" customWidth="1" outlineLevel="1"/>
    <col min="61" max="61" width="11" style="7" collapsed="1"/>
    <col min="62" max="65" width="11" style="7" hidden="1" customWidth="1" outlineLevel="1"/>
    <col min="66" max="66" width="11" style="7" collapsed="1"/>
    <col min="67" max="70" width="11" style="7" hidden="1" customWidth="1" outlineLevel="1"/>
    <col min="71" max="71" width="11" style="7" collapsed="1"/>
    <col min="72" max="75" width="11" style="7" hidden="1" customWidth="1" outlineLevel="1"/>
    <col min="76" max="76" width="11" style="7" collapsed="1"/>
    <col min="77" max="80" width="11" style="7" customWidth="1" outlineLevel="1"/>
    <col min="81" max="81" width="11" style="7"/>
    <col min="82" max="85" width="11" style="7" customWidth="1" outlineLevel="1"/>
    <col min="86" max="86" width="11" style="7" customWidth="1"/>
    <col min="87" max="90" width="11" style="7" customWidth="1" outlineLevel="1"/>
    <col min="91" max="91" width="11" style="7"/>
    <col min="92" max="95" width="11" style="7" customWidth="1" outlineLevel="1"/>
    <col min="96" max="96" width="11" style="7"/>
    <col min="97" max="100" width="11" style="7" hidden="1" customWidth="1" outlineLevel="1"/>
    <col min="101" max="101" width="11" style="7" collapsed="1"/>
    <col min="102" max="105" width="11" style="7" hidden="1" customWidth="1" outlineLevel="1"/>
    <col min="106" max="106" width="11" style="7" collapsed="1"/>
    <col min="107" max="16384" width="11" style="7"/>
  </cols>
  <sheetData>
    <row r="1" spans="1:106" ht="45.75" customHeight="1" x14ac:dyDescent="0.35">
      <c r="F1" s="8"/>
      <c r="K1" s="8"/>
      <c r="P1" s="8"/>
      <c r="U1" s="8"/>
      <c r="Z1" s="8"/>
      <c r="AE1" s="8"/>
      <c r="AJ1" s="8"/>
      <c r="AO1" s="8"/>
      <c r="AT1" s="8"/>
      <c r="AY1" s="8"/>
      <c r="BD1" s="8"/>
      <c r="BI1" s="8"/>
      <c r="BN1" s="8"/>
      <c r="BS1" s="8"/>
      <c r="BX1" s="8"/>
      <c r="BZ1" s="123"/>
      <c r="CA1" s="9"/>
      <c r="CB1" s="9"/>
      <c r="CC1" s="10"/>
      <c r="CD1" s="9"/>
      <c r="CE1" s="9"/>
      <c r="CF1" s="9"/>
      <c r="CG1" s="9"/>
      <c r="CH1" s="8"/>
      <c r="CI1" s="9"/>
      <c r="CJ1" s="9"/>
      <c r="CK1" s="9"/>
      <c r="CL1" s="9"/>
      <c r="CM1" s="8"/>
      <c r="CN1" s="9"/>
      <c r="CO1" s="9"/>
      <c r="CP1" s="9"/>
      <c r="CQ1" s="9"/>
      <c r="CR1" s="8"/>
      <c r="CS1" s="9"/>
      <c r="CT1" s="9"/>
      <c r="CU1" s="9"/>
      <c r="CV1" s="9"/>
      <c r="CW1" s="8"/>
      <c r="CX1" s="9"/>
      <c r="CY1" s="9"/>
      <c r="CZ1" s="9"/>
      <c r="DA1" s="9"/>
      <c r="DB1" s="8"/>
    </row>
    <row r="2" spans="1:106" ht="11.25" customHeight="1" x14ac:dyDescent="0.35">
      <c r="A2" s="11" t="str">
        <f ca="1">Valuation!$A$2</f>
        <v>CURY3 | TP R$44/sh</v>
      </c>
      <c r="B2" s="12"/>
      <c r="C2" s="12"/>
      <c r="D2" s="12"/>
      <c r="E2" s="12"/>
      <c r="F2" s="39"/>
      <c r="G2" s="12"/>
      <c r="H2" s="12"/>
      <c r="I2" s="12"/>
      <c r="J2" s="12"/>
      <c r="K2" s="39"/>
      <c r="L2" s="12"/>
      <c r="M2" s="12"/>
      <c r="N2" s="12"/>
      <c r="O2" s="12"/>
      <c r="P2" s="39"/>
      <c r="Q2" s="12"/>
      <c r="R2" s="12"/>
      <c r="S2" s="12"/>
      <c r="T2" s="12"/>
      <c r="U2" s="39"/>
      <c r="V2" s="12"/>
      <c r="W2" s="12"/>
      <c r="X2" s="12"/>
      <c r="Y2" s="12"/>
      <c r="Z2" s="39"/>
      <c r="AA2" s="12"/>
      <c r="AB2" s="12"/>
      <c r="AC2" s="12"/>
      <c r="AD2" s="12"/>
      <c r="AE2" s="39"/>
      <c r="AF2" s="12"/>
      <c r="AG2" s="12"/>
      <c r="AH2" s="12"/>
      <c r="AI2" s="12"/>
      <c r="AJ2" s="39"/>
      <c r="AK2" s="12"/>
      <c r="AL2" s="12"/>
      <c r="AM2" s="12"/>
      <c r="AN2" s="12"/>
      <c r="AO2" s="39"/>
      <c r="AP2" s="12"/>
      <c r="AQ2" s="12"/>
      <c r="AR2" s="12"/>
      <c r="AS2" s="12"/>
      <c r="AT2" s="39"/>
      <c r="AU2" s="12"/>
      <c r="AV2" s="12"/>
      <c r="AW2" s="12"/>
      <c r="AX2" s="12"/>
      <c r="AY2" s="39"/>
      <c r="AZ2" s="12"/>
      <c r="BA2" s="12"/>
      <c r="BB2" s="12"/>
      <c r="BC2" s="12"/>
      <c r="BD2" s="39"/>
      <c r="BE2" s="12"/>
      <c r="BF2" s="12"/>
      <c r="BG2" s="12"/>
      <c r="BH2" s="12"/>
      <c r="BI2" s="39"/>
      <c r="BJ2" s="12"/>
      <c r="BK2" s="12"/>
      <c r="BL2" s="12"/>
      <c r="BM2" s="12"/>
      <c r="BN2" s="39"/>
      <c r="BO2" s="12"/>
      <c r="BP2" s="12"/>
      <c r="BQ2" s="12"/>
      <c r="BR2" s="12"/>
      <c r="BS2" s="39"/>
      <c r="BT2" s="12"/>
      <c r="BU2" s="12"/>
      <c r="BV2" s="12"/>
      <c r="BW2" s="12"/>
      <c r="BX2" s="13"/>
      <c r="BY2" s="12"/>
      <c r="BZ2" s="12"/>
      <c r="CA2" s="12"/>
      <c r="CB2" s="12"/>
      <c r="CC2" s="604"/>
      <c r="CD2" s="14"/>
      <c r="CE2" s="310"/>
      <c r="CF2" s="310"/>
      <c r="CG2" s="14"/>
      <c r="CH2" s="604"/>
      <c r="CI2" s="14"/>
      <c r="CJ2" s="14"/>
      <c r="CK2" s="14"/>
      <c r="CL2" s="14"/>
      <c r="CM2" s="604"/>
      <c r="CN2" s="14"/>
      <c r="CO2" s="14"/>
      <c r="CP2" s="14"/>
      <c r="CQ2" s="14"/>
      <c r="CR2" s="13"/>
      <c r="CS2" s="14"/>
      <c r="CT2" s="14"/>
      <c r="CU2" s="14"/>
      <c r="CV2" s="14"/>
      <c r="CW2" s="13"/>
      <c r="CX2" s="14"/>
      <c r="CY2" s="14"/>
      <c r="CZ2" s="14"/>
      <c r="DA2" s="14"/>
      <c r="DB2" s="13"/>
    </row>
    <row r="3" spans="1:106" s="15" customFormat="1" ht="11.25" customHeight="1" thickBot="1" x14ac:dyDescent="0.4">
      <c r="A3" s="119" t="s">
        <v>53</v>
      </c>
      <c r="B3" s="124" t="str">
        <f>Macro!B$3</f>
        <v>1Q10</v>
      </c>
      <c r="C3" s="124" t="str">
        <f>Macro!C$3</f>
        <v>2Q10</v>
      </c>
      <c r="D3" s="124" t="str">
        <f>Macro!D$3</f>
        <v>3Q10</v>
      </c>
      <c r="E3" s="125" t="str">
        <f>Macro!E$3</f>
        <v>4Q10</v>
      </c>
      <c r="F3" s="126" t="str">
        <f>Macro!F$3</f>
        <v>2010</v>
      </c>
      <c r="G3" s="124" t="str">
        <f>Macro!G$3</f>
        <v>1Q11</v>
      </c>
      <c r="H3" s="124" t="str">
        <f>Macro!H$3</f>
        <v>2Q11</v>
      </c>
      <c r="I3" s="124" t="str">
        <f>Macro!I$3</f>
        <v>3Q11</v>
      </c>
      <c r="J3" s="125" t="str">
        <f>Macro!J$3</f>
        <v>4Q11</v>
      </c>
      <c r="K3" s="126" t="str">
        <f>Macro!K$3</f>
        <v>2011</v>
      </c>
      <c r="L3" s="124" t="str">
        <f>Macro!L$3</f>
        <v>1Q12</v>
      </c>
      <c r="M3" s="124" t="str">
        <f>Macro!M$3</f>
        <v>2Q12</v>
      </c>
      <c r="N3" s="124" t="str">
        <f>Macro!N$3</f>
        <v>3Q12</v>
      </c>
      <c r="O3" s="125" t="str">
        <f>Macro!O$3</f>
        <v>4Q12</v>
      </c>
      <c r="P3" s="126" t="str">
        <f>Macro!P$3</f>
        <v>2012</v>
      </c>
      <c r="Q3" s="124" t="str">
        <f>Macro!Q$3</f>
        <v>1Q13</v>
      </c>
      <c r="R3" s="124" t="str">
        <f>Macro!R$3</f>
        <v>2Q13</v>
      </c>
      <c r="S3" s="124" t="str">
        <f>Macro!S$3</f>
        <v>3Q13</v>
      </c>
      <c r="T3" s="125" t="str">
        <f>Macro!T$3</f>
        <v>4Q13</v>
      </c>
      <c r="U3" s="126" t="str">
        <f>Macro!U$3</f>
        <v>2013</v>
      </c>
      <c r="V3" s="124" t="str">
        <f>Macro!V$3</f>
        <v>1Q14</v>
      </c>
      <c r="W3" s="124" t="str">
        <f>Macro!W$3</f>
        <v>2Q14</v>
      </c>
      <c r="X3" s="124" t="str">
        <f>Macro!X$3</f>
        <v>3Q14</v>
      </c>
      <c r="Y3" s="125" t="str">
        <f>Macro!Y$3</f>
        <v>4Q14</v>
      </c>
      <c r="Z3" s="126" t="str">
        <f>Macro!Z$3</f>
        <v>2014</v>
      </c>
      <c r="AA3" s="124" t="str">
        <f>Macro!AA$3</f>
        <v>1Q15</v>
      </c>
      <c r="AB3" s="124" t="str">
        <f>Macro!AB$3</f>
        <v>2Q15</v>
      </c>
      <c r="AC3" s="124" t="str">
        <f>Macro!AC$3</f>
        <v>3Q15</v>
      </c>
      <c r="AD3" s="125" t="str">
        <f>Macro!AD$3</f>
        <v>4Q15</v>
      </c>
      <c r="AE3" s="126" t="str">
        <f>Macro!AE$3</f>
        <v>2015</v>
      </c>
      <c r="AF3" s="124" t="str">
        <f>Macro!AF$3</f>
        <v>1Q16</v>
      </c>
      <c r="AG3" s="124" t="str">
        <f>Macro!AG$3</f>
        <v>2Q16</v>
      </c>
      <c r="AH3" s="124" t="str">
        <f>Macro!AH$3</f>
        <v>3Q16</v>
      </c>
      <c r="AI3" s="125" t="str">
        <f>Macro!AI$3</f>
        <v>4Q16</v>
      </c>
      <c r="AJ3" s="126" t="str">
        <f>Macro!AJ$3</f>
        <v>2016</v>
      </c>
      <c r="AK3" s="124" t="str">
        <f>Macro!AK$3</f>
        <v>1Q17</v>
      </c>
      <c r="AL3" s="124" t="str">
        <f>Macro!AL$3</f>
        <v>2Q17</v>
      </c>
      <c r="AM3" s="124" t="str">
        <f>Macro!AM$3</f>
        <v>3Q17</v>
      </c>
      <c r="AN3" s="125" t="str">
        <f>Macro!AN$3</f>
        <v>4Q17</v>
      </c>
      <c r="AO3" s="126" t="str">
        <f>Macro!AO$3</f>
        <v>2017</v>
      </c>
      <c r="AP3" s="124" t="str">
        <f>Macro!AP$3</f>
        <v>1Q18</v>
      </c>
      <c r="AQ3" s="124" t="str">
        <f>Macro!AQ$3</f>
        <v>2Q18</v>
      </c>
      <c r="AR3" s="124" t="str">
        <f>Macro!AR$3</f>
        <v>3Q18</v>
      </c>
      <c r="AS3" s="125" t="str">
        <f>Macro!AS$3</f>
        <v>4Q18</v>
      </c>
      <c r="AT3" s="126" t="str">
        <f>Macro!AT$3</f>
        <v>2018</v>
      </c>
      <c r="AU3" s="124" t="str">
        <f>Macro!AU$3</f>
        <v>1Q19</v>
      </c>
      <c r="AV3" s="124" t="str">
        <f>Macro!AV$3</f>
        <v>2Q19</v>
      </c>
      <c r="AW3" s="124" t="str">
        <f>Macro!AW$3</f>
        <v>3Q19</v>
      </c>
      <c r="AX3" s="125" t="str">
        <f>Macro!AX$3</f>
        <v>4Q19</v>
      </c>
      <c r="AY3" s="126" t="str">
        <f>Macro!AY$3</f>
        <v>2019</v>
      </c>
      <c r="AZ3" s="124" t="str">
        <f>Macro!AZ$3</f>
        <v>1Q20</v>
      </c>
      <c r="BA3" s="124" t="str">
        <f>Macro!BA$3</f>
        <v>2Q20</v>
      </c>
      <c r="BB3" s="124" t="str">
        <f>Macro!BB$3</f>
        <v>3Q20</v>
      </c>
      <c r="BC3" s="125" t="str">
        <f>Macro!BC$3</f>
        <v>4Q20</v>
      </c>
      <c r="BD3" s="126" t="str">
        <f>Macro!BD$3</f>
        <v>2020</v>
      </c>
      <c r="BE3" s="124" t="str">
        <f>Macro!BE$3</f>
        <v>1Q21</v>
      </c>
      <c r="BF3" s="124" t="str">
        <f>Macro!BF$3</f>
        <v>2Q21</v>
      </c>
      <c r="BG3" s="124" t="str">
        <f>Macro!BG$3</f>
        <v>3Q21</v>
      </c>
      <c r="BH3" s="125" t="str">
        <f>Macro!BH$3</f>
        <v>4Q21</v>
      </c>
      <c r="BI3" s="126" t="str">
        <f>Macro!BI$3</f>
        <v>2021</v>
      </c>
      <c r="BJ3" s="124" t="str">
        <f>Macro!BJ$3</f>
        <v>1Q22</v>
      </c>
      <c r="BK3" s="124" t="str">
        <f>Macro!BK$3</f>
        <v>2Q22</v>
      </c>
      <c r="BL3" s="124" t="str">
        <f>Macro!BL$3</f>
        <v>3Q22</v>
      </c>
      <c r="BM3" s="125" t="str">
        <f>Macro!BM$3</f>
        <v>4Q22</v>
      </c>
      <c r="BN3" s="126" t="str">
        <f>Macro!BN$3</f>
        <v>2022</v>
      </c>
      <c r="BO3" s="124" t="str">
        <f>Macro!BO$3</f>
        <v>1Q23</v>
      </c>
      <c r="BP3" s="124" t="str">
        <f>Macro!BP$3</f>
        <v>2Q23</v>
      </c>
      <c r="BQ3" s="124" t="str">
        <f>Macro!BQ$3</f>
        <v>3Q23</v>
      </c>
      <c r="BR3" s="125" t="str">
        <f>Macro!BR$3</f>
        <v>4Q23</v>
      </c>
      <c r="BS3" s="126" t="str">
        <f>Macro!BS$3</f>
        <v>2023</v>
      </c>
      <c r="BT3" s="124" t="str">
        <f>Macro!BT$3</f>
        <v>1Q24</v>
      </c>
      <c r="BU3" s="124" t="str">
        <f>Macro!BU$3</f>
        <v>2Q24</v>
      </c>
      <c r="BV3" s="124" t="str">
        <f>Macro!BV$3</f>
        <v>3Q24</v>
      </c>
      <c r="BW3" s="125" t="str">
        <f>Macro!BW$3</f>
        <v>4Q24</v>
      </c>
      <c r="BX3" s="126" t="str">
        <f>Macro!BX$3</f>
        <v>2024</v>
      </c>
      <c r="BY3" s="124" t="str">
        <f>Macro!BY$3</f>
        <v>1Q25</v>
      </c>
      <c r="BZ3" s="124" t="str">
        <f>Macro!BZ$3</f>
        <v>2Q25</v>
      </c>
      <c r="CA3" s="120" t="str">
        <f>Macro!CA$3</f>
        <v>3Q25</v>
      </c>
      <c r="CB3" s="120" t="str">
        <f>Macro!CB$3</f>
        <v>4Q25</v>
      </c>
      <c r="CC3" s="121" t="str">
        <f>Macro!CC$3</f>
        <v>2025</v>
      </c>
      <c r="CD3" s="120" t="str">
        <f>Macro!CD$3</f>
        <v>1Q26</v>
      </c>
      <c r="CE3" s="120" t="str">
        <f>Macro!CE$3</f>
        <v>2Q26E</v>
      </c>
      <c r="CF3" s="120" t="str">
        <f>Macro!CF$3</f>
        <v>3Q26E</v>
      </c>
      <c r="CG3" s="120" t="str">
        <f>Macro!CG$3</f>
        <v>4Q26E</v>
      </c>
      <c r="CH3" s="121" t="str">
        <f>Macro!CH$3</f>
        <v>2026E</v>
      </c>
      <c r="CI3" s="120" t="str">
        <f>Macro!CI$3</f>
        <v>1Q27E</v>
      </c>
      <c r="CJ3" s="120" t="str">
        <f>Macro!CJ$3</f>
        <v>2Q27E</v>
      </c>
      <c r="CK3" s="120" t="str">
        <f>Macro!CK$3</f>
        <v>3Q27E</v>
      </c>
      <c r="CL3" s="120" t="str">
        <f>Macro!CL$3</f>
        <v>4Q27E</v>
      </c>
      <c r="CM3" s="121" t="str">
        <f>Macro!CM$3</f>
        <v>2027E</v>
      </c>
      <c r="CN3" s="120" t="str">
        <f>Macro!CN$3</f>
        <v>1Q28E</v>
      </c>
      <c r="CO3" s="120" t="str">
        <f>Macro!CO$3</f>
        <v>2Q28E</v>
      </c>
      <c r="CP3" s="120" t="str">
        <f>Macro!CP$3</f>
        <v>3Q28E</v>
      </c>
      <c r="CQ3" s="120" t="str">
        <f>Macro!CQ$3</f>
        <v>4Q28E</v>
      </c>
      <c r="CR3" s="121" t="str">
        <f>Macro!CR$3</f>
        <v>2028E</v>
      </c>
      <c r="CS3" s="120" t="str">
        <f>Macro!CS$3</f>
        <v>1Q29E</v>
      </c>
      <c r="CT3" s="120" t="str">
        <f>Macro!CT$3</f>
        <v>2Q29E</v>
      </c>
      <c r="CU3" s="120" t="str">
        <f>Macro!CU$3</f>
        <v>3Q29E</v>
      </c>
      <c r="CV3" s="120" t="str">
        <f>Macro!CV$3</f>
        <v>4Q29E</v>
      </c>
      <c r="CW3" s="121" t="str">
        <f>Macro!CW$3</f>
        <v>2029E</v>
      </c>
      <c r="CX3" s="120" t="str">
        <f>Macro!CX$3</f>
        <v>1Q30E</v>
      </c>
      <c r="CY3" s="120" t="str">
        <f>Macro!CY$3</f>
        <v>2Q30E</v>
      </c>
      <c r="CZ3" s="120" t="str">
        <f>Macro!CZ$3</f>
        <v>3Q30E</v>
      </c>
      <c r="DA3" s="120" t="str">
        <f>Macro!DA$3</f>
        <v>4Q30E</v>
      </c>
      <c r="DB3" s="121" t="str">
        <f>Macro!DB$3</f>
        <v>2030E</v>
      </c>
    </row>
    <row r="4" spans="1:106" ht="11.25" customHeight="1" thickTop="1" x14ac:dyDescent="0.35">
      <c r="A4" s="127" t="s">
        <v>49</v>
      </c>
      <c r="B4" s="17">
        <f t="shared" ref="B4:E4" si="0">B5+B6</f>
        <v>0</v>
      </c>
      <c r="C4" s="17">
        <f t="shared" si="0"/>
        <v>0</v>
      </c>
      <c r="D4" s="17">
        <f t="shared" si="0"/>
        <v>0</v>
      </c>
      <c r="E4" s="17">
        <f t="shared" si="0"/>
        <v>0</v>
      </c>
      <c r="F4" s="18">
        <f t="shared" ref="F4:F7" si="1">SUM(B4:E4)</f>
        <v>0</v>
      </c>
      <c r="G4" s="17">
        <f t="shared" ref="G4:J4" si="2">G5+G6</f>
        <v>0</v>
      </c>
      <c r="H4" s="17">
        <f t="shared" si="2"/>
        <v>0</v>
      </c>
      <c r="I4" s="17">
        <f t="shared" si="2"/>
        <v>0</v>
      </c>
      <c r="J4" s="17">
        <f t="shared" si="2"/>
        <v>0</v>
      </c>
      <c r="K4" s="18">
        <f t="shared" ref="K4:K7" si="3">SUM(G4:J4)</f>
        <v>0</v>
      </c>
      <c r="L4" s="17">
        <f t="shared" ref="L4:O4" si="4">L5+L6</f>
        <v>0</v>
      </c>
      <c r="M4" s="17">
        <f t="shared" si="4"/>
        <v>0</v>
      </c>
      <c r="N4" s="17">
        <f t="shared" si="4"/>
        <v>0</v>
      </c>
      <c r="O4" s="17">
        <f t="shared" si="4"/>
        <v>0</v>
      </c>
      <c r="P4" s="18">
        <f t="shared" ref="P4:P7" si="5">SUM(L4:O4)</f>
        <v>0</v>
      </c>
      <c r="Q4" s="17">
        <f t="shared" ref="Q4:T4" si="6">Q5+Q6</f>
        <v>0</v>
      </c>
      <c r="R4" s="17">
        <f t="shared" si="6"/>
        <v>0</v>
      </c>
      <c r="S4" s="17">
        <f t="shared" si="6"/>
        <v>0</v>
      </c>
      <c r="T4" s="17">
        <f t="shared" si="6"/>
        <v>0</v>
      </c>
      <c r="U4" s="18">
        <f t="shared" ref="U4:U7" si="7">SUM(Q4:T4)</f>
        <v>0</v>
      </c>
      <c r="V4" s="17">
        <f t="shared" ref="V4:Y4" si="8">V5+V6</f>
        <v>0</v>
      </c>
      <c r="W4" s="17">
        <f t="shared" si="8"/>
        <v>0</v>
      </c>
      <c r="X4" s="17">
        <f t="shared" si="8"/>
        <v>0</v>
      </c>
      <c r="Y4" s="17">
        <f t="shared" si="8"/>
        <v>0</v>
      </c>
      <c r="Z4" s="18">
        <f t="shared" ref="Z4:Z7" si="9">SUM(V4:Y4)</f>
        <v>0</v>
      </c>
      <c r="AA4" s="17">
        <f t="shared" ref="AA4:AD4" si="10">AA5+AA6</f>
        <v>0</v>
      </c>
      <c r="AB4" s="17">
        <f t="shared" si="10"/>
        <v>0</v>
      </c>
      <c r="AC4" s="17">
        <f t="shared" si="10"/>
        <v>0</v>
      </c>
      <c r="AD4" s="17">
        <f t="shared" si="10"/>
        <v>0</v>
      </c>
      <c r="AE4" s="18">
        <f t="shared" ref="AE4:AE7" si="11">SUM(AA4:AD4)</f>
        <v>0</v>
      </c>
      <c r="AF4" s="17">
        <f>AF5+AF6</f>
        <v>0</v>
      </c>
      <c r="AG4" s="17">
        <f>AG5+AG6</f>
        <v>0</v>
      </c>
      <c r="AH4" s="17">
        <f>AH5+AH6</f>
        <v>0</v>
      </c>
      <c r="AI4" s="17">
        <f>AI5+AI6</f>
        <v>0</v>
      </c>
      <c r="AJ4" s="18">
        <f>SUM(AF4:AI4)</f>
        <v>0</v>
      </c>
      <c r="AK4" s="17">
        <f>AK5+AK6</f>
        <v>169820.75163398695</v>
      </c>
      <c r="AL4" s="17">
        <f>AL5+AL6</f>
        <v>212580.53513071898</v>
      </c>
      <c r="AM4" s="17">
        <f>AM5+AM6</f>
        <v>221445.96915849674</v>
      </c>
      <c r="AN4" s="17">
        <f>AN5+AN6</f>
        <v>227836.26429738564</v>
      </c>
      <c r="AO4" s="18">
        <f>SUM(AK4:AN4)</f>
        <v>831683.52022058819</v>
      </c>
      <c r="AP4" s="17">
        <f>AP5+AP6</f>
        <v>151518.37622549021</v>
      </c>
      <c r="AQ4" s="17">
        <f>AQ5+AQ6</f>
        <v>236895.7056781046</v>
      </c>
      <c r="AR4" s="17">
        <f>AR5+AR6</f>
        <v>268901.91278594773</v>
      </c>
      <c r="AS4" s="17">
        <f>AS5+AS6</f>
        <v>282485.36968954251</v>
      </c>
      <c r="AT4" s="18">
        <f>SUM(AP4:AS4)</f>
        <v>939801.36437908513</v>
      </c>
      <c r="AU4" s="17">
        <f>AU5+AU6</f>
        <v>193287</v>
      </c>
      <c r="AV4" s="17">
        <f>AV5+AV6</f>
        <v>273610</v>
      </c>
      <c r="AW4" s="17">
        <f>AW5+AW6</f>
        <v>268175</v>
      </c>
      <c r="AX4" s="17">
        <f>AX5+AX6</f>
        <v>308715</v>
      </c>
      <c r="AY4" s="18">
        <f>SUM(AU4:AX4)</f>
        <v>1043787</v>
      </c>
      <c r="AZ4" s="17">
        <f>AZ5+AZ6</f>
        <v>233098</v>
      </c>
      <c r="BA4" s="17">
        <f>BA5+BA6</f>
        <v>252454</v>
      </c>
      <c r="BB4" s="17">
        <f>BB5+BB6</f>
        <v>334505</v>
      </c>
      <c r="BC4" s="17">
        <f>BC5+BC6</f>
        <v>353014</v>
      </c>
      <c r="BD4" s="18">
        <f>SUM(AZ4:BC4)</f>
        <v>1173071</v>
      </c>
      <c r="BE4" s="17">
        <f>BE5+BE6</f>
        <v>346976</v>
      </c>
      <c r="BF4" s="17">
        <f>BF5+BF6</f>
        <v>462074</v>
      </c>
      <c r="BG4" s="17">
        <f>BG5+BG6</f>
        <v>466696</v>
      </c>
      <c r="BH4" s="17">
        <f>BH5+BH6</f>
        <v>502424</v>
      </c>
      <c r="BI4" s="18">
        <f>SUM(BE4:BH4)</f>
        <v>1778170</v>
      </c>
      <c r="BJ4" s="17">
        <f>BJ5+BJ6</f>
        <v>458170</v>
      </c>
      <c r="BK4" s="17">
        <f>BK5+BK6</f>
        <v>616407</v>
      </c>
      <c r="BL4" s="17">
        <f>BL5+BL6</f>
        <v>640437</v>
      </c>
      <c r="BM4" s="17">
        <f>BM5+BM6</f>
        <v>593421</v>
      </c>
      <c r="BN4" s="18">
        <f>SUM(BJ4:BM4)</f>
        <v>2308435</v>
      </c>
      <c r="BO4" s="17">
        <f>BO5+BO6</f>
        <v>607423</v>
      </c>
      <c r="BP4" s="17">
        <f>BP5+BP6</f>
        <v>743352</v>
      </c>
      <c r="BQ4" s="17">
        <f>BQ5+BQ6</f>
        <v>768155</v>
      </c>
      <c r="BR4" s="17">
        <f>BR5+BR6</f>
        <v>829075</v>
      </c>
      <c r="BS4" s="18">
        <f>SUM(BO4:BR4)</f>
        <v>2948005</v>
      </c>
      <c r="BT4" s="17">
        <f>BT5+BT6</f>
        <v>854925</v>
      </c>
      <c r="BU4" s="17">
        <f>BU5+BU6</f>
        <v>1017876</v>
      </c>
      <c r="BV4" s="17">
        <f>BV5+BV6</f>
        <v>1078346</v>
      </c>
      <c r="BW4" s="17">
        <f>BW5+BW6</f>
        <v>1056476</v>
      </c>
      <c r="BX4" s="18">
        <f>SUM(BT4:BW4)</f>
        <v>4007623</v>
      </c>
      <c r="BY4" s="17">
        <f>BY5+BY6</f>
        <v>1244407</v>
      </c>
      <c r="BZ4" s="17">
        <f>BZ5+BZ6</f>
        <v>1375487</v>
      </c>
      <c r="CA4" s="17">
        <f>CA5+CA6</f>
        <v>1449421</v>
      </c>
      <c r="CB4" s="17">
        <f>CB5+CB6</f>
        <v>1453820</v>
      </c>
      <c r="CC4" s="18">
        <f>SUM(BY4:CB4)</f>
        <v>5523135</v>
      </c>
      <c r="CD4" s="17">
        <f>CD5+CD6</f>
        <v>1644474</v>
      </c>
      <c r="CE4" s="17">
        <f>CE5+CE6</f>
        <v>1725754</v>
      </c>
      <c r="CF4" s="17">
        <f>CF5+CF6</f>
        <v>1788351.1089617391</v>
      </c>
      <c r="CG4" s="17">
        <f>CG5+CG6</f>
        <v>1817747.0072744717</v>
      </c>
      <c r="CH4" s="18">
        <f>SUM(CD4:CG4)</f>
        <v>6976326.1162362099</v>
      </c>
      <c r="CI4" s="17">
        <f>CI5+CI6</f>
        <v>1922523.2961328176</v>
      </c>
      <c r="CJ4" s="17">
        <f>CJ5+CJ6</f>
        <v>2187740.6440432379</v>
      </c>
      <c r="CK4" s="17">
        <f>CK5+CK6</f>
        <v>2212729.7019526344</v>
      </c>
      <c r="CL4" s="17">
        <f>CL5+CL6</f>
        <v>2102030.0961548663</v>
      </c>
      <c r="CM4" s="18">
        <f>SUM(CI4:CL4)</f>
        <v>8425023.738283556</v>
      </c>
      <c r="CN4" s="17">
        <f>CN5+CN6</f>
        <v>2209158.716629629</v>
      </c>
      <c r="CO4" s="17">
        <f>CO5+CO6</f>
        <v>2383613.7097142115</v>
      </c>
      <c r="CP4" s="17">
        <f>CP5+CP6</f>
        <v>2406821.1042399765</v>
      </c>
      <c r="CQ4" s="17">
        <f>CQ5+CQ6</f>
        <v>2350310.3353731218</v>
      </c>
      <c r="CR4" s="18">
        <f>SUM(CN4:CQ4)</f>
        <v>9349903.8659569398</v>
      </c>
      <c r="CS4" s="17">
        <f>CS5+CS6</f>
        <v>2431933.3829910951</v>
      </c>
      <c r="CT4" s="17">
        <f>CT5+CT6</f>
        <v>2590266.8645368367</v>
      </c>
      <c r="CU4" s="17">
        <f>CU5+CU6</f>
        <v>2596876.5546391727</v>
      </c>
      <c r="CV4" s="17">
        <f>CV5+CV6</f>
        <v>2524426.6607515444</v>
      </c>
      <c r="CW4" s="18">
        <f>SUM(CS4:CV4)</f>
        <v>10143503.462918648</v>
      </c>
      <c r="CX4" s="17">
        <f>CX5+CX6</f>
        <v>2598266.1782501396</v>
      </c>
      <c r="CY4" s="17">
        <f>CY5+CY6</f>
        <v>2753812.4611294074</v>
      </c>
      <c r="CZ4" s="17">
        <f>CZ5+CZ6</f>
        <v>2753116.3178960858</v>
      </c>
      <c r="DA4" s="17">
        <f>DA5+DA6</f>
        <v>2671374.3223930351</v>
      </c>
      <c r="DB4" s="18">
        <f>SUM(CX4:DA4)</f>
        <v>10776569.279668668</v>
      </c>
    </row>
    <row r="5" spans="1:106" ht="11.25" customHeight="1" x14ac:dyDescent="0.35">
      <c r="A5" s="149" t="s">
        <v>48</v>
      </c>
      <c r="B5" s="27"/>
      <c r="C5" s="27"/>
      <c r="D5" s="27"/>
      <c r="E5" s="27"/>
      <c r="F5" s="20">
        <f t="shared" si="1"/>
        <v>0</v>
      </c>
      <c r="G5" s="403"/>
      <c r="H5" s="403"/>
      <c r="I5" s="403"/>
      <c r="J5" s="403"/>
      <c r="K5" s="20">
        <f t="shared" si="3"/>
        <v>0</v>
      </c>
      <c r="L5" s="403"/>
      <c r="M5" s="403"/>
      <c r="N5" s="403"/>
      <c r="O5" s="403"/>
      <c r="P5" s="20">
        <f t="shared" si="5"/>
        <v>0</v>
      </c>
      <c r="Q5" s="403"/>
      <c r="R5" s="403"/>
      <c r="S5" s="403"/>
      <c r="T5" s="403"/>
      <c r="U5" s="20">
        <f t="shared" si="7"/>
        <v>0</v>
      </c>
      <c r="V5" s="403"/>
      <c r="W5" s="403"/>
      <c r="X5" s="403"/>
      <c r="Y5" s="403"/>
      <c r="Z5" s="20">
        <f t="shared" si="9"/>
        <v>0</v>
      </c>
      <c r="AA5" s="403"/>
      <c r="AB5" s="403"/>
      <c r="AC5" s="403"/>
      <c r="AD5" s="403"/>
      <c r="AE5" s="20">
        <f t="shared" si="11"/>
        <v>0</v>
      </c>
      <c r="AF5" s="403"/>
      <c r="AG5" s="403"/>
      <c r="AH5" s="403"/>
      <c r="AI5" s="403"/>
      <c r="AJ5" s="20">
        <f>SUM(AF5:AI5)</f>
        <v>0</v>
      </c>
      <c r="AK5" s="403">
        <f t="shared" ref="AK5:AN5" si="12">AK9/(1-AK8)</f>
        <v>169820.75163398695</v>
      </c>
      <c r="AL5" s="403">
        <f t="shared" si="12"/>
        <v>212580.53513071898</v>
      </c>
      <c r="AM5" s="403">
        <f t="shared" si="12"/>
        <v>221445.96915849674</v>
      </c>
      <c r="AN5" s="403">
        <f t="shared" si="12"/>
        <v>227836.26429738564</v>
      </c>
      <c r="AO5" s="20">
        <f>SUM(AK5:AN5)</f>
        <v>831683.52022058819</v>
      </c>
      <c r="AP5" s="403">
        <f t="shared" ref="AP5:AR5" si="13">AP9/(1-AP8)</f>
        <v>151518.37622549021</v>
      </c>
      <c r="AQ5" s="403">
        <f t="shared" si="13"/>
        <v>236895.7056781046</v>
      </c>
      <c r="AR5" s="403">
        <f t="shared" si="13"/>
        <v>268901.91278594773</v>
      </c>
      <c r="AS5" s="403">
        <f>AS9/(1-AS8)</f>
        <v>282485.36968954251</v>
      </c>
      <c r="AT5" s="20">
        <f>SUM(AP5:AS5)</f>
        <v>939801.36437908513</v>
      </c>
      <c r="AU5" s="403">
        <f>193732-2076</f>
        <v>191656</v>
      </c>
      <c r="AV5" s="403">
        <f>248291-3205</f>
        <v>245086</v>
      </c>
      <c r="AW5" s="403">
        <f>268629-1695</f>
        <v>266934</v>
      </c>
      <c r="AX5" s="403">
        <f>1063367-24443-8342+100-SUM(AU5:AW5)</f>
        <v>327006</v>
      </c>
      <c r="AY5" s="20">
        <f t="shared" ref="AY5" si="14">SUM(AU5:AX5)</f>
        <v>1030682</v>
      </c>
      <c r="AZ5" s="403">
        <f>234242-1985</f>
        <v>232257</v>
      </c>
      <c r="BA5" s="403">
        <f>263860-11578-507</f>
        <v>251775</v>
      </c>
      <c r="BB5" s="403">
        <f>830029-8974-3617-SUM(AZ5:BA5)</f>
        <v>333406</v>
      </c>
      <c r="BC5" s="403">
        <f>1183813-16767-4243-SUM(AZ5:BB5)</f>
        <v>345365</v>
      </c>
      <c r="BD5" s="20">
        <f t="shared" ref="BD5" si="15">SUM(AZ5:BC5)</f>
        <v>1162803</v>
      </c>
      <c r="BE5" s="403">
        <f>348556-1130-1564</f>
        <v>345862</v>
      </c>
      <c r="BF5" s="403">
        <f>467360-4492-2158</f>
        <v>460710</v>
      </c>
      <c r="BG5" s="403">
        <f>1290410-12155-6059-SUM(BE5:BF5)</f>
        <v>465624</v>
      </c>
      <c r="BH5" s="403">
        <f>1795292-13083-8289-SUM(BE5:BG5)</f>
        <v>501724</v>
      </c>
      <c r="BI5" s="20">
        <f t="shared" ref="BI5" si="16">SUM(BE5:BH5)</f>
        <v>1773920</v>
      </c>
      <c r="BJ5" s="403">
        <f>459417-740-1572</f>
        <v>457105</v>
      </c>
      <c r="BK5" s="403">
        <f>619527-4298-578</f>
        <v>614651</v>
      </c>
      <c r="BL5" s="403">
        <f>1720898-8316-1765-SUM(BJ5:BK5)</f>
        <v>639061</v>
      </c>
      <c r="BM5" s="403">
        <f>2318165-11358-3745-SUM(BJ5:BL5)</f>
        <v>592245</v>
      </c>
      <c r="BN5" s="20">
        <f t="shared" ref="BN5" si="17">SUM(BJ5:BM5)</f>
        <v>2303062</v>
      </c>
      <c r="BO5" s="403">
        <f>608998-1086-2065</f>
        <v>605847</v>
      </c>
      <c r="BP5" s="403">
        <f>743265-382-704</f>
        <v>742179</v>
      </c>
      <c r="BQ5" s="403">
        <f>767232-2543+1829</f>
        <v>766518</v>
      </c>
      <c r="BR5" s="403">
        <f>2950126-1185-6289-SUM(BO5:BQ5)</f>
        <v>828108</v>
      </c>
      <c r="BS5" s="20">
        <f t="shared" ref="BS5" si="18">SUM(BO5:BR5)</f>
        <v>2942652</v>
      </c>
      <c r="BT5" s="403">
        <f>851906-1722+2980</f>
        <v>853164</v>
      </c>
      <c r="BU5" s="403">
        <f>1016524+2082-1667</f>
        <v>1016939</v>
      </c>
      <c r="BV5" s="403">
        <f>1084539-6033-160</f>
        <v>1078346</v>
      </c>
      <c r="BW5" s="403">
        <f>4016820+2114-14025-SUM(BT5:BV5)</f>
        <v>1056460</v>
      </c>
      <c r="BX5" s="20">
        <f t="shared" ref="BX5" si="19">SUM(BT5:BW5)</f>
        <v>4004909</v>
      </c>
      <c r="BY5" s="403">
        <f>1246115-6033-2089</f>
        <v>1237993</v>
      </c>
      <c r="BZ5" s="403">
        <f>1393733-4822-13805</f>
        <v>1375106</v>
      </c>
      <c r="CA5" s="403">
        <f>1461895-3018-11780</f>
        <v>1447097</v>
      </c>
      <c r="CB5" s="403">
        <f>5567252-11984-42968-SUM(BY5:CA5)</f>
        <v>1452104</v>
      </c>
      <c r="CC5" s="20">
        <f>SUM(BY5:CB5)</f>
        <v>5512300</v>
      </c>
      <c r="CD5" s="403">
        <f>1660432-17750+353</f>
        <v>1643035</v>
      </c>
      <c r="CE5" s="403">
        <f>1742831-3187-14445</f>
        <v>1725199</v>
      </c>
      <c r="CF5" s="409">
        <f>Operating!CF35</f>
        <v>1787775.9778216844</v>
      </c>
      <c r="CG5" s="409">
        <f>Operating!CG35</f>
        <v>1817162.4224558722</v>
      </c>
      <c r="CH5" s="20">
        <f>SUM(CD5:CG5)</f>
        <v>6973172.4002775569</v>
      </c>
      <c r="CI5" s="409">
        <f>Operating!CI35</f>
        <v>1921905.0154106789</v>
      </c>
      <c r="CJ5" s="409">
        <f>Operating!CJ35</f>
        <v>2187037.0698041264</v>
      </c>
      <c r="CK5" s="409">
        <f>Operating!CK35</f>
        <v>2212018.0912685022</v>
      </c>
      <c r="CL5" s="409">
        <f>Operating!CL35</f>
        <v>2101354.0863044672</v>
      </c>
      <c r="CM5" s="20">
        <f>SUM(CI5:CL5)</f>
        <v>8422314.2627877742</v>
      </c>
      <c r="CN5" s="409">
        <f>Operating!CN35</f>
        <v>2208448.2543692319</v>
      </c>
      <c r="CO5" s="409">
        <f>Operating!CO35</f>
        <v>2382847.1429793863</v>
      </c>
      <c r="CP5" s="409">
        <f>Operating!CP35</f>
        <v>2406047.0740405084</v>
      </c>
      <c r="CQ5" s="409">
        <f>Operating!CQ35</f>
        <v>2349554.4789555026</v>
      </c>
      <c r="CR5" s="20">
        <f>SUM(CN5:CQ5)</f>
        <v>9346896.9503446296</v>
      </c>
      <c r="CS5" s="409">
        <f>Operating!CS35</f>
        <v>2431151.2767189611</v>
      </c>
      <c r="CT5" s="409">
        <f>Operating!CT35</f>
        <v>2589433.8384451587</v>
      </c>
      <c r="CU5" s="409">
        <f>Operating!CU35</f>
        <v>2596041.4028806807</v>
      </c>
      <c r="CV5" s="409">
        <f>Operating!CV35</f>
        <v>2523614.8087745435</v>
      </c>
      <c r="CW5" s="20">
        <f>SUM(CS5:CV5)</f>
        <v>10140241.326819343</v>
      </c>
      <c r="CX5" s="409">
        <f>Operating!CX35</f>
        <v>2597430.5795906964</v>
      </c>
      <c r="CY5" s="409">
        <f>Operating!CY35</f>
        <v>2752926.8390094955</v>
      </c>
      <c r="CZ5" s="409">
        <f>Operating!CZ35</f>
        <v>2752230.9196548345</v>
      </c>
      <c r="DA5" s="409">
        <f>Operating!DA35</f>
        <v>2670515.2122597666</v>
      </c>
      <c r="DB5" s="20">
        <f>SUM(CX5:DA5)</f>
        <v>10773103.550514795</v>
      </c>
    </row>
    <row r="6" spans="1:106" ht="11.25" customHeight="1" x14ac:dyDescent="0.35">
      <c r="A6" s="149" t="s">
        <v>50</v>
      </c>
      <c r="B6" s="27"/>
      <c r="C6" s="27"/>
      <c r="D6" s="27"/>
      <c r="E6" s="27"/>
      <c r="F6" s="20">
        <f t="shared" si="1"/>
        <v>0</v>
      </c>
      <c r="G6" s="403"/>
      <c r="H6" s="403"/>
      <c r="I6" s="403"/>
      <c r="J6" s="403"/>
      <c r="K6" s="20">
        <f t="shared" si="3"/>
        <v>0</v>
      </c>
      <c r="L6" s="403"/>
      <c r="M6" s="403"/>
      <c r="N6" s="403"/>
      <c r="O6" s="403"/>
      <c r="P6" s="20">
        <f t="shared" si="5"/>
        <v>0</v>
      </c>
      <c r="Q6" s="403"/>
      <c r="R6" s="403"/>
      <c r="S6" s="403"/>
      <c r="T6" s="403"/>
      <c r="U6" s="20">
        <f t="shared" si="7"/>
        <v>0</v>
      </c>
      <c r="V6" s="403"/>
      <c r="W6" s="403"/>
      <c r="X6" s="403"/>
      <c r="Y6" s="403"/>
      <c r="Z6" s="20">
        <f t="shared" si="9"/>
        <v>0</v>
      </c>
      <c r="AA6" s="403"/>
      <c r="AB6" s="403"/>
      <c r="AC6" s="403"/>
      <c r="AD6" s="403"/>
      <c r="AE6" s="20">
        <f t="shared" si="11"/>
        <v>0</v>
      </c>
      <c r="AF6" s="403"/>
      <c r="AG6" s="403"/>
      <c r="AH6" s="403"/>
      <c r="AI6" s="403"/>
      <c r="AJ6" s="20">
        <f>SUM(AF6:AI6)</f>
        <v>0</v>
      </c>
      <c r="AK6" s="403"/>
      <c r="AL6" s="403"/>
      <c r="AM6" s="403"/>
      <c r="AN6" s="403"/>
      <c r="AO6" s="20">
        <f>SUM(AK6:AN6)</f>
        <v>0</v>
      </c>
      <c r="AP6" s="403"/>
      <c r="AQ6" s="403"/>
      <c r="AR6" s="403"/>
      <c r="AS6" s="403"/>
      <c r="AT6" s="20">
        <f>SUM(AP6:AS6)</f>
        <v>0</v>
      </c>
      <c r="AU6" s="403">
        <v>1631</v>
      </c>
      <c r="AV6" s="403">
        <v>28524</v>
      </c>
      <c r="AW6" s="403">
        <v>1241</v>
      </c>
      <c r="AX6" s="403">
        <f>13105-SUM(AU6:AW6)</f>
        <v>-18291</v>
      </c>
      <c r="AY6" s="20">
        <f t="shared" ref="AY6" si="20">SUM(AU6:AX6)</f>
        <v>13105</v>
      </c>
      <c r="AZ6" s="403">
        <v>841</v>
      </c>
      <c r="BA6" s="403">
        <v>679</v>
      </c>
      <c r="BB6" s="403">
        <f>2619-SUM(AZ6:BA6)</f>
        <v>1099</v>
      </c>
      <c r="BC6" s="403">
        <f>10268-SUM(AZ6:BB6)</f>
        <v>7649</v>
      </c>
      <c r="BD6" s="20">
        <f t="shared" ref="BD6" si="21">SUM(AZ6:BC6)</f>
        <v>10268</v>
      </c>
      <c r="BE6" s="403">
        <v>1114</v>
      </c>
      <c r="BF6" s="403">
        <v>1364</v>
      </c>
      <c r="BG6" s="403">
        <f>3550-SUM(BE6:BF6)</f>
        <v>1072</v>
      </c>
      <c r="BH6" s="403">
        <f>4250-SUM(BE6:BG6)</f>
        <v>700</v>
      </c>
      <c r="BI6" s="20">
        <f t="shared" ref="BI6" si="22">SUM(BE6:BH6)</f>
        <v>4250</v>
      </c>
      <c r="BJ6" s="403">
        <v>1065</v>
      </c>
      <c r="BK6" s="403">
        <v>1756</v>
      </c>
      <c r="BL6" s="403">
        <f>4197-SUM(BJ6:BK6)</f>
        <v>1376</v>
      </c>
      <c r="BM6" s="403">
        <f>5373-SUM(BJ6:BL6)</f>
        <v>1176</v>
      </c>
      <c r="BN6" s="20">
        <f t="shared" ref="BN6" si="23">SUM(BJ6:BM6)</f>
        <v>5373</v>
      </c>
      <c r="BO6" s="403">
        <v>1576</v>
      </c>
      <c r="BP6" s="403">
        <v>1173</v>
      </c>
      <c r="BQ6" s="403">
        <v>1637</v>
      </c>
      <c r="BR6" s="403">
        <f>5353-SUM(BO6:BQ6)</f>
        <v>967</v>
      </c>
      <c r="BS6" s="20">
        <f t="shared" ref="BS6" si="24">SUM(BO6:BR6)</f>
        <v>5353</v>
      </c>
      <c r="BT6" s="403">
        <v>1761</v>
      </c>
      <c r="BU6" s="403">
        <v>937</v>
      </c>
      <c r="BV6" s="403">
        <v>0</v>
      </c>
      <c r="BW6" s="403">
        <f>2714-SUM(BT6:BV6)</f>
        <v>16</v>
      </c>
      <c r="BX6" s="20">
        <f t="shared" ref="BX6" si="25">SUM(BT6:BW6)</f>
        <v>2714</v>
      </c>
      <c r="BY6" s="403">
        <v>6414</v>
      </c>
      <c r="BZ6" s="403">
        <v>381</v>
      </c>
      <c r="CA6" s="403">
        <v>2324</v>
      </c>
      <c r="CB6" s="403">
        <f>10835-SUM(BY6:CA6)</f>
        <v>1716</v>
      </c>
      <c r="CC6" s="20">
        <f>SUM(BY6:CB6)</f>
        <v>10835</v>
      </c>
      <c r="CD6" s="403">
        <v>1439</v>
      </c>
      <c r="CE6" s="403">
        <v>555</v>
      </c>
      <c r="CF6" s="409">
        <f>Operating!CF41</f>
        <v>575.13114005458783</v>
      </c>
      <c r="CG6" s="409">
        <f>Operating!CG41</f>
        <v>584.58481859948279</v>
      </c>
      <c r="CH6" s="20">
        <f>SUM(CD6:CG6)</f>
        <v>3153.7159586540706</v>
      </c>
      <c r="CI6" s="409">
        <f>Operating!CI41</f>
        <v>618.28072213867904</v>
      </c>
      <c r="CJ6" s="409">
        <f>Operating!CJ41</f>
        <v>703.57423911171418</v>
      </c>
      <c r="CK6" s="409">
        <f>Operating!CK41</f>
        <v>711.61068413210228</v>
      </c>
      <c r="CL6" s="409">
        <f>Operating!CL41</f>
        <v>676.00985039927525</v>
      </c>
      <c r="CM6" s="20">
        <f>SUM(CI6:CL6)</f>
        <v>2709.4754957817709</v>
      </c>
      <c r="CN6" s="409">
        <f>Operating!CN41</f>
        <v>710.46226039716214</v>
      </c>
      <c r="CO6" s="409">
        <f>Operating!CO41</f>
        <v>766.56673482511837</v>
      </c>
      <c r="CP6" s="409">
        <f>Operating!CP41</f>
        <v>774.03019946828294</v>
      </c>
      <c r="CQ6" s="409">
        <f>Operating!CQ41</f>
        <v>755.85641761924512</v>
      </c>
      <c r="CR6" s="20">
        <f>SUM(CN6:CQ6)</f>
        <v>3006.9156123098082</v>
      </c>
      <c r="CS6" s="409">
        <f>Operating!CS41</f>
        <v>782.10627213383702</v>
      </c>
      <c r="CT6" s="409">
        <f>Operating!CT41</f>
        <v>833.02609167815604</v>
      </c>
      <c r="CU6" s="409">
        <f>Operating!CU41</f>
        <v>835.15175849208003</v>
      </c>
      <c r="CV6" s="409">
        <f>Operating!CV41</f>
        <v>811.85197700083972</v>
      </c>
      <c r="CW6" s="20">
        <f>SUM(CS6:CV6)</f>
        <v>3262.1360993049129</v>
      </c>
      <c r="CX6" s="409">
        <f>Operating!CX41</f>
        <v>835.59865944325065</v>
      </c>
      <c r="CY6" s="409">
        <f>Operating!CY41</f>
        <v>885.6221199121203</v>
      </c>
      <c r="CZ6" s="409">
        <f>Operating!CZ41</f>
        <v>885.3982412512604</v>
      </c>
      <c r="DA6" s="409">
        <f>Operating!DA41</f>
        <v>859.11013326820296</v>
      </c>
      <c r="DB6" s="20">
        <f>SUM(CX6:DA6)</f>
        <v>3465.7291538748341</v>
      </c>
    </row>
    <row r="7" spans="1:106" ht="11.25" customHeight="1" x14ac:dyDescent="0.35">
      <c r="A7" s="16" t="s">
        <v>51</v>
      </c>
      <c r="B7" s="17"/>
      <c r="C7" s="17"/>
      <c r="D7" s="17"/>
      <c r="E7" s="17"/>
      <c r="F7" s="18">
        <f t="shared" si="1"/>
        <v>0</v>
      </c>
      <c r="G7" s="401"/>
      <c r="H7" s="401"/>
      <c r="I7" s="401"/>
      <c r="J7" s="401"/>
      <c r="K7" s="18">
        <f t="shared" si="3"/>
        <v>0</v>
      </c>
      <c r="L7" s="401"/>
      <c r="M7" s="401"/>
      <c r="N7" s="401"/>
      <c r="O7" s="401"/>
      <c r="P7" s="18">
        <f t="shared" si="5"/>
        <v>0</v>
      </c>
      <c r="Q7" s="401"/>
      <c r="R7" s="401"/>
      <c r="S7" s="401"/>
      <c r="T7" s="401"/>
      <c r="U7" s="18">
        <f t="shared" si="7"/>
        <v>0</v>
      </c>
      <c r="V7" s="401"/>
      <c r="W7" s="401"/>
      <c r="X7" s="401"/>
      <c r="Y7" s="401"/>
      <c r="Z7" s="18">
        <f t="shared" si="9"/>
        <v>0</v>
      </c>
      <c r="AA7" s="401"/>
      <c r="AB7" s="401"/>
      <c r="AC7" s="401"/>
      <c r="AD7" s="401"/>
      <c r="AE7" s="18">
        <f t="shared" si="11"/>
        <v>0</v>
      </c>
      <c r="AF7" s="401"/>
      <c r="AG7" s="401"/>
      <c r="AH7" s="401"/>
      <c r="AI7" s="401"/>
      <c r="AJ7" s="18">
        <f>SUM(AF7:AI7)</f>
        <v>0</v>
      </c>
      <c r="AK7" s="401">
        <f t="shared" ref="AK7:AN7" si="26">AK9-AK5</f>
        <v>-3532.2716339869366</v>
      </c>
      <c r="AL7" s="401">
        <f t="shared" si="26"/>
        <v>-4421.6751307189697</v>
      </c>
      <c r="AM7" s="401">
        <f t="shared" si="26"/>
        <v>-4606.0761584967549</v>
      </c>
      <c r="AN7" s="401">
        <f t="shared" si="26"/>
        <v>-4738.9942973856232</v>
      </c>
      <c r="AO7" s="18">
        <f>SUM(AK7:AN7)</f>
        <v>-17299.017220588285</v>
      </c>
      <c r="AP7" s="401">
        <f t="shared" ref="AP7:AR7" si="27">AP9-AP5</f>
        <v>-3151.5822254902159</v>
      </c>
      <c r="AQ7" s="401">
        <f t="shared" si="27"/>
        <v>-4927.4306781045743</v>
      </c>
      <c r="AR7" s="401">
        <f t="shared" si="27"/>
        <v>-5593.1597859477042</v>
      </c>
      <c r="AS7" s="401">
        <f>AS9-AS5</f>
        <v>-5875.6956895425101</v>
      </c>
      <c r="AT7" s="18">
        <f>SUM(AP7:AS7)</f>
        <v>-19547.868379085005</v>
      </c>
      <c r="AU7" s="401">
        <v>-4917</v>
      </c>
      <c r="AV7" s="401">
        <v>-5877</v>
      </c>
      <c r="AW7" s="401">
        <v>-6651</v>
      </c>
      <c r="AX7" s="401">
        <f>-24510-SUM(AU7:AW7)</f>
        <v>-7065</v>
      </c>
      <c r="AY7" s="18">
        <f t="shared" ref="AY7" si="28">SUM(AU7:AX7)</f>
        <v>-24510</v>
      </c>
      <c r="AZ7" s="401">
        <v>-5777</v>
      </c>
      <c r="BA7" s="401">
        <v>-6250</v>
      </c>
      <c r="BB7" s="401">
        <f>-20635-SUM(AZ7:BA7)</f>
        <v>-8608</v>
      </c>
      <c r="BC7" s="401">
        <f>-28389-SUM(AZ7:BB7)</f>
        <v>-7754</v>
      </c>
      <c r="BD7" s="18">
        <f t="shared" ref="BD7" si="29">SUM(AZ7:BC7)</f>
        <v>-28389</v>
      </c>
      <c r="BE7" s="401">
        <v>-7690</v>
      </c>
      <c r="BF7" s="401">
        <v>-10737</v>
      </c>
      <c r="BG7" s="401">
        <f>-28674-SUM(BE7:BF7)</f>
        <v>-10247</v>
      </c>
      <c r="BH7" s="401">
        <f>-39875-SUM(BE7:BG7)</f>
        <v>-11201</v>
      </c>
      <c r="BI7" s="18">
        <f t="shared" ref="BI7" si="30">SUM(BE7:BH7)</f>
        <v>-39875</v>
      </c>
      <c r="BJ7" s="401">
        <v>-10796</v>
      </c>
      <c r="BK7" s="401">
        <v>-13624</v>
      </c>
      <c r="BL7" s="401">
        <f>-38198-SUM(BJ7:BK7)</f>
        <v>-13778</v>
      </c>
      <c r="BM7" s="401">
        <f>-51141-SUM(BJ7:BL7)</f>
        <v>-12943</v>
      </c>
      <c r="BN7" s="18">
        <f t="shared" ref="BN7" si="31">SUM(BJ7:BM7)</f>
        <v>-51141</v>
      </c>
      <c r="BO7" s="401">
        <v>-12467</v>
      </c>
      <c r="BP7" s="401">
        <v>-15606</v>
      </c>
      <c r="BQ7" s="401">
        <v>-16281</v>
      </c>
      <c r="BR7" s="401">
        <f>-61833-SUM(BO7:BQ7)</f>
        <v>-17479</v>
      </c>
      <c r="BS7" s="18">
        <f t="shared" ref="BS7" si="32">SUM(BO7:BR7)</f>
        <v>-61833</v>
      </c>
      <c r="BT7" s="401">
        <v>-17543</v>
      </c>
      <c r="BU7" s="401">
        <v>-19791</v>
      </c>
      <c r="BV7" s="401">
        <v>-22474</v>
      </c>
      <c r="BW7" s="401">
        <f>-81313-SUM(BT7:BV7)</f>
        <v>-21505</v>
      </c>
      <c r="BX7" s="18">
        <f t="shared" ref="BX7" si="33">SUM(BT7:BW7)</f>
        <v>-81313</v>
      </c>
      <c r="BY7" s="401">
        <v>-28223</v>
      </c>
      <c r="BZ7" s="401">
        <v>-28888</v>
      </c>
      <c r="CA7" s="401">
        <v>-32495</v>
      </c>
      <c r="CB7" s="401">
        <f>-123711-SUM(BY7:CA7)</f>
        <v>-34105</v>
      </c>
      <c r="CC7" s="18">
        <f>SUM(BY7:CB7)</f>
        <v>-123711</v>
      </c>
      <c r="CD7" s="401">
        <v>-31903</v>
      </c>
      <c r="CE7" s="401">
        <v>-35160</v>
      </c>
      <c r="CF7" s="46">
        <f>-CF8*CF$4</f>
        <v>-37197.703066404174</v>
      </c>
      <c r="CG7" s="46">
        <f>-CG8*CG$4</f>
        <v>-37809.137751309012</v>
      </c>
      <c r="CH7" s="18">
        <f>SUM(CD7:CG7)</f>
        <v>-142069.84081771318</v>
      </c>
      <c r="CI7" s="46">
        <f>-CI8*CI$4</f>
        <v>-39988.484559562603</v>
      </c>
      <c r="CJ7" s="46">
        <f>-CJ8*CJ$4</f>
        <v>-45505.005396099346</v>
      </c>
      <c r="CK7" s="46">
        <f>-CK8*CK$4</f>
        <v>-46024.777800614793</v>
      </c>
      <c r="CL7" s="46">
        <f>-CL8*CL$4</f>
        <v>-43722.226000021219</v>
      </c>
      <c r="CM7" s="18">
        <f>SUM(CI7:CL7)</f>
        <v>-175240.49375629795</v>
      </c>
      <c r="CN7" s="46">
        <f>-CN8*CN$4</f>
        <v>-45950.50130589628</v>
      </c>
      <c r="CO7" s="46">
        <f>-CO8*CO$4</f>
        <v>-49579.1651620556</v>
      </c>
      <c r="CP7" s="46">
        <f>-CP8*CP$4</f>
        <v>-50061.878968191508</v>
      </c>
      <c r="CQ7" s="46">
        <f>-CQ8*CQ$4</f>
        <v>-48886.454975760927</v>
      </c>
      <c r="CR7" s="18">
        <f>SUM(CN7:CQ7)</f>
        <v>-194478.0004119043</v>
      </c>
      <c r="CS7" s="46">
        <f>-CS8*CS$4</f>
        <v>-50584.214366214772</v>
      </c>
      <c r="CT7" s="46">
        <f>-CT8*CT$4</f>
        <v>-53877.550782366205</v>
      </c>
      <c r="CU7" s="46">
        <f>-CU8*CU$4</f>
        <v>-54015.032336494791</v>
      </c>
      <c r="CV7" s="46">
        <f>-CV8*CV$4</f>
        <v>-52508.074543632123</v>
      </c>
      <c r="CW7" s="18">
        <f>SUM(CS7:CV7)</f>
        <v>-210984.8720287079</v>
      </c>
      <c r="CX7" s="46">
        <f>-CX8*CX$4</f>
        <v>-54043.936507602899</v>
      </c>
      <c r="CY7" s="46">
        <f>-CY8*CY$4</f>
        <v>-57279.299191491671</v>
      </c>
      <c r="CZ7" s="46">
        <f>-CZ8*CZ$4</f>
        <v>-57264.819412238583</v>
      </c>
      <c r="DA7" s="46">
        <f>-DA8*DA$4</f>
        <v>-55564.58590577513</v>
      </c>
      <c r="DB7" s="18">
        <f>SUM(CX7:DA7)</f>
        <v>-224152.64101710828</v>
      </c>
    </row>
    <row r="8" spans="1:106" ht="11.25" customHeight="1" outlineLevel="1" x14ac:dyDescent="0.35">
      <c r="A8" s="150" t="s">
        <v>67</v>
      </c>
      <c r="B8" s="400" t="e">
        <f t="shared" ref="B8:AE8" si="34">-B7/B$4</f>
        <v>#DIV/0!</v>
      </c>
      <c r="C8" s="400" t="e">
        <f t="shared" si="34"/>
        <v>#DIV/0!</v>
      </c>
      <c r="D8" s="400" t="e">
        <f t="shared" si="34"/>
        <v>#DIV/0!</v>
      </c>
      <c r="E8" s="400" t="e">
        <f t="shared" si="34"/>
        <v>#DIV/0!</v>
      </c>
      <c r="F8" s="24" t="e">
        <f t="shared" si="34"/>
        <v>#DIV/0!</v>
      </c>
      <c r="G8" s="400" t="e">
        <f t="shared" si="34"/>
        <v>#DIV/0!</v>
      </c>
      <c r="H8" s="400" t="e">
        <f t="shared" si="34"/>
        <v>#DIV/0!</v>
      </c>
      <c r="I8" s="400" t="e">
        <f t="shared" si="34"/>
        <v>#DIV/0!</v>
      </c>
      <c r="J8" s="400" t="e">
        <f t="shared" si="34"/>
        <v>#DIV/0!</v>
      </c>
      <c r="K8" s="24" t="e">
        <f t="shared" si="34"/>
        <v>#DIV/0!</v>
      </c>
      <c r="L8" s="400" t="e">
        <f t="shared" si="34"/>
        <v>#DIV/0!</v>
      </c>
      <c r="M8" s="400" t="e">
        <f t="shared" si="34"/>
        <v>#DIV/0!</v>
      </c>
      <c r="N8" s="400" t="e">
        <f t="shared" si="34"/>
        <v>#DIV/0!</v>
      </c>
      <c r="O8" s="400" t="e">
        <f t="shared" si="34"/>
        <v>#DIV/0!</v>
      </c>
      <c r="P8" s="24" t="e">
        <f t="shared" si="34"/>
        <v>#DIV/0!</v>
      </c>
      <c r="Q8" s="400" t="e">
        <f t="shared" si="34"/>
        <v>#DIV/0!</v>
      </c>
      <c r="R8" s="400" t="e">
        <f t="shared" si="34"/>
        <v>#DIV/0!</v>
      </c>
      <c r="S8" s="400" t="e">
        <f t="shared" si="34"/>
        <v>#DIV/0!</v>
      </c>
      <c r="T8" s="400" t="e">
        <f t="shared" si="34"/>
        <v>#DIV/0!</v>
      </c>
      <c r="U8" s="24" t="e">
        <f t="shared" si="34"/>
        <v>#DIV/0!</v>
      </c>
      <c r="V8" s="400" t="e">
        <f t="shared" si="34"/>
        <v>#DIV/0!</v>
      </c>
      <c r="W8" s="400" t="e">
        <f t="shared" si="34"/>
        <v>#DIV/0!</v>
      </c>
      <c r="X8" s="400" t="e">
        <f t="shared" si="34"/>
        <v>#DIV/0!</v>
      </c>
      <c r="Y8" s="400" t="e">
        <f t="shared" si="34"/>
        <v>#DIV/0!</v>
      </c>
      <c r="Z8" s="24" t="e">
        <f t="shared" si="34"/>
        <v>#DIV/0!</v>
      </c>
      <c r="AA8" s="400" t="e">
        <f t="shared" si="34"/>
        <v>#DIV/0!</v>
      </c>
      <c r="AB8" s="400" t="e">
        <f t="shared" si="34"/>
        <v>#DIV/0!</v>
      </c>
      <c r="AC8" s="400" t="e">
        <f t="shared" si="34"/>
        <v>#DIV/0!</v>
      </c>
      <c r="AD8" s="400" t="e">
        <f t="shared" si="34"/>
        <v>#DIV/0!</v>
      </c>
      <c r="AE8" s="24" t="e">
        <f t="shared" si="34"/>
        <v>#DIV/0!</v>
      </c>
      <c r="AF8" s="400" t="e">
        <f t="shared" ref="AF8:AW8" si="35">-AF7/AF$4</f>
        <v>#DIV/0!</v>
      </c>
      <c r="AG8" s="400" t="e">
        <f t="shared" si="35"/>
        <v>#DIV/0!</v>
      </c>
      <c r="AH8" s="400" t="e">
        <f t="shared" si="35"/>
        <v>#DIV/0!</v>
      </c>
      <c r="AI8" s="400" t="e">
        <f t="shared" si="35"/>
        <v>#DIV/0!</v>
      </c>
      <c r="AJ8" s="24" t="e">
        <f t="shared" si="35"/>
        <v>#DIV/0!</v>
      </c>
      <c r="AK8" s="400">
        <v>2.0799999999999999E-2</v>
      </c>
      <c r="AL8" s="400">
        <v>2.0799999999999999E-2</v>
      </c>
      <c r="AM8" s="400">
        <v>2.0799999999999999E-2</v>
      </c>
      <c r="AN8" s="400">
        <v>2.0799999999999999E-2</v>
      </c>
      <c r="AO8" s="24">
        <f t="shared" si="35"/>
        <v>2.0800000000000061E-2</v>
      </c>
      <c r="AP8" s="400">
        <v>2.0799999999999999E-2</v>
      </c>
      <c r="AQ8" s="400">
        <v>2.0799999999999999E-2</v>
      </c>
      <c r="AR8" s="400">
        <v>2.0799999999999999E-2</v>
      </c>
      <c r="AS8" s="400">
        <v>2.0799999999999999E-2</v>
      </c>
      <c r="AT8" s="24">
        <f t="shared" si="35"/>
        <v>2.0800000000000037E-2</v>
      </c>
      <c r="AU8" s="400">
        <f t="shared" si="35"/>
        <v>2.5438855173912367E-2</v>
      </c>
      <c r="AV8" s="400">
        <f t="shared" si="35"/>
        <v>2.1479478089251124E-2</v>
      </c>
      <c r="AW8" s="400">
        <f t="shared" si="35"/>
        <v>2.4800969516174141E-2</v>
      </c>
      <c r="AX8" s="400">
        <f t="shared" ref="AX8:BU8" si="36">-AX7/AX$4</f>
        <v>2.2885185365142606E-2</v>
      </c>
      <c r="AY8" s="24">
        <f t="shared" si="36"/>
        <v>2.3481802321738056E-2</v>
      </c>
      <c r="AZ8" s="400">
        <f t="shared" si="36"/>
        <v>2.4783567426575948E-2</v>
      </c>
      <c r="BA8" s="400">
        <f t="shared" si="36"/>
        <v>2.4756985431009213E-2</v>
      </c>
      <c r="BB8" s="400">
        <f t="shared" si="36"/>
        <v>2.573354658375809E-2</v>
      </c>
      <c r="BC8" s="400">
        <f t="shared" si="36"/>
        <v>2.1965134527242546E-2</v>
      </c>
      <c r="BD8" s="24">
        <f t="shared" si="36"/>
        <v>2.4200581209492009E-2</v>
      </c>
      <c r="BE8" s="400">
        <f t="shared" si="36"/>
        <v>2.2162916167112422E-2</v>
      </c>
      <c r="BF8" s="400">
        <f t="shared" si="36"/>
        <v>2.323653787055753E-2</v>
      </c>
      <c r="BG8" s="400">
        <f t="shared" si="36"/>
        <v>2.1956477021444366E-2</v>
      </c>
      <c r="BH8" s="400">
        <f t="shared" si="36"/>
        <v>2.2293919080298711E-2</v>
      </c>
      <c r="BI8" s="24">
        <f t="shared" si="36"/>
        <v>2.2424740041728293E-2</v>
      </c>
      <c r="BJ8" s="400">
        <f t="shared" si="36"/>
        <v>2.3563306196389987E-2</v>
      </c>
      <c r="BK8" s="400">
        <f t="shared" si="36"/>
        <v>2.2102279824855981E-2</v>
      </c>
      <c r="BL8" s="400">
        <f t="shared" si="36"/>
        <v>2.1513435357420011E-2</v>
      </c>
      <c r="BM8" s="400">
        <f t="shared" si="36"/>
        <v>2.1810822333554088E-2</v>
      </c>
      <c r="BN8" s="24">
        <f t="shared" si="36"/>
        <v>2.2153970113951659E-2</v>
      </c>
      <c r="BO8" s="400">
        <f t="shared" si="36"/>
        <v>2.0524412147712549E-2</v>
      </c>
      <c r="BP8" s="400">
        <f t="shared" si="36"/>
        <v>2.0994091628192296E-2</v>
      </c>
      <c r="BQ8" s="400">
        <f t="shared" si="36"/>
        <v>2.1194941125163541E-2</v>
      </c>
      <c r="BR8" s="400">
        <f t="shared" si="36"/>
        <v>2.1082531737176974E-2</v>
      </c>
      <c r="BS8" s="24">
        <f>-BS7/BS$4</f>
        <v>2.0974523448908669E-2</v>
      </c>
      <c r="BT8" s="400">
        <f t="shared" si="36"/>
        <v>2.0519928648711876E-2</v>
      </c>
      <c r="BU8" s="400">
        <f t="shared" si="36"/>
        <v>1.9443429258573737E-2</v>
      </c>
      <c r="BV8" s="400">
        <f>-BV7/BV$4</f>
        <v>2.0841177136095464E-2</v>
      </c>
      <c r="BW8" s="400">
        <f>-BW7/BW$4</f>
        <v>2.0355407978979171E-2</v>
      </c>
      <c r="BX8" s="24">
        <f>-BX7/BX$4</f>
        <v>2.0289583126955803E-2</v>
      </c>
      <c r="BY8" s="400">
        <f>-BY7/BY$4</f>
        <v>2.2679878849926109E-2</v>
      </c>
      <c r="BZ8" s="400">
        <f t="shared" ref="BZ8:CA8" si="37">-BZ7/BZ$4</f>
        <v>2.1002016013237493E-2</v>
      </c>
      <c r="CA8" s="400">
        <f t="shared" si="37"/>
        <v>2.2419297084835945E-2</v>
      </c>
      <c r="CB8" s="400">
        <f>-CB7/CB$4</f>
        <v>2.3458887620200576E-2</v>
      </c>
      <c r="CC8" s="24">
        <f>-CC7/CC$4</f>
        <v>2.2398692047179727E-2</v>
      </c>
      <c r="CD8" s="400">
        <f>-CD7/CD$4</f>
        <v>1.9400124295063347E-2</v>
      </c>
      <c r="CE8" s="400">
        <f t="shared" ref="CE8" si="38">-CE7/CE$4</f>
        <v>2.0373703320403721E-2</v>
      </c>
      <c r="CF8" s="180">
        <v>2.0799999999999999E-2</v>
      </c>
      <c r="CG8" s="180">
        <v>2.0799999999999999E-2</v>
      </c>
      <c r="CH8" s="24">
        <f>-CH7/CH$4</f>
        <v>2.0364564163230535E-2</v>
      </c>
      <c r="CI8" s="180">
        <v>2.0799999999999999E-2</v>
      </c>
      <c r="CJ8" s="180">
        <v>2.0799999999999999E-2</v>
      </c>
      <c r="CK8" s="180">
        <v>2.0799999999999999E-2</v>
      </c>
      <c r="CL8" s="180">
        <v>2.0799999999999999E-2</v>
      </c>
      <c r="CM8" s="24">
        <f>-CM7/CM$4</f>
        <v>2.0799999999999999E-2</v>
      </c>
      <c r="CN8" s="180">
        <v>2.0799999999999999E-2</v>
      </c>
      <c r="CO8" s="180">
        <v>2.0799999999999999E-2</v>
      </c>
      <c r="CP8" s="180">
        <v>2.0799999999999999E-2</v>
      </c>
      <c r="CQ8" s="180">
        <v>2.0799999999999999E-2</v>
      </c>
      <c r="CR8" s="24">
        <f>-CR7/CR$4</f>
        <v>2.0799999999999996E-2</v>
      </c>
      <c r="CS8" s="180">
        <v>2.0799999999999999E-2</v>
      </c>
      <c r="CT8" s="180">
        <v>2.0799999999999999E-2</v>
      </c>
      <c r="CU8" s="180">
        <v>2.0799999999999999E-2</v>
      </c>
      <c r="CV8" s="180">
        <v>2.0799999999999999E-2</v>
      </c>
      <c r="CW8" s="24">
        <f>-CW7/CW$4</f>
        <v>2.0800000000000003E-2</v>
      </c>
      <c r="CX8" s="180">
        <v>2.0799999999999999E-2</v>
      </c>
      <c r="CY8" s="180">
        <v>2.0799999999999999E-2</v>
      </c>
      <c r="CZ8" s="180">
        <v>2.0799999999999999E-2</v>
      </c>
      <c r="DA8" s="180">
        <v>2.0799999999999999E-2</v>
      </c>
      <c r="DB8" s="24">
        <f>-DB7/DB$4</f>
        <v>2.0799999999999999E-2</v>
      </c>
    </row>
    <row r="9" spans="1:106" ht="11.25" customHeight="1" x14ac:dyDescent="0.35">
      <c r="A9" s="157" t="s">
        <v>3</v>
      </c>
      <c r="B9" s="420">
        <f t="shared" ref="B9:E9" si="39">B4+B7</f>
        <v>0</v>
      </c>
      <c r="C9" s="420">
        <f t="shared" si="39"/>
        <v>0</v>
      </c>
      <c r="D9" s="420">
        <f t="shared" si="39"/>
        <v>0</v>
      </c>
      <c r="E9" s="420">
        <f t="shared" si="39"/>
        <v>0</v>
      </c>
      <c r="F9" s="159">
        <f t="shared" ref="F9" si="40">SUM(B9:E9)</f>
        <v>0</v>
      </c>
      <c r="G9" s="420">
        <f t="shared" ref="G9:J9" si="41">G4+G7</f>
        <v>0</v>
      </c>
      <c r="H9" s="420">
        <f t="shared" si="41"/>
        <v>0</v>
      </c>
      <c r="I9" s="420">
        <f t="shared" si="41"/>
        <v>0</v>
      </c>
      <c r="J9" s="420">
        <f t="shared" si="41"/>
        <v>0</v>
      </c>
      <c r="K9" s="159">
        <f t="shared" ref="K9" si="42">SUM(G9:J9)</f>
        <v>0</v>
      </c>
      <c r="L9" s="420">
        <f t="shared" ref="L9:O9" si="43">L4+L7</f>
        <v>0</v>
      </c>
      <c r="M9" s="420">
        <f t="shared" si="43"/>
        <v>0</v>
      </c>
      <c r="N9" s="420">
        <f t="shared" si="43"/>
        <v>0</v>
      </c>
      <c r="O9" s="420">
        <f t="shared" si="43"/>
        <v>0</v>
      </c>
      <c r="P9" s="159">
        <f t="shared" ref="P9" si="44">SUM(L9:O9)</f>
        <v>0</v>
      </c>
      <c r="Q9" s="420">
        <f t="shared" ref="Q9:T9" si="45">Q4+Q7</f>
        <v>0</v>
      </c>
      <c r="R9" s="420">
        <f t="shared" si="45"/>
        <v>0</v>
      </c>
      <c r="S9" s="420">
        <f t="shared" si="45"/>
        <v>0</v>
      </c>
      <c r="T9" s="420">
        <f t="shared" si="45"/>
        <v>0</v>
      </c>
      <c r="U9" s="159">
        <f t="shared" ref="U9" si="46">SUM(Q9:T9)</f>
        <v>0</v>
      </c>
      <c r="V9" s="420">
        <f t="shared" ref="V9:Y9" si="47">V4+V7</f>
        <v>0</v>
      </c>
      <c r="W9" s="420">
        <f t="shared" si="47"/>
        <v>0</v>
      </c>
      <c r="X9" s="420">
        <f t="shared" si="47"/>
        <v>0</v>
      </c>
      <c r="Y9" s="420">
        <f t="shared" si="47"/>
        <v>0</v>
      </c>
      <c r="Z9" s="159">
        <f t="shared" ref="Z9" si="48">SUM(V9:Y9)</f>
        <v>0</v>
      </c>
      <c r="AA9" s="420">
        <f t="shared" ref="AA9:AD9" si="49">AA4+AA7</f>
        <v>0</v>
      </c>
      <c r="AB9" s="420">
        <f t="shared" si="49"/>
        <v>0</v>
      </c>
      <c r="AC9" s="420">
        <f t="shared" si="49"/>
        <v>0</v>
      </c>
      <c r="AD9" s="420">
        <f t="shared" si="49"/>
        <v>0</v>
      </c>
      <c r="AE9" s="159">
        <f t="shared" ref="AE9" si="50">SUM(AA9:AD9)</f>
        <v>0</v>
      </c>
      <c r="AF9" s="420">
        <f>AF4+AF7</f>
        <v>0</v>
      </c>
      <c r="AG9" s="420">
        <f>AG4+AG7</f>
        <v>0</v>
      </c>
      <c r="AH9" s="420">
        <f>AH4+AH7</f>
        <v>0</v>
      </c>
      <c r="AI9" s="420">
        <f>AI4+AI7</f>
        <v>0</v>
      </c>
      <c r="AJ9" s="159">
        <f>SUM(AF9:AI9)</f>
        <v>0</v>
      </c>
      <c r="AK9" s="420">
        <v>166288.48000000001</v>
      </c>
      <c r="AL9" s="420">
        <v>208158.86000000002</v>
      </c>
      <c r="AM9" s="420">
        <v>216839.89299999998</v>
      </c>
      <c r="AN9" s="420">
        <v>223097.27000000002</v>
      </c>
      <c r="AO9" s="159">
        <f>SUM(AK9:AN9)</f>
        <v>814384.50300000003</v>
      </c>
      <c r="AP9" s="420">
        <v>148366.79399999999</v>
      </c>
      <c r="AQ9" s="420">
        <v>231968.27500000002</v>
      </c>
      <c r="AR9" s="420">
        <v>263308.75300000003</v>
      </c>
      <c r="AS9" s="420">
        <v>276609.674</v>
      </c>
      <c r="AT9" s="159">
        <f>SUM(AP9:AS9)</f>
        <v>920253.49600000004</v>
      </c>
      <c r="AU9" s="158">
        <f>AU4+AU7</f>
        <v>188370</v>
      </c>
      <c r="AV9" s="158">
        <f>AV4+AV7</f>
        <v>267733</v>
      </c>
      <c r="AW9" s="158">
        <f>AW4+AW7</f>
        <v>261524</v>
      </c>
      <c r="AX9" s="158">
        <f>AX4+AX7</f>
        <v>301650</v>
      </c>
      <c r="AY9" s="159">
        <f>SUM(AU9:AX9)</f>
        <v>1019277</v>
      </c>
      <c r="AZ9" s="158">
        <f>AZ4+AZ7</f>
        <v>227321</v>
      </c>
      <c r="BA9" s="158">
        <f>BA4+BA7</f>
        <v>246204</v>
      </c>
      <c r="BB9" s="158">
        <f>BB4+BB7</f>
        <v>325897</v>
      </c>
      <c r="BC9" s="158">
        <f>BC4+BC7</f>
        <v>345260</v>
      </c>
      <c r="BD9" s="159">
        <f>SUM(AZ9:BC9)</f>
        <v>1144682</v>
      </c>
      <c r="BE9" s="158">
        <f>BE4+BE7</f>
        <v>339286</v>
      </c>
      <c r="BF9" s="158">
        <f>BF4+BF7</f>
        <v>451337</v>
      </c>
      <c r="BG9" s="158">
        <f>BG4+BG7</f>
        <v>456449</v>
      </c>
      <c r="BH9" s="158">
        <f>BH4+BH7</f>
        <v>491223</v>
      </c>
      <c r="BI9" s="159">
        <f>SUM(BE9:BH9)</f>
        <v>1738295</v>
      </c>
      <c r="BJ9" s="158">
        <f>BJ4+BJ7</f>
        <v>447374</v>
      </c>
      <c r="BK9" s="158">
        <f>BK4+BK7</f>
        <v>602783</v>
      </c>
      <c r="BL9" s="158">
        <f>BL4+BL7</f>
        <v>626659</v>
      </c>
      <c r="BM9" s="158">
        <f>BM4+BM7</f>
        <v>580478</v>
      </c>
      <c r="BN9" s="159">
        <f>SUM(BJ9:BM9)</f>
        <v>2257294</v>
      </c>
      <c r="BO9" s="158">
        <f>BO4+BO7</f>
        <v>594956</v>
      </c>
      <c r="BP9" s="158">
        <f>BP4+BP7</f>
        <v>727746</v>
      </c>
      <c r="BQ9" s="158">
        <f>BQ4+BQ7</f>
        <v>751874</v>
      </c>
      <c r="BR9" s="158">
        <f>BR4+BR7</f>
        <v>811596</v>
      </c>
      <c r="BS9" s="159">
        <f>SUM(BO9:BR9)</f>
        <v>2886172</v>
      </c>
      <c r="BT9" s="158">
        <f>BT4+BT7</f>
        <v>837382</v>
      </c>
      <c r="BU9" s="158">
        <f>BU4+BU7</f>
        <v>998085</v>
      </c>
      <c r="BV9" s="158">
        <f>BV4+BV7</f>
        <v>1055872</v>
      </c>
      <c r="BW9" s="158">
        <f>BW4+BW7</f>
        <v>1034971</v>
      </c>
      <c r="BX9" s="159">
        <f>SUM(BT9:BW9)</f>
        <v>3926310</v>
      </c>
      <c r="BY9" s="158">
        <f>BY4+BY7</f>
        <v>1216184</v>
      </c>
      <c r="BZ9" s="158">
        <f>BZ4+BZ7</f>
        <v>1346599</v>
      </c>
      <c r="CA9" s="158">
        <f>CA4+CA7</f>
        <v>1416926</v>
      </c>
      <c r="CB9" s="158">
        <f>CB4+CB7</f>
        <v>1419715</v>
      </c>
      <c r="CC9" s="159">
        <f>SUM(BY9:CB9)</f>
        <v>5399424</v>
      </c>
      <c r="CD9" s="158">
        <f>CD4+CD7</f>
        <v>1612571</v>
      </c>
      <c r="CE9" s="158">
        <f>CE4+CE7</f>
        <v>1690594</v>
      </c>
      <c r="CF9" s="158">
        <f>CF4+CF7</f>
        <v>1751153.4058953349</v>
      </c>
      <c r="CG9" s="158">
        <f>CG4+CG7</f>
        <v>1779937.8695231627</v>
      </c>
      <c r="CH9" s="159">
        <f>SUM(CD9:CG9)</f>
        <v>6834256.2754184976</v>
      </c>
      <c r="CI9" s="158">
        <f>CI4+CI7</f>
        <v>1882534.8115732551</v>
      </c>
      <c r="CJ9" s="158">
        <f>CJ4+CJ7</f>
        <v>2142235.6386471386</v>
      </c>
      <c r="CK9" s="158">
        <f>CK4+CK7</f>
        <v>2166704.9241520194</v>
      </c>
      <c r="CL9" s="158">
        <f>CL4+CL7</f>
        <v>2058307.8701548451</v>
      </c>
      <c r="CM9" s="159">
        <f>SUM(CI9:CL9)</f>
        <v>8249783.244527258</v>
      </c>
      <c r="CN9" s="158">
        <f>CN4+CN7</f>
        <v>2163208.2153237327</v>
      </c>
      <c r="CO9" s="158">
        <f>CO4+CO7</f>
        <v>2334034.5445521558</v>
      </c>
      <c r="CP9" s="158">
        <f>CP4+CP7</f>
        <v>2356759.2252717852</v>
      </c>
      <c r="CQ9" s="158">
        <f>CQ4+CQ7</f>
        <v>2301423.8803973608</v>
      </c>
      <c r="CR9" s="159">
        <f>SUM(CN9:CQ9)</f>
        <v>9155425.8655450344</v>
      </c>
      <c r="CS9" s="158">
        <f>CS4+CS7</f>
        <v>2381349.1686248803</v>
      </c>
      <c r="CT9" s="158">
        <f>CT4+CT7</f>
        <v>2536389.3137544706</v>
      </c>
      <c r="CU9" s="158">
        <f>CU4+CU7</f>
        <v>2542861.5223026779</v>
      </c>
      <c r="CV9" s="158">
        <f>CV4+CV7</f>
        <v>2471918.5862079123</v>
      </c>
      <c r="CW9" s="159">
        <f>SUM(CS9:CV9)</f>
        <v>9932518.5908899419</v>
      </c>
      <c r="CX9" s="158">
        <f>CX4+CX7</f>
        <v>2544222.2417425369</v>
      </c>
      <c r="CY9" s="158">
        <f>CY4+CY7</f>
        <v>2696533.1619379157</v>
      </c>
      <c r="CZ9" s="158">
        <f>CZ4+CZ7</f>
        <v>2695851.4984838474</v>
      </c>
      <c r="DA9" s="158">
        <f>DA4+DA7</f>
        <v>2615809.7364872601</v>
      </c>
      <c r="DB9" s="159">
        <f>SUM(CX9:DA9)</f>
        <v>10552416.638651561</v>
      </c>
    </row>
    <row r="10" spans="1:106" ht="11.25" customHeight="1" x14ac:dyDescent="0.35">
      <c r="A10" s="16" t="s">
        <v>4</v>
      </c>
      <c r="B10" s="147">
        <f t="shared" ref="B10:E10" si="51">B11+B13+B14</f>
        <v>0</v>
      </c>
      <c r="C10" s="147">
        <f t="shared" si="51"/>
        <v>0</v>
      </c>
      <c r="D10" s="147">
        <f t="shared" si="51"/>
        <v>0</v>
      </c>
      <c r="E10" s="147">
        <f t="shared" si="51"/>
        <v>0</v>
      </c>
      <c r="F10" s="18">
        <f t="shared" ref="F10:F11" si="52">SUM(B10:E10)</f>
        <v>0</v>
      </c>
      <c r="G10" s="147">
        <f t="shared" ref="G10:J10" si="53">G11+G13+G14</f>
        <v>0</v>
      </c>
      <c r="H10" s="147">
        <f t="shared" si="53"/>
        <v>0</v>
      </c>
      <c r="I10" s="147">
        <f t="shared" si="53"/>
        <v>0</v>
      </c>
      <c r="J10" s="147">
        <f t="shared" si="53"/>
        <v>0</v>
      </c>
      <c r="K10" s="18">
        <f t="shared" ref="K10:K11" si="54">SUM(G10:J10)</f>
        <v>0</v>
      </c>
      <c r="L10" s="147">
        <f t="shared" ref="L10:O10" si="55">L11+L13+L14</f>
        <v>0</v>
      </c>
      <c r="M10" s="147">
        <f t="shared" si="55"/>
        <v>0</v>
      </c>
      <c r="N10" s="147">
        <f t="shared" si="55"/>
        <v>0</v>
      </c>
      <c r="O10" s="147">
        <f t="shared" si="55"/>
        <v>0</v>
      </c>
      <c r="P10" s="18">
        <f t="shared" ref="P10:P11" si="56">SUM(L10:O10)</f>
        <v>0</v>
      </c>
      <c r="Q10" s="147">
        <f t="shared" ref="Q10:T10" si="57">Q11+Q13+Q14</f>
        <v>0</v>
      </c>
      <c r="R10" s="147">
        <f t="shared" si="57"/>
        <v>0</v>
      </c>
      <c r="S10" s="147">
        <f t="shared" si="57"/>
        <v>0</v>
      </c>
      <c r="T10" s="147">
        <f t="shared" si="57"/>
        <v>0</v>
      </c>
      <c r="U10" s="18">
        <f t="shared" ref="U10:U11" si="58">SUM(Q10:T10)</f>
        <v>0</v>
      </c>
      <c r="V10" s="147">
        <f t="shared" ref="V10:Y10" si="59">V11+V13+V14</f>
        <v>0</v>
      </c>
      <c r="W10" s="147">
        <f t="shared" si="59"/>
        <v>0</v>
      </c>
      <c r="X10" s="147">
        <f t="shared" si="59"/>
        <v>0</v>
      </c>
      <c r="Y10" s="147">
        <f t="shared" si="59"/>
        <v>0</v>
      </c>
      <c r="Z10" s="18">
        <f t="shared" ref="Z10:Z11" si="60">SUM(V10:Y10)</f>
        <v>0</v>
      </c>
      <c r="AA10" s="147">
        <f t="shared" ref="AA10:AD10" si="61">AA11+AA13+AA14</f>
        <v>0</v>
      </c>
      <c r="AB10" s="147">
        <f t="shared" si="61"/>
        <v>0</v>
      </c>
      <c r="AC10" s="147">
        <f t="shared" si="61"/>
        <v>0</v>
      </c>
      <c r="AD10" s="147">
        <f t="shared" si="61"/>
        <v>0</v>
      </c>
      <c r="AE10" s="18">
        <f t="shared" ref="AE10:AE11" si="62">SUM(AA10:AD10)</f>
        <v>0</v>
      </c>
      <c r="AF10" s="147">
        <f>AF11+AF13+AF14</f>
        <v>0</v>
      </c>
      <c r="AG10" s="147">
        <f>AG11+AG13+AG14</f>
        <v>0</v>
      </c>
      <c r="AH10" s="147">
        <f>AH11+AH13+AH14</f>
        <v>0</v>
      </c>
      <c r="AI10" s="147">
        <f>AI11+AI13+AI14</f>
        <v>0</v>
      </c>
      <c r="AJ10" s="18">
        <f t="shared" ref="AJ10:AJ18" si="63">SUM(AF10:AI10)</f>
        <v>0</v>
      </c>
      <c r="AK10" s="147">
        <f>AK11+AK13+AK14</f>
        <v>-128091.893</v>
      </c>
      <c r="AL10" s="147">
        <f>AL11+AL13+AL14</f>
        <v>-152984.22400000005</v>
      </c>
      <c r="AM10" s="147">
        <f>AM11+AM13+AM14</f>
        <v>-151238.84099999996</v>
      </c>
      <c r="AN10" s="147">
        <f>AN11+AN13+AN14</f>
        <v>-138225.35699999996</v>
      </c>
      <c r="AO10" s="18">
        <f t="shared" ref="AO10:AO18" si="64">SUM(AK10:AN10)</f>
        <v>-570540.31499999994</v>
      </c>
      <c r="AP10" s="147">
        <f>AP11+AP13+AP14</f>
        <v>-103828.057</v>
      </c>
      <c r="AQ10" s="147">
        <f>AQ11+AQ13+AQ14</f>
        <v>-159413.27200000003</v>
      </c>
      <c r="AR10" s="147">
        <f>AR11+AR13+AR14</f>
        <v>-165749.61599999998</v>
      </c>
      <c r="AS10" s="147">
        <f>AS11+AS13+AS14</f>
        <v>-176534.66100000002</v>
      </c>
      <c r="AT10" s="18">
        <f t="shared" ref="AT10:AT18" si="65">SUM(AP10:AS10)</f>
        <v>-605525.60600000003</v>
      </c>
      <c r="AU10" s="147">
        <f>AU11+AU13+AU14</f>
        <v>-133039</v>
      </c>
      <c r="AV10" s="147">
        <f>AV11+AV13+AV14</f>
        <v>-166982</v>
      </c>
      <c r="AW10" s="147">
        <f>AW11+AW13+AW14</f>
        <v>-180689</v>
      </c>
      <c r="AX10" s="147">
        <f>AX11+AX13+AX14</f>
        <v>-182682</v>
      </c>
      <c r="AY10" s="18">
        <f t="shared" ref="AY10:AY16" si="66">SUM(AU10:AX10)</f>
        <v>-663392</v>
      </c>
      <c r="AZ10" s="147">
        <f>AZ11+AZ13+AZ14</f>
        <v>-149181</v>
      </c>
      <c r="BA10" s="147">
        <f>BA11+BA13+BA14</f>
        <v>-159137</v>
      </c>
      <c r="BB10" s="147">
        <f>BB11+BB13+BB14</f>
        <v>-202541</v>
      </c>
      <c r="BC10" s="147">
        <f>BC11+BC13+BC14</f>
        <v>-205433</v>
      </c>
      <c r="BD10" s="18">
        <f t="shared" ref="BD10:BD16" si="67">SUM(AZ10:BC10)</f>
        <v>-716292</v>
      </c>
      <c r="BE10" s="147">
        <f>BE11+BE13+BE14</f>
        <v>-218944</v>
      </c>
      <c r="BF10" s="147">
        <f>BF11+BF13+BF14</f>
        <v>-288421</v>
      </c>
      <c r="BG10" s="147">
        <f>BG11+BG13+BG14</f>
        <v>-281478</v>
      </c>
      <c r="BH10" s="147">
        <f>BH11+BH13+BH14</f>
        <v>-304781</v>
      </c>
      <c r="BI10" s="18">
        <f t="shared" ref="BI10:BI16" si="68">SUM(BE10:BH10)</f>
        <v>-1093624</v>
      </c>
      <c r="BJ10" s="147">
        <f>BJ11+BJ13+BJ14</f>
        <v>-281465</v>
      </c>
      <c r="BK10" s="147">
        <f>BK11+BK13+BK14</f>
        <v>-387286</v>
      </c>
      <c r="BL10" s="147">
        <f>BL11+BL13+BL14</f>
        <v>-392916</v>
      </c>
      <c r="BM10" s="147">
        <f>BM11+BM13+BM14</f>
        <v>-358735</v>
      </c>
      <c r="BN10" s="18">
        <f t="shared" ref="BN10:BN16" si="69">SUM(BJ10:BM10)</f>
        <v>-1420402</v>
      </c>
      <c r="BO10" s="147">
        <f>BO11+BO13+BO14</f>
        <v>-371794</v>
      </c>
      <c r="BP10" s="147">
        <f>BP11+BP13+BP14</f>
        <v>-453192</v>
      </c>
      <c r="BQ10" s="147">
        <f>BQ11+BQ13+BQ14</f>
        <v>-467971</v>
      </c>
      <c r="BR10" s="147">
        <f>BR11+BR13+BR14</f>
        <v>-497862</v>
      </c>
      <c r="BS10" s="18">
        <f t="shared" ref="BS10:BS16" si="70">SUM(BO10:BR10)</f>
        <v>-1790819</v>
      </c>
      <c r="BT10" s="147">
        <f>BT11+BT13+BT14</f>
        <v>-520773</v>
      </c>
      <c r="BU10" s="147">
        <f>BU11+BU13+BU14</f>
        <v>-615554</v>
      </c>
      <c r="BV10" s="147">
        <f>BV11+BV13+BV14</f>
        <v>-646426</v>
      </c>
      <c r="BW10" s="147">
        <f>BW11+BW13+BW14</f>
        <v>-630617</v>
      </c>
      <c r="BX10" s="18">
        <f t="shared" ref="BX10:BX16" si="71">SUM(BT10:BW10)</f>
        <v>-2413370</v>
      </c>
      <c r="BY10" s="147">
        <f>BY11+BY13+BY14</f>
        <v>-741296</v>
      </c>
      <c r="BZ10" s="147">
        <f>BZ11+BZ13+BZ14</f>
        <v>-813823</v>
      </c>
      <c r="CA10" s="147">
        <f>CA11+CA13+CA14</f>
        <v>-850699</v>
      </c>
      <c r="CB10" s="147">
        <f>CB11+CB13+CB14</f>
        <v>-847019</v>
      </c>
      <c r="CC10" s="18">
        <f t="shared" ref="CC10:CC18" si="72">SUM(BY10:CB10)</f>
        <v>-3252837</v>
      </c>
      <c r="CD10" s="147">
        <f>CD11+CD13+CD14</f>
        <v>-982915</v>
      </c>
      <c r="CE10" s="147">
        <f>CE11+CE13+CE14</f>
        <v>-1022232</v>
      </c>
      <c r="CF10" s="147">
        <f>CF11+CF13+CF14</f>
        <v>-1052994.3146696466</v>
      </c>
      <c r="CG10" s="147">
        <f>CG11+CG13+CG14</f>
        <v>-1072358.9919652594</v>
      </c>
      <c r="CH10" s="18">
        <f t="shared" ref="CH10:CH18" si="73">SUM(CD10:CG10)</f>
        <v>-4130500.3066349057</v>
      </c>
      <c r="CI10" s="147">
        <f>CI11+CI13+CI14</f>
        <v>-1144943.6267192119</v>
      </c>
      <c r="CJ10" s="147">
        <f>CJ11+CJ13+CJ14</f>
        <v>-1292162.1800365886</v>
      </c>
      <c r="CK10" s="147">
        <f>CK11+CK13+CK14</f>
        <v>-1297905.547045331</v>
      </c>
      <c r="CL10" s="147">
        <f>CL11+CL13+CL14</f>
        <v>-1228667.6459732268</v>
      </c>
      <c r="CM10" s="18">
        <f t="shared" ref="CM10:CM18" si="74">SUM(CI10:CL10)</f>
        <v>-4963678.9997743582</v>
      </c>
      <c r="CN10" s="147">
        <f>CN11+CN13+CN14</f>
        <v>-1319066.5837865495</v>
      </c>
      <c r="CO10" s="147">
        <f>CO11+CO13+CO14</f>
        <v>-1426000.7479031684</v>
      </c>
      <c r="CP10" s="147">
        <f>CP11+CP13+CP14</f>
        <v>-1444561.4639821579</v>
      </c>
      <c r="CQ10" s="147">
        <f>CQ11+CQ13+CQ14</f>
        <v>-1411851.9653558319</v>
      </c>
      <c r="CR10" s="18">
        <f t="shared" ref="CR10:CR18" si="75">SUM(CN10:CQ10)</f>
        <v>-5601480.7610277077</v>
      </c>
      <c r="CS10" s="147">
        <f>CS11+CS13+CS14</f>
        <v>-1470743.4967641623</v>
      </c>
      <c r="CT10" s="147">
        <f>CT11+CT13+CT14</f>
        <v>-1570168.5595492073</v>
      </c>
      <c r="CU10" s="147">
        <f>CU11+CU13+CU14</f>
        <v>-1579946.6484951961</v>
      </c>
      <c r="CV10" s="147">
        <f>CV11+CV13+CV14</f>
        <v>-1537500.8585750139</v>
      </c>
      <c r="CW10" s="18">
        <f t="shared" ref="CW10:CW18" si="76">SUM(CS10:CV10)</f>
        <v>-6158359.5633835793</v>
      </c>
      <c r="CX10" s="147">
        <f>CX11+CX13+CX14</f>
        <v>-1582104.4773534625</v>
      </c>
      <c r="CY10" s="147">
        <f>CY11+CY13+CY14</f>
        <v>-1679258.7951900691</v>
      </c>
      <c r="CZ10" s="147">
        <f>CZ11+CZ13+CZ14</f>
        <v>-1684470.9840721628</v>
      </c>
      <c r="DA10" s="147">
        <f>DA11+DA13+DA14</f>
        <v>-1635900.2814932771</v>
      </c>
      <c r="DB10" s="18">
        <f t="shared" ref="DB10:DB18" si="77">SUM(CX10:DA10)</f>
        <v>-6581734.5381089719</v>
      </c>
    </row>
    <row r="11" spans="1:106" ht="11.25" customHeight="1" x14ac:dyDescent="0.35">
      <c r="A11" s="149" t="s">
        <v>68</v>
      </c>
      <c r="B11" s="421"/>
      <c r="C11" s="421"/>
      <c r="D11" s="421"/>
      <c r="E11" s="421"/>
      <c r="F11" s="20">
        <f t="shared" si="52"/>
        <v>0</v>
      </c>
      <c r="G11" s="421"/>
      <c r="H11" s="421"/>
      <c r="I11" s="421"/>
      <c r="J11" s="421"/>
      <c r="K11" s="20">
        <f t="shared" si="54"/>
        <v>0</v>
      </c>
      <c r="L11" s="421"/>
      <c r="M11" s="421"/>
      <c r="N11" s="421"/>
      <c r="O11" s="421"/>
      <c r="P11" s="20">
        <f t="shared" si="56"/>
        <v>0</v>
      </c>
      <c r="Q11" s="421"/>
      <c r="R11" s="421"/>
      <c r="S11" s="421"/>
      <c r="T11" s="421"/>
      <c r="U11" s="20">
        <f t="shared" si="58"/>
        <v>0</v>
      </c>
      <c r="V11" s="421"/>
      <c r="W11" s="421"/>
      <c r="X11" s="421"/>
      <c r="Y11" s="421"/>
      <c r="Z11" s="20">
        <f t="shared" si="60"/>
        <v>0</v>
      </c>
      <c r="AA11" s="421"/>
      <c r="AB11" s="421"/>
      <c r="AC11" s="421"/>
      <c r="AD11" s="421"/>
      <c r="AE11" s="20">
        <f t="shared" si="62"/>
        <v>0</v>
      </c>
      <c r="AF11" s="421"/>
      <c r="AG11" s="421"/>
      <c r="AH11" s="421"/>
      <c r="AI11" s="421"/>
      <c r="AJ11" s="20">
        <f t="shared" si="63"/>
        <v>0</v>
      </c>
      <c r="AK11" s="421">
        <v>-128091.893</v>
      </c>
      <c r="AL11" s="421">
        <v>-152984.22400000005</v>
      </c>
      <c r="AM11" s="421">
        <v>-151238.84099999996</v>
      </c>
      <c r="AN11" s="421">
        <v>-138225.35699999996</v>
      </c>
      <c r="AO11" s="20">
        <f t="shared" si="64"/>
        <v>-570540.31499999994</v>
      </c>
      <c r="AP11" s="421">
        <v>-103828.057</v>
      </c>
      <c r="AQ11" s="421">
        <v>-159413.27200000003</v>
      </c>
      <c r="AR11" s="421">
        <v>-165749.61599999998</v>
      </c>
      <c r="AS11" s="421">
        <v>-176534.66100000002</v>
      </c>
      <c r="AT11" s="20">
        <f t="shared" si="65"/>
        <v>-605525.60600000003</v>
      </c>
      <c r="AU11" s="421">
        <f>-124775-AU13</f>
        <v>-122991</v>
      </c>
      <c r="AV11" s="421">
        <f>-158457-AV13</f>
        <v>-156928</v>
      </c>
      <c r="AW11" s="421">
        <f>-180689-AW13-AW14</f>
        <v>-171768</v>
      </c>
      <c r="AX11" s="421">
        <f>-634880-SUM(AU11:AW11)-SUM(AU13:AX13)</f>
        <v>-176867</v>
      </c>
      <c r="AY11" s="20">
        <f t="shared" ref="AY11" si="78">SUM(AU11:AX11)</f>
        <v>-628554</v>
      </c>
      <c r="AZ11" s="421">
        <f>-139488-AZ13</f>
        <v>-138123</v>
      </c>
      <c r="BA11" s="421">
        <f>-149870-BA13</f>
        <v>-148184</v>
      </c>
      <c r="BB11" s="421">
        <f>-202541-BB13-BB14</f>
        <v>-196526</v>
      </c>
      <c r="BC11" s="421">
        <f>-682997-SUM(AZ11:BB11)-SUM(AZ13:BC13)</f>
        <v>-195949</v>
      </c>
      <c r="BD11" s="20">
        <f t="shared" ref="BD11" si="79">SUM(AZ11:BC11)</f>
        <v>-678782</v>
      </c>
      <c r="BE11" s="421">
        <f>-213294-BE13+1020-122</f>
        <v>-212274</v>
      </c>
      <c r="BF11" s="421">
        <f>-283327+2687</f>
        <v>-280640</v>
      </c>
      <c r="BG11" s="421">
        <f>-275625-5853-BG13-BG14</f>
        <v>-271663</v>
      </c>
      <c r="BH11" s="421">
        <f>-1082692-SUM(BE11:BG11)-SUM(BE13:BH13)</f>
        <v>-316781</v>
      </c>
      <c r="BI11" s="20">
        <f t="shared" ref="BI11" si="80">SUM(BE11:BH11)</f>
        <v>-1081358</v>
      </c>
      <c r="BJ11" s="421">
        <f>-279593-BJ13+604-607</f>
        <v>-278989</v>
      </c>
      <c r="BK11" s="421">
        <f>-388579+2608</f>
        <v>-385971</v>
      </c>
      <c r="BL11" s="421">
        <f>-391796-1120-BL13-BL14</f>
        <v>-383036</v>
      </c>
      <c r="BM11" s="421">
        <f>-1415751-SUM(BJ11:BL11)-SUM(BJ13:BM13)</f>
        <v>-364471</v>
      </c>
      <c r="BN11" s="20">
        <f t="shared" ref="BN11" si="81">SUM(BJ11:BM11)</f>
        <v>-1412467</v>
      </c>
      <c r="BO11" s="421">
        <f>-371450-BO13+1477-1299</f>
        <v>-369973</v>
      </c>
      <c r="BP11" s="421">
        <f>-452163+725</f>
        <v>-451438</v>
      </c>
      <c r="BQ11" s="421">
        <f>-463481-2863</f>
        <v>-466344</v>
      </c>
      <c r="BR11" s="421">
        <f>-1789464-SUM(BO11:BQ11)-SUM(BO13:BR13)</f>
        <v>-495745</v>
      </c>
      <c r="BS11" s="20">
        <f t="shared" ref="BS11" si="82">SUM(BO11:BR11)</f>
        <v>-1783500</v>
      </c>
      <c r="BT11" s="421">
        <f>-515984-BT13-2219-1856</f>
        <v>-518203</v>
      </c>
      <c r="BU11" s="421">
        <f>-611200-1474</f>
        <v>-612674</v>
      </c>
      <c r="BV11" s="421">
        <f>-643412+660</f>
        <v>-642752</v>
      </c>
      <c r="BW11" s="421">
        <f>-2410748-SUM(BT11:BV11)-SUM(BT13:BW13)</f>
        <v>-628758</v>
      </c>
      <c r="BX11" s="20">
        <f t="shared" ref="BX11" si="83">SUM(BT11:BW11)</f>
        <v>-2402387</v>
      </c>
      <c r="BY11" s="421">
        <f>-740484-BY13+1505-1711</f>
        <v>-738979</v>
      </c>
      <c r="BZ11" s="421">
        <f>-812123+2758</f>
        <v>-809365</v>
      </c>
      <c r="CA11" s="421">
        <f>-848164+1716</f>
        <v>-846448</v>
      </c>
      <c r="CB11" s="421">
        <f>-3248989-SUM(BY11:CA11)-SUM(BY13:CB13)</f>
        <v>-841641</v>
      </c>
      <c r="CC11" s="20">
        <f t="shared" si="72"/>
        <v>-3236433</v>
      </c>
      <c r="CD11" s="421">
        <f>-982117-CD13</f>
        <v>-977874</v>
      </c>
      <c r="CE11" s="421">
        <f>-1021269-CE13</f>
        <v>-1015994</v>
      </c>
      <c r="CF11" s="23">
        <f>-(1-CF12)*CF5</f>
        <v>-1050671.6934712275</v>
      </c>
      <c r="CG11" s="23">
        <f>-(1-CG12)*CG5</f>
        <v>-1070567.0084545063</v>
      </c>
      <c r="CH11" s="20">
        <f t="shared" si="73"/>
        <v>-4115106.7019257341</v>
      </c>
      <c r="CI11" s="23">
        <f>-(1-CI12)*CI5</f>
        <v>-1134817.0448896771</v>
      </c>
      <c r="CJ11" s="23">
        <f>-(1-CJ12)*CJ5</f>
        <v>-1286483.2532767581</v>
      </c>
      <c r="CK11" s="23">
        <f>-(1-CK12)*CK5</f>
        <v>-1292383.2086196481</v>
      </c>
      <c r="CL11" s="23">
        <f>-(1-CL12)*CL5</f>
        <v>-1223499.3542578958</v>
      </c>
      <c r="CM11" s="20">
        <f t="shared" si="74"/>
        <v>-4937182.8610439794</v>
      </c>
      <c r="CN11" s="23">
        <f>-(1-CN12)*CN5</f>
        <v>-1315759.5205934159</v>
      </c>
      <c r="CO11" s="23">
        <f>-(1-CO12)*CO5</f>
        <v>-1424092.8308290872</v>
      </c>
      <c r="CP11" s="23">
        <f>-(1-CP12)*CP5</f>
        <v>-1440027.9485759467</v>
      </c>
      <c r="CQ11" s="23">
        <f>-(1-CQ12)*CQ5</f>
        <v>-1407292.3559042457</v>
      </c>
      <c r="CR11" s="20">
        <f t="shared" si="75"/>
        <v>-5587172.6559026958</v>
      </c>
      <c r="CS11" s="23">
        <f>-(1-CS12)*CS5</f>
        <v>-1469208.2666172732</v>
      </c>
      <c r="CT11" s="23">
        <f>-(1-CT12)*CT5</f>
        <v>-1569730.1204855971</v>
      </c>
      <c r="CU11" s="23">
        <f>-(1-CU12)*CU5</f>
        <v>-1576020.9998634716</v>
      </c>
      <c r="CV11" s="23">
        <f>-(1-CV12)*CV5</f>
        <v>-1533238.3739063239</v>
      </c>
      <c r="CW11" s="20">
        <f t="shared" si="76"/>
        <v>-6148197.7608726658</v>
      </c>
      <c r="CX11" s="23">
        <f>-(1-CX12)*CX5</f>
        <v>-1581059.3739248463</v>
      </c>
      <c r="CY11" s="23">
        <f>-(1-CY12)*CY5</f>
        <v>-1679333.2487358674</v>
      </c>
      <c r="CZ11" s="23">
        <f>-(1-CZ12)*CZ5</f>
        <v>-1680614.2874466248</v>
      </c>
      <c r="DA11" s="23">
        <f>-(1-DA12)*DA5</f>
        <v>-1631601.81669659</v>
      </c>
      <c r="DB11" s="20">
        <f t="shared" si="77"/>
        <v>-6572608.7268039286</v>
      </c>
    </row>
    <row r="12" spans="1:106" ht="11.15" customHeight="1" outlineLevel="1" x14ac:dyDescent="0.35">
      <c r="A12" s="191" t="s">
        <v>205</v>
      </c>
      <c r="B12" s="154" t="e">
        <f t="shared" ref="B12:AE12" si="84">(1+B11/B5)</f>
        <v>#DIV/0!</v>
      </c>
      <c r="C12" s="154" t="e">
        <f t="shared" si="84"/>
        <v>#DIV/0!</v>
      </c>
      <c r="D12" s="154" t="e">
        <f t="shared" si="84"/>
        <v>#DIV/0!</v>
      </c>
      <c r="E12" s="154" t="e">
        <f t="shared" si="84"/>
        <v>#DIV/0!</v>
      </c>
      <c r="F12" s="24" t="e">
        <f t="shared" si="84"/>
        <v>#DIV/0!</v>
      </c>
      <c r="G12" s="154" t="e">
        <f t="shared" si="84"/>
        <v>#DIV/0!</v>
      </c>
      <c r="H12" s="154" t="e">
        <f t="shared" si="84"/>
        <v>#DIV/0!</v>
      </c>
      <c r="I12" s="154" t="e">
        <f t="shared" si="84"/>
        <v>#DIV/0!</v>
      </c>
      <c r="J12" s="154" t="e">
        <f t="shared" si="84"/>
        <v>#DIV/0!</v>
      </c>
      <c r="K12" s="24" t="e">
        <f t="shared" si="84"/>
        <v>#DIV/0!</v>
      </c>
      <c r="L12" s="154" t="e">
        <f t="shared" si="84"/>
        <v>#DIV/0!</v>
      </c>
      <c r="M12" s="154" t="e">
        <f t="shared" si="84"/>
        <v>#DIV/0!</v>
      </c>
      <c r="N12" s="154" t="e">
        <f t="shared" si="84"/>
        <v>#DIV/0!</v>
      </c>
      <c r="O12" s="154" t="e">
        <f t="shared" si="84"/>
        <v>#DIV/0!</v>
      </c>
      <c r="P12" s="24" t="e">
        <f t="shared" si="84"/>
        <v>#DIV/0!</v>
      </c>
      <c r="Q12" s="154" t="e">
        <f t="shared" si="84"/>
        <v>#DIV/0!</v>
      </c>
      <c r="R12" s="154" t="e">
        <f t="shared" si="84"/>
        <v>#DIV/0!</v>
      </c>
      <c r="S12" s="154" t="e">
        <f t="shared" si="84"/>
        <v>#DIV/0!</v>
      </c>
      <c r="T12" s="154" t="e">
        <f t="shared" si="84"/>
        <v>#DIV/0!</v>
      </c>
      <c r="U12" s="24" t="e">
        <f t="shared" si="84"/>
        <v>#DIV/0!</v>
      </c>
      <c r="V12" s="154" t="e">
        <f t="shared" si="84"/>
        <v>#DIV/0!</v>
      </c>
      <c r="W12" s="154" t="e">
        <f t="shared" si="84"/>
        <v>#DIV/0!</v>
      </c>
      <c r="X12" s="154" t="e">
        <f t="shared" si="84"/>
        <v>#DIV/0!</v>
      </c>
      <c r="Y12" s="154" t="e">
        <f t="shared" si="84"/>
        <v>#DIV/0!</v>
      </c>
      <c r="Z12" s="24" t="e">
        <f t="shared" si="84"/>
        <v>#DIV/0!</v>
      </c>
      <c r="AA12" s="154" t="e">
        <f t="shared" si="84"/>
        <v>#DIV/0!</v>
      </c>
      <c r="AB12" s="154" t="e">
        <f t="shared" si="84"/>
        <v>#DIV/0!</v>
      </c>
      <c r="AC12" s="154" t="e">
        <f t="shared" si="84"/>
        <v>#DIV/0!</v>
      </c>
      <c r="AD12" s="154" t="e">
        <f t="shared" si="84"/>
        <v>#DIV/0!</v>
      </c>
      <c r="AE12" s="24" t="e">
        <f t="shared" si="84"/>
        <v>#DIV/0!</v>
      </c>
      <c r="AF12" s="154" t="e">
        <f t="shared" ref="AF12:AG12" si="85">(1+AF11/AF5)</f>
        <v>#DIV/0!</v>
      </c>
      <c r="AG12" s="154" t="e">
        <f t="shared" si="85"/>
        <v>#DIV/0!</v>
      </c>
      <c r="AH12" s="154" t="e">
        <f t="shared" ref="AH12:BM12" si="86">(1+AH11/AH5)</f>
        <v>#DIV/0!</v>
      </c>
      <c r="AI12" s="154" t="e">
        <f t="shared" si="86"/>
        <v>#DIV/0!</v>
      </c>
      <c r="AJ12" s="24" t="e">
        <f t="shared" si="86"/>
        <v>#DIV/0!</v>
      </c>
      <c r="AK12" s="154">
        <f t="shared" si="86"/>
        <v>0.24572296514106096</v>
      </c>
      <c r="AL12" s="154">
        <f t="shared" si="86"/>
        <v>0.28034698047058859</v>
      </c>
      <c r="AM12" s="154">
        <f t="shared" si="86"/>
        <v>0.31703953982674238</v>
      </c>
      <c r="AN12" s="154">
        <f t="shared" si="86"/>
        <v>0.3933127484061103</v>
      </c>
      <c r="AO12" s="24">
        <f t="shared" si="86"/>
        <v>0.31399348294327756</v>
      </c>
      <c r="AP12" s="154">
        <f t="shared" si="86"/>
        <v>0.3147494080488118</v>
      </c>
      <c r="AQ12" s="154">
        <f t="shared" si="86"/>
        <v>0.32707403224686649</v>
      </c>
      <c r="AR12" s="154">
        <f t="shared" si="86"/>
        <v>0.38360566392868845</v>
      </c>
      <c r="AS12" s="154">
        <f t="shared" si="86"/>
        <v>0.37506618061666197</v>
      </c>
      <c r="AT12" s="24">
        <f t="shared" si="86"/>
        <v>0.35568767087280928</v>
      </c>
      <c r="AU12" s="154">
        <f t="shared" si="86"/>
        <v>0.3582721125349585</v>
      </c>
      <c r="AV12" s="154">
        <f t="shared" si="86"/>
        <v>0.35970230857739727</v>
      </c>
      <c r="AW12" s="154">
        <f t="shared" si="86"/>
        <v>0.35651509361864731</v>
      </c>
      <c r="AX12" s="154">
        <f t="shared" si="86"/>
        <v>0.45913224833795097</v>
      </c>
      <c r="AY12" s="24">
        <f t="shared" si="86"/>
        <v>0.39015719688516926</v>
      </c>
      <c r="AZ12" s="154">
        <f t="shared" si="86"/>
        <v>0.40530102429636139</v>
      </c>
      <c r="BA12" s="154">
        <f t="shared" si="86"/>
        <v>0.41144275642935157</v>
      </c>
      <c r="BB12" s="154">
        <f t="shared" si="86"/>
        <v>0.41055049999100202</v>
      </c>
      <c r="BC12" s="154">
        <f t="shared" si="86"/>
        <v>0.43263214280543771</v>
      </c>
      <c r="BD12" s="24">
        <f t="shared" si="86"/>
        <v>0.41625365603631914</v>
      </c>
      <c r="BE12" s="154">
        <f t="shared" si="86"/>
        <v>0.38624653763639838</v>
      </c>
      <c r="BF12" s="154">
        <f t="shared" si="86"/>
        <v>0.39085324824727052</v>
      </c>
      <c r="BG12" s="154">
        <f t="shared" si="86"/>
        <v>0.41656143154132952</v>
      </c>
      <c r="BH12" s="154">
        <f t="shared" si="86"/>
        <v>0.36861501542680841</v>
      </c>
      <c r="BI12" s="24">
        <f t="shared" si="86"/>
        <v>0.3904133219085415</v>
      </c>
      <c r="BJ12" s="154">
        <f t="shared" si="86"/>
        <v>0.38966101880311965</v>
      </c>
      <c r="BK12" s="154">
        <f t="shared" si="86"/>
        <v>0.37204852835186142</v>
      </c>
      <c r="BL12" s="154">
        <f t="shared" si="86"/>
        <v>0.40062685721707314</v>
      </c>
      <c r="BM12" s="154">
        <f t="shared" si="86"/>
        <v>0.38459421354338152</v>
      </c>
      <c r="BN12" s="24">
        <f t="shared" ref="BN12:BY12" si="87">(1+BN11/BN5)</f>
        <v>0.3867004014655272</v>
      </c>
      <c r="BO12" s="154">
        <f t="shared" si="87"/>
        <v>0.38932931911852331</v>
      </c>
      <c r="BP12" s="154">
        <f t="shared" si="87"/>
        <v>0.3917397285560491</v>
      </c>
      <c r="BQ12" s="154">
        <f t="shared" si="87"/>
        <v>0.39160724209998987</v>
      </c>
      <c r="BR12" s="154">
        <f t="shared" si="87"/>
        <v>0.40135223907992679</v>
      </c>
      <c r="BS12" s="24">
        <f t="shared" si="87"/>
        <v>0.39391406119378025</v>
      </c>
      <c r="BT12" s="154">
        <f t="shared" si="87"/>
        <v>0.39261033048745608</v>
      </c>
      <c r="BU12" s="154">
        <f t="shared" si="87"/>
        <v>0.39753121868666652</v>
      </c>
      <c r="BV12" s="154">
        <f t="shared" si="87"/>
        <v>0.40394641423068289</v>
      </c>
      <c r="BW12" s="154">
        <f t="shared" si="87"/>
        <v>0.4048444806239706</v>
      </c>
      <c r="BX12" s="24">
        <f t="shared" si="87"/>
        <v>0.40013942888589982</v>
      </c>
      <c r="BY12" s="154">
        <f t="shared" si="87"/>
        <v>0.4030830545891616</v>
      </c>
      <c r="BZ12" s="154">
        <f t="shared" ref="BZ12:CB12" si="88">(1+BZ11/BZ5)</f>
        <v>0.41141628354468673</v>
      </c>
      <c r="CA12" s="154">
        <f t="shared" si="88"/>
        <v>0.41507169180780557</v>
      </c>
      <c r="CB12" s="154">
        <f t="shared" si="88"/>
        <v>0.42039895214116896</v>
      </c>
      <c r="CC12" s="24">
        <f>(1+CC11/CC5)</f>
        <v>0.4128706710447545</v>
      </c>
      <c r="CD12" s="154">
        <f t="shared" ref="CD12:CE12" si="89">(1+CD11/CD5)</f>
        <v>0.40483678071374007</v>
      </c>
      <c r="CE12" s="154">
        <f t="shared" si="89"/>
        <v>0.41108590950956958</v>
      </c>
      <c r="CF12" s="559">
        <f>(CF118*Operating!CF37+CE110*Operating!CF39)/Operating!CF35</f>
        <v>0.41230237652515145</v>
      </c>
      <c r="CG12" s="559">
        <f>(CG118*Operating!CG37+CF110*Operating!CG39)/Operating!CG35</f>
        <v>0.41085783239582502</v>
      </c>
      <c r="CH12" s="24">
        <f>(1+CH11/CH5)</f>
        <v>0.40986591672938733</v>
      </c>
      <c r="CI12" s="559">
        <f>(CI118*Operating!CI37+CH110*Operating!CI39)/Operating!CI35-0.25%</f>
        <v>0.40953531220834788</v>
      </c>
      <c r="CJ12" s="559">
        <f>(CJ118*Operating!CJ37+CI110*Operating!CJ39)/Operating!CJ35+0.25%</f>
        <v>0.4117688853842898</v>
      </c>
      <c r="CK12" s="559">
        <f>(CK118*Operating!CK37+CJ110*Operating!CK39)/Operating!CK35+0.75%</f>
        <v>0.41574473838117709</v>
      </c>
      <c r="CL12" s="559">
        <f>(CL118*Operating!CL37+CK110*Operating!CL39)/Operating!CL35+1%</f>
        <v>0.41775669211008837</v>
      </c>
      <c r="CM12" s="24">
        <f>(1+CM11/CM5)</f>
        <v>0.41379735937212836</v>
      </c>
      <c r="CN12" s="422">
        <f>(CN118*Operating!CN37+CM110*Operating!CN39)/Operating!CN35</f>
        <v>0.40421537249501105</v>
      </c>
      <c r="CO12" s="422">
        <f>(CO118*Operating!CO37+CN110*Operating!CO39)/Operating!CO35</f>
        <v>0.40235661568770337</v>
      </c>
      <c r="CP12" s="422">
        <f>(CP118*Operating!CP37+CO110*Operating!CP39)/Operating!CP35</f>
        <v>0.40149635303781162</v>
      </c>
      <c r="CQ12" s="422">
        <f>(CQ118*Operating!CQ37+CP110*Operating!CQ39)/Operating!CQ35</f>
        <v>0.40103863583113875</v>
      </c>
      <c r="CR12" s="24">
        <f>(1+CR11/CR5)</f>
        <v>0.40224304541019984</v>
      </c>
      <c r="CS12" s="422">
        <f>(CS118*Operating!CS37+CR110*Operating!CS39)/Operating!CS35</f>
        <v>0.39567386008159444</v>
      </c>
      <c r="CT12" s="422">
        <f>(CT118*Operating!CT37+CS110*Operating!CT39)/Operating!CT35</f>
        <v>0.39379408070601596</v>
      </c>
      <c r="CU12" s="422">
        <f>(CU118*Operating!CU37+CT110*Operating!CU39)/Operating!CU35</f>
        <v>0.39291376550672491</v>
      </c>
      <c r="CV12" s="422">
        <f>(CV118*Operating!CV37+CU110*Operating!CV39)/Operating!CV35</f>
        <v>0.39244358189082829</v>
      </c>
      <c r="CW12" s="24">
        <f>(1+CW11/CW5)</f>
        <v>0.39368328990241586</v>
      </c>
      <c r="CX12" s="422">
        <f>(CX118*Operating!CX37+CW110*Operating!CX39)/Operating!CX35</f>
        <v>0.39129869866474354</v>
      </c>
      <c r="CY12" s="422">
        <f>(CY118*Operating!CY37+CX110*Operating!CY39)/Operating!CY35</f>
        <v>0.38998260871324408</v>
      </c>
      <c r="CZ12" s="422">
        <f>(CZ118*Operating!CZ37+CY110*Operating!CZ39)/Operating!CZ35</f>
        <v>0.38936290721659517</v>
      </c>
      <c r="DA12" s="422">
        <f>(DA118*Operating!DA37+CZ110*Operating!DA39)/Operating!DA35</f>
        <v>0.38903107190468211</v>
      </c>
      <c r="DB12" s="24">
        <f>(1+DB11/DB5)</f>
        <v>0.38990573180837429</v>
      </c>
    </row>
    <row r="13" spans="1:106" ht="11.25" customHeight="1" x14ac:dyDescent="0.35">
      <c r="A13" s="149" t="s">
        <v>69</v>
      </c>
      <c r="B13" s="148"/>
      <c r="C13" s="148"/>
      <c r="D13" s="148"/>
      <c r="E13" s="148"/>
      <c r="F13" s="20">
        <f t="shared" ref="F13:F14" si="90">SUM(B13:E13)</f>
        <v>0</v>
      </c>
      <c r="G13" s="421"/>
      <c r="H13" s="421"/>
      <c r="I13" s="421"/>
      <c r="J13" s="421"/>
      <c r="K13" s="20">
        <f t="shared" ref="K13:K14" si="91">SUM(G13:J13)</f>
        <v>0</v>
      </c>
      <c r="L13" s="421"/>
      <c r="M13" s="421"/>
      <c r="N13" s="421"/>
      <c r="O13" s="421"/>
      <c r="P13" s="20">
        <f t="shared" ref="P13:P14" si="92">SUM(L13:O13)</f>
        <v>0</v>
      </c>
      <c r="Q13" s="421"/>
      <c r="R13" s="421"/>
      <c r="S13" s="421"/>
      <c r="T13" s="421"/>
      <c r="U13" s="20">
        <f t="shared" ref="U13:U14" si="93">SUM(Q13:T13)</f>
        <v>0</v>
      </c>
      <c r="V13" s="421"/>
      <c r="W13" s="421"/>
      <c r="X13" s="421"/>
      <c r="Y13" s="421"/>
      <c r="Z13" s="20">
        <f t="shared" ref="Z13:Z14" si="94">SUM(V13:Y13)</f>
        <v>0</v>
      </c>
      <c r="AA13" s="421"/>
      <c r="AB13" s="421"/>
      <c r="AC13" s="421"/>
      <c r="AD13" s="421"/>
      <c r="AE13" s="20">
        <f t="shared" ref="AE13:AE14" si="95">SUM(AA13:AD13)</f>
        <v>0</v>
      </c>
      <c r="AF13" s="421"/>
      <c r="AG13" s="421"/>
      <c r="AH13" s="421"/>
      <c r="AI13" s="421"/>
      <c r="AJ13" s="20">
        <f t="shared" si="63"/>
        <v>0</v>
      </c>
      <c r="AK13" s="421"/>
      <c r="AL13" s="421"/>
      <c r="AM13" s="421"/>
      <c r="AN13" s="421"/>
      <c r="AO13" s="20">
        <f t="shared" si="64"/>
        <v>0</v>
      </c>
      <c r="AP13" s="421"/>
      <c r="AQ13" s="421"/>
      <c r="AR13" s="421"/>
      <c r="AS13" s="421"/>
      <c r="AT13" s="20">
        <f t="shared" si="65"/>
        <v>0</v>
      </c>
      <c r="AU13" s="421">
        <v>-1784</v>
      </c>
      <c r="AV13" s="421">
        <v>-1529</v>
      </c>
      <c r="AW13" s="421">
        <v>-1146</v>
      </c>
      <c r="AX13" s="421">
        <f>-6326-SUM(AU13:AW13)</f>
        <v>-1867</v>
      </c>
      <c r="AY13" s="20">
        <f t="shared" ref="AY13:AY14" si="96">SUM(AU13:AX13)</f>
        <v>-6326</v>
      </c>
      <c r="AZ13" s="421">
        <v>-1365</v>
      </c>
      <c r="BA13" s="421">
        <v>-1686</v>
      </c>
      <c r="BB13" s="421">
        <v>-409</v>
      </c>
      <c r="BC13" s="421">
        <f>-4215-SUM(AZ13:BB13)</f>
        <v>-755</v>
      </c>
      <c r="BD13" s="20">
        <f t="shared" ref="BD13:BD14" si="97">SUM(AZ13:BC13)</f>
        <v>-4215</v>
      </c>
      <c r="BE13" s="421">
        <v>-122</v>
      </c>
      <c r="BF13" s="421">
        <v>-142</v>
      </c>
      <c r="BG13" s="421">
        <v>-339</v>
      </c>
      <c r="BH13" s="421">
        <f>-1334-SUM(BE13:BG13)</f>
        <v>-731</v>
      </c>
      <c r="BI13" s="20">
        <f t="shared" ref="BI13:BI14" si="98">SUM(BE13:BH13)</f>
        <v>-1334</v>
      </c>
      <c r="BJ13" s="421">
        <v>-607</v>
      </c>
      <c r="BK13" s="421">
        <v>-564</v>
      </c>
      <c r="BL13" s="421">
        <v>-1100</v>
      </c>
      <c r="BM13" s="421">
        <f>-3284-SUM(BJ13:BL13)</f>
        <v>-1013</v>
      </c>
      <c r="BN13" s="20">
        <f t="shared" ref="BN13:BN14" si="99">SUM(BJ13:BM13)</f>
        <v>-3284</v>
      </c>
      <c r="BO13" s="421">
        <v>-1299</v>
      </c>
      <c r="BP13" s="421">
        <v>-1415</v>
      </c>
      <c r="BQ13" s="421">
        <v>-1489</v>
      </c>
      <c r="BR13" s="421">
        <f>-5964-SUM(BO13:BQ13)</f>
        <v>-1761</v>
      </c>
      <c r="BS13" s="20">
        <f t="shared" ref="BS13:BS14" si="100">SUM(BO13:BR13)</f>
        <v>-5964</v>
      </c>
      <c r="BT13" s="421">
        <v>-1856</v>
      </c>
      <c r="BU13" s="421">
        <v>-2127</v>
      </c>
      <c r="BV13" s="421">
        <v>-2041</v>
      </c>
      <c r="BW13" s="421">
        <f>-8361-SUM(BT13:BV13)</f>
        <v>-2337</v>
      </c>
      <c r="BX13" s="20">
        <f t="shared" ref="BX13:BX14" si="101">SUM(BT13:BW13)</f>
        <v>-8361</v>
      </c>
      <c r="BY13" s="421">
        <v>-1711</v>
      </c>
      <c r="BZ13" s="421">
        <v>-3457</v>
      </c>
      <c r="CA13" s="421">
        <v>-3061</v>
      </c>
      <c r="CB13" s="421">
        <f>-12556-SUM(BY13:CA13)</f>
        <v>-4327</v>
      </c>
      <c r="CC13" s="20">
        <f t="shared" si="72"/>
        <v>-12556</v>
      </c>
      <c r="CD13" s="421">
        <v>-4243</v>
      </c>
      <c r="CE13" s="421">
        <v>-5275</v>
      </c>
      <c r="CF13" s="423">
        <f>-('BS &amp; FCF'!CE144/(Operating!CE26+Operating!CE27))*Operating!CF37-0.15%*Operating!CF39</f>
        <v>-1324.6909500000002</v>
      </c>
      <c r="CG13" s="423">
        <f>-('BS &amp; FCF'!CF144/(Operating!CF26+Operating!CF27))*Operating!CG37-0.15%*Operating!CG39</f>
        <v>-777.64985253457769</v>
      </c>
      <c r="CH13" s="20">
        <f t="shared" si="73"/>
        <v>-11620.340802534578</v>
      </c>
      <c r="CI13" s="423">
        <f>-('BS &amp; FCF'!CH144/(Operating!CH26+Operating!CH27))*Operating!CI37-1%*Operating!CI39</f>
        <v>-9053.7812251752748</v>
      </c>
      <c r="CJ13" s="423">
        <f>-('BS &amp; FCF'!CI144/(Operating!CI26+Operating!CI27))*Operating!CJ37-1%*Operating!CJ39</f>
        <v>-4458.1303773717345</v>
      </c>
      <c r="CK13" s="423">
        <f>-('BS &amp; FCF'!CJ144/(Operating!CJ26+Operating!CJ27))*Operating!CK37-1%*Operating!CK39</f>
        <v>-4287.5977251077393</v>
      </c>
      <c r="CL13" s="423">
        <f>-('BS &amp; FCF'!CK144/(Operating!CK26+Operating!CK27))*Operating!CL37-1%*Operating!CL39</f>
        <v>-3995.3232722055418</v>
      </c>
      <c r="CM13" s="20">
        <f t="shared" si="74"/>
        <v>-21794.832599860289</v>
      </c>
      <c r="CN13" s="423">
        <f>-('BS &amp; FCF'!CM144/(Operating!CM26+Operating!CM27))*Operating!CN37-1%*Operating!CN39</f>
        <v>-2074.3151629308086</v>
      </c>
      <c r="CO13" s="423">
        <f>-('BS &amp; FCF'!CN144/(Operating!CN26+Operating!CN27))*Operating!CO37-1%*Operating!CO39</f>
        <v>-577.82019906041569</v>
      </c>
      <c r="CP13" s="423">
        <f>-('BS &amp; FCF'!CO144/(Operating!CO26+Operating!CO27))*Operating!CP37-1%*Operating!CP39</f>
        <v>-3190.4684114580468</v>
      </c>
      <c r="CQ13" s="423">
        <f>-('BS &amp; FCF'!CP144/(Operating!CP26+Operating!CP27))*Operating!CQ37-1%*Operating!CQ39</f>
        <v>-3248.0964242575519</v>
      </c>
      <c r="CR13" s="20">
        <f t="shared" si="75"/>
        <v>-9090.700197706823</v>
      </c>
      <c r="CS13" s="423">
        <f>-('BS &amp; FCF'!CR144/(Operating!CR26+Operating!CR27))*Operating!CS37-1%*Operating!CS39</f>
        <v>-178.17007470010685</v>
      </c>
      <c r="CT13" s="423">
        <f>-('BS &amp; FCF'!CS144/(Operating!CS26+Operating!CS27))*Operating!CT37-1%*Operating!CT39</f>
        <v>1006.9737765450027</v>
      </c>
      <c r="CU13" s="423">
        <f>-('BS &amp; FCF'!CT144/(Operating!CT26+Operating!CT27))*Operating!CU37-1%*Operating!CU39</f>
        <v>-2476.5474723949847</v>
      </c>
      <c r="CV13" s="423">
        <f>-('BS &amp; FCF'!CU144/(Operating!CU26+Operating!CU27))*Operating!CV37-1%*Operating!CV39</f>
        <v>-2853.8117788669442</v>
      </c>
      <c r="CW13" s="20">
        <f t="shared" si="76"/>
        <v>-4501.555549417033</v>
      </c>
      <c r="CX13" s="423">
        <f>-('BS &amp; FCF'!CW144/(Operating!CW26+Operating!CW27))*Operating!CX37-1%*Operating!CX39</f>
        <v>404.77316425565732</v>
      </c>
      <c r="CY13" s="423">
        <f>-('BS &amp; FCF'!CX144/(Operating!CX26+Operating!CX27))*Operating!CY37-1%*Operating!CY39</f>
        <v>1611.1276025106454</v>
      </c>
      <c r="CZ13" s="423">
        <f>-('BS &amp; FCF'!CY144/(Operating!CY26+Operating!CY27))*Operating!CZ37-1%*Operating!CZ39</f>
        <v>-2320.4110285561455</v>
      </c>
      <c r="DA13" s="423">
        <f>-('BS &amp; FCF'!CZ144/(Operating!CZ26+Operating!CZ27))*Operating!DA37-1%*Operating!DA39</f>
        <v>-2807.7926195026848</v>
      </c>
      <c r="DB13" s="20">
        <f t="shared" si="77"/>
        <v>-3112.3028812925277</v>
      </c>
    </row>
    <row r="14" spans="1:106" ht="11.25" customHeight="1" x14ac:dyDescent="0.35">
      <c r="A14" s="149" t="s">
        <v>70</v>
      </c>
      <c r="B14" s="148"/>
      <c r="C14" s="148"/>
      <c r="D14" s="148"/>
      <c r="E14" s="148"/>
      <c r="F14" s="20">
        <f t="shared" si="90"/>
        <v>0</v>
      </c>
      <c r="G14" s="421"/>
      <c r="H14" s="421"/>
      <c r="I14" s="421"/>
      <c r="J14" s="421"/>
      <c r="K14" s="20">
        <f t="shared" si="91"/>
        <v>0</v>
      </c>
      <c r="L14" s="421"/>
      <c r="M14" s="421"/>
      <c r="N14" s="421"/>
      <c r="O14" s="421"/>
      <c r="P14" s="20">
        <f t="shared" si="92"/>
        <v>0</v>
      </c>
      <c r="Q14" s="421"/>
      <c r="R14" s="421"/>
      <c r="S14" s="421"/>
      <c r="T14" s="421"/>
      <c r="U14" s="20">
        <f t="shared" si="93"/>
        <v>0</v>
      </c>
      <c r="V14" s="421"/>
      <c r="W14" s="421"/>
      <c r="X14" s="421"/>
      <c r="Y14" s="421"/>
      <c r="Z14" s="20">
        <f t="shared" si="94"/>
        <v>0</v>
      </c>
      <c r="AA14" s="421"/>
      <c r="AB14" s="421"/>
      <c r="AC14" s="421"/>
      <c r="AD14" s="421"/>
      <c r="AE14" s="20">
        <f t="shared" si="95"/>
        <v>0</v>
      </c>
      <c r="AF14" s="421"/>
      <c r="AG14" s="421"/>
      <c r="AH14" s="421"/>
      <c r="AI14" s="421"/>
      <c r="AJ14" s="20">
        <f t="shared" si="63"/>
        <v>0</v>
      </c>
      <c r="AK14" s="421"/>
      <c r="AL14" s="421"/>
      <c r="AM14" s="421"/>
      <c r="AN14" s="421"/>
      <c r="AO14" s="20">
        <f t="shared" si="64"/>
        <v>0</v>
      </c>
      <c r="AP14" s="421"/>
      <c r="AQ14" s="421"/>
      <c r="AR14" s="421"/>
      <c r="AS14" s="421"/>
      <c r="AT14" s="20">
        <f t="shared" si="65"/>
        <v>0</v>
      </c>
      <c r="AU14" s="421">
        <v>-8264</v>
      </c>
      <c r="AV14" s="421">
        <v>-8525</v>
      </c>
      <c r="AW14" s="421">
        <v>-7775</v>
      </c>
      <c r="AX14" s="421">
        <f>-28512-SUM(AU14:AW14)</f>
        <v>-3948</v>
      </c>
      <c r="AY14" s="20">
        <f t="shared" si="96"/>
        <v>-28512</v>
      </c>
      <c r="AZ14" s="421">
        <v>-9693</v>
      </c>
      <c r="BA14" s="421">
        <v>-9267</v>
      </c>
      <c r="BB14" s="421">
        <v>-5606</v>
      </c>
      <c r="BC14" s="421">
        <f>-33295-SUM(AZ14:BB14)</f>
        <v>-8729</v>
      </c>
      <c r="BD14" s="20">
        <f t="shared" si="97"/>
        <v>-33295</v>
      </c>
      <c r="BE14" s="421">
        <v>-6548</v>
      </c>
      <c r="BF14" s="421">
        <v>-7639</v>
      </c>
      <c r="BG14" s="421">
        <v>-9476</v>
      </c>
      <c r="BH14" s="421">
        <f>-10932-SUM(BE14:BG14)</f>
        <v>12731</v>
      </c>
      <c r="BI14" s="20">
        <f t="shared" si="98"/>
        <v>-10932</v>
      </c>
      <c r="BJ14" s="421">
        <v>-1869</v>
      </c>
      <c r="BK14" s="421">
        <v>-751</v>
      </c>
      <c r="BL14" s="421">
        <v>-8780</v>
      </c>
      <c r="BM14" s="421">
        <f>-4651-SUM(BJ14:BL14)</f>
        <v>6749</v>
      </c>
      <c r="BN14" s="20">
        <f t="shared" si="99"/>
        <v>-4651</v>
      </c>
      <c r="BO14" s="421">
        <v>-522</v>
      </c>
      <c r="BP14" s="421">
        <v>-339</v>
      </c>
      <c r="BQ14" s="421">
        <v>-138</v>
      </c>
      <c r="BR14" s="421">
        <f>-1355-SUM(BO14:BQ14)</f>
        <v>-356</v>
      </c>
      <c r="BS14" s="20">
        <f t="shared" si="100"/>
        <v>-1355</v>
      </c>
      <c r="BT14" s="421">
        <v>-714</v>
      </c>
      <c r="BU14" s="421">
        <v>-753</v>
      </c>
      <c r="BV14" s="421">
        <v>-1633</v>
      </c>
      <c r="BW14" s="421">
        <f>-2622-SUM(BT14:BV14)</f>
        <v>478</v>
      </c>
      <c r="BX14" s="20">
        <f t="shared" si="101"/>
        <v>-2622</v>
      </c>
      <c r="BY14" s="421">
        <v>-606</v>
      </c>
      <c r="BZ14" s="421">
        <v>-1001</v>
      </c>
      <c r="CA14" s="421">
        <v>-1190</v>
      </c>
      <c r="CB14" s="421">
        <f>-3848-SUM(BY14:CA14)</f>
        <v>-1051</v>
      </c>
      <c r="CC14" s="20">
        <f t="shared" si="72"/>
        <v>-3848</v>
      </c>
      <c r="CD14" s="421">
        <v>-798</v>
      </c>
      <c r="CE14" s="421">
        <v>-963</v>
      </c>
      <c r="CF14" s="23">
        <f>-CF6*(1-CF15)</f>
        <v>-997.93024841904162</v>
      </c>
      <c r="CG14" s="23">
        <f>-CG6*(1-CG15)</f>
        <v>-1014.3336582185621</v>
      </c>
      <c r="CH14" s="20">
        <f t="shared" si="73"/>
        <v>-3773.2639066376037</v>
      </c>
      <c r="CI14" s="23">
        <f>-CI6*(1-CI15)</f>
        <v>-1072.8006043595458</v>
      </c>
      <c r="CJ14" s="23">
        <f>-CJ6*(1-CJ15)</f>
        <v>-1220.7963824587041</v>
      </c>
      <c r="CK14" s="23">
        <f>-CK6*(1-CK15)</f>
        <v>-1234.7407005751613</v>
      </c>
      <c r="CL14" s="23">
        <f>-CL6*(1-CL15)</f>
        <v>-1172.968443125229</v>
      </c>
      <c r="CM14" s="20">
        <f t="shared" si="74"/>
        <v>-4701.3061305186402</v>
      </c>
      <c r="CN14" s="23">
        <f>-CN6*(1-CN15)</f>
        <v>-1232.7480302026436</v>
      </c>
      <c r="CO14" s="23">
        <f>-CO6*(1-CO15)</f>
        <v>-1330.096875020881</v>
      </c>
      <c r="CP14" s="23">
        <f>-CP6*(1-CP15)</f>
        <v>-1343.0469947530748</v>
      </c>
      <c r="CQ14" s="23">
        <f>-CQ6*(1-CQ15)</f>
        <v>-1311.5130273285281</v>
      </c>
      <c r="CR14" s="20">
        <f t="shared" si="75"/>
        <v>-5217.4049273051278</v>
      </c>
      <c r="CS14" s="23">
        <f>-CS6*(1-CS15)</f>
        <v>-1357.0600721889821</v>
      </c>
      <c r="CT14" s="23">
        <f>-CT6*(1-CT15)</f>
        <v>-1445.4128401550709</v>
      </c>
      <c r="CU14" s="23">
        <f>-CU6*(1-CU15)</f>
        <v>-1449.1011593295011</v>
      </c>
      <c r="CV14" s="23">
        <f>-CV6*(1-CV15)</f>
        <v>-1408.6728898230788</v>
      </c>
      <c r="CW14" s="20">
        <f t="shared" si="76"/>
        <v>-5660.246961496633</v>
      </c>
      <c r="CX14" s="23">
        <f>-CX6*(1-CX15)</f>
        <v>-1449.8765928718026</v>
      </c>
      <c r="CY14" s="23">
        <f>-CY6*(1-CY15)</f>
        <v>-1536.6740567123818</v>
      </c>
      <c r="CZ14" s="23">
        <f>-CZ6*(1-CZ15)</f>
        <v>-1536.2855969819168</v>
      </c>
      <c r="DA14" s="23">
        <f>-DA6*(1-DA15)</f>
        <v>-1490.6721771842874</v>
      </c>
      <c r="DB14" s="20">
        <f t="shared" si="77"/>
        <v>-6013.5084237503888</v>
      </c>
    </row>
    <row r="15" spans="1:106" ht="11.25" customHeight="1" outlineLevel="1" x14ac:dyDescent="0.35">
      <c r="A15" s="191" t="s">
        <v>204</v>
      </c>
      <c r="B15" s="154" t="e">
        <f t="shared" ref="B15:AE15" si="102">(1+B14/B6)</f>
        <v>#DIV/0!</v>
      </c>
      <c r="C15" s="154" t="e">
        <f t="shared" si="102"/>
        <v>#DIV/0!</v>
      </c>
      <c r="D15" s="154" t="e">
        <f t="shared" si="102"/>
        <v>#DIV/0!</v>
      </c>
      <c r="E15" s="154" t="e">
        <f t="shared" si="102"/>
        <v>#DIV/0!</v>
      </c>
      <c r="F15" s="24" t="e">
        <f t="shared" si="102"/>
        <v>#DIV/0!</v>
      </c>
      <c r="G15" s="154" t="e">
        <f t="shared" si="102"/>
        <v>#DIV/0!</v>
      </c>
      <c r="H15" s="154" t="e">
        <f t="shared" si="102"/>
        <v>#DIV/0!</v>
      </c>
      <c r="I15" s="154" t="e">
        <f t="shared" si="102"/>
        <v>#DIV/0!</v>
      </c>
      <c r="J15" s="154" t="e">
        <f t="shared" si="102"/>
        <v>#DIV/0!</v>
      </c>
      <c r="K15" s="24" t="e">
        <f t="shared" si="102"/>
        <v>#DIV/0!</v>
      </c>
      <c r="L15" s="154" t="e">
        <f t="shared" si="102"/>
        <v>#DIV/0!</v>
      </c>
      <c r="M15" s="154" t="e">
        <f t="shared" si="102"/>
        <v>#DIV/0!</v>
      </c>
      <c r="N15" s="154" t="e">
        <f t="shared" si="102"/>
        <v>#DIV/0!</v>
      </c>
      <c r="O15" s="154" t="e">
        <f t="shared" si="102"/>
        <v>#DIV/0!</v>
      </c>
      <c r="P15" s="24" t="e">
        <f t="shared" si="102"/>
        <v>#DIV/0!</v>
      </c>
      <c r="Q15" s="154" t="e">
        <f t="shared" si="102"/>
        <v>#DIV/0!</v>
      </c>
      <c r="R15" s="154" t="e">
        <f t="shared" si="102"/>
        <v>#DIV/0!</v>
      </c>
      <c r="S15" s="154" t="e">
        <f t="shared" si="102"/>
        <v>#DIV/0!</v>
      </c>
      <c r="T15" s="154" t="e">
        <f t="shared" si="102"/>
        <v>#DIV/0!</v>
      </c>
      <c r="U15" s="24" t="e">
        <f t="shared" si="102"/>
        <v>#DIV/0!</v>
      </c>
      <c r="V15" s="154" t="e">
        <f t="shared" si="102"/>
        <v>#DIV/0!</v>
      </c>
      <c r="W15" s="154" t="e">
        <f t="shared" si="102"/>
        <v>#DIV/0!</v>
      </c>
      <c r="X15" s="154" t="e">
        <f t="shared" si="102"/>
        <v>#DIV/0!</v>
      </c>
      <c r="Y15" s="154" t="e">
        <f t="shared" si="102"/>
        <v>#DIV/0!</v>
      </c>
      <c r="Z15" s="24" t="e">
        <f t="shared" si="102"/>
        <v>#DIV/0!</v>
      </c>
      <c r="AA15" s="154" t="e">
        <f t="shared" si="102"/>
        <v>#DIV/0!</v>
      </c>
      <c r="AB15" s="154" t="e">
        <f t="shared" si="102"/>
        <v>#DIV/0!</v>
      </c>
      <c r="AC15" s="154" t="e">
        <f t="shared" si="102"/>
        <v>#DIV/0!</v>
      </c>
      <c r="AD15" s="154" t="e">
        <f t="shared" si="102"/>
        <v>#DIV/0!</v>
      </c>
      <c r="AE15" s="24" t="e">
        <f t="shared" si="102"/>
        <v>#DIV/0!</v>
      </c>
      <c r="AF15" s="154" t="e">
        <f t="shared" ref="AF15:BM15" si="103">(1+AF14/AF6)</f>
        <v>#DIV/0!</v>
      </c>
      <c r="AG15" s="154" t="e">
        <f t="shared" si="103"/>
        <v>#DIV/0!</v>
      </c>
      <c r="AH15" s="154" t="e">
        <f t="shared" si="103"/>
        <v>#DIV/0!</v>
      </c>
      <c r="AI15" s="154" t="e">
        <f t="shared" si="103"/>
        <v>#DIV/0!</v>
      </c>
      <c r="AJ15" s="24" t="e">
        <f t="shared" si="103"/>
        <v>#DIV/0!</v>
      </c>
      <c r="AK15" s="154" t="e">
        <f t="shared" si="103"/>
        <v>#DIV/0!</v>
      </c>
      <c r="AL15" s="154" t="e">
        <f t="shared" si="103"/>
        <v>#DIV/0!</v>
      </c>
      <c r="AM15" s="154" t="e">
        <f t="shared" si="103"/>
        <v>#DIV/0!</v>
      </c>
      <c r="AN15" s="154" t="e">
        <f t="shared" si="103"/>
        <v>#DIV/0!</v>
      </c>
      <c r="AO15" s="24" t="e">
        <f t="shared" si="103"/>
        <v>#DIV/0!</v>
      </c>
      <c r="AP15" s="154" t="e">
        <f t="shared" si="103"/>
        <v>#DIV/0!</v>
      </c>
      <c r="AQ15" s="154" t="e">
        <f t="shared" si="103"/>
        <v>#DIV/0!</v>
      </c>
      <c r="AR15" s="154" t="e">
        <f t="shared" si="103"/>
        <v>#DIV/0!</v>
      </c>
      <c r="AS15" s="154" t="e">
        <f t="shared" si="103"/>
        <v>#DIV/0!</v>
      </c>
      <c r="AT15" s="24" t="e">
        <f t="shared" si="103"/>
        <v>#DIV/0!</v>
      </c>
      <c r="AU15" s="154">
        <f t="shared" si="103"/>
        <v>-4.066830165542612</v>
      </c>
      <c r="AV15" s="154">
        <f t="shared" si="103"/>
        <v>0.70112887393072498</v>
      </c>
      <c r="AW15" s="154">
        <f t="shared" si="103"/>
        <v>-5.2651087832393229</v>
      </c>
      <c r="AX15" s="154">
        <f t="shared" si="103"/>
        <v>1.2158438576349024</v>
      </c>
      <c r="AY15" s="24">
        <f t="shared" si="103"/>
        <v>-1.1756581457458983</v>
      </c>
      <c r="AZ15" s="154">
        <f t="shared" si="103"/>
        <v>-10.525564803804993</v>
      </c>
      <c r="BA15" s="154">
        <f t="shared" si="103"/>
        <v>-12.6480117820324</v>
      </c>
      <c r="BB15" s="154">
        <f t="shared" si="103"/>
        <v>-4.1010009099181071</v>
      </c>
      <c r="BC15" s="154">
        <f t="shared" si="103"/>
        <v>-0.14119492744149564</v>
      </c>
      <c r="BD15" s="24">
        <f t="shared" si="103"/>
        <v>-2.2425983638488507</v>
      </c>
      <c r="BE15" s="154">
        <f t="shared" si="103"/>
        <v>-4.8779174147217237</v>
      </c>
      <c r="BF15" s="154">
        <f t="shared" si="103"/>
        <v>-4.6004398826979473</v>
      </c>
      <c r="BG15" s="154">
        <f t="shared" si="103"/>
        <v>-7.83955223880597</v>
      </c>
      <c r="BH15" s="154">
        <f t="shared" si="103"/>
        <v>19.187142857142856</v>
      </c>
      <c r="BI15" s="24">
        <f t="shared" si="103"/>
        <v>-1.5722352941176472</v>
      </c>
      <c r="BJ15" s="154">
        <f t="shared" si="103"/>
        <v>-0.75492957746478884</v>
      </c>
      <c r="BK15" s="154">
        <f t="shared" si="103"/>
        <v>0.57232346241457854</v>
      </c>
      <c r="BL15" s="154">
        <f t="shared" si="103"/>
        <v>-5.3808139534883717</v>
      </c>
      <c r="BM15" s="154">
        <f t="shared" si="103"/>
        <v>6.7389455782312924</v>
      </c>
      <c r="BN15" s="24">
        <f t="shared" ref="BN15:BW15" si="104">(1+BN14/BN6)</f>
        <v>0.13437558161176255</v>
      </c>
      <c r="BO15" s="154">
        <f t="shared" si="104"/>
        <v>0.66878172588832485</v>
      </c>
      <c r="BP15" s="154">
        <f t="shared" si="104"/>
        <v>0.71099744245524299</v>
      </c>
      <c r="BQ15" s="154">
        <f t="shared" si="104"/>
        <v>0.91569945021380572</v>
      </c>
      <c r="BR15" s="154">
        <f t="shared" si="104"/>
        <v>0.63185108583247152</v>
      </c>
      <c r="BS15" s="24">
        <f t="shared" si="104"/>
        <v>0.74687091350644497</v>
      </c>
      <c r="BT15" s="154">
        <f t="shared" si="104"/>
        <v>0.59454855195911416</v>
      </c>
      <c r="BU15" s="154">
        <f t="shared" si="104"/>
        <v>0.19637139807897541</v>
      </c>
      <c r="BV15" s="154" t="e">
        <f t="shared" si="104"/>
        <v>#DIV/0!</v>
      </c>
      <c r="BW15" s="154">
        <f t="shared" si="104"/>
        <v>30.875</v>
      </c>
      <c r="BX15" s="24">
        <f>(1+BX14/BX6)</f>
        <v>3.3898305084745783E-2</v>
      </c>
      <c r="BY15" s="154">
        <f>(1+BY14/BY6)</f>
        <v>0.90551917680074834</v>
      </c>
      <c r="BZ15" s="154">
        <f t="shared" ref="BZ15:CB15" si="105">(1+BZ14/BZ6)</f>
        <v>-1.6272965879265091</v>
      </c>
      <c r="CA15" s="154">
        <f t="shared" si="105"/>
        <v>0.48795180722891562</v>
      </c>
      <c r="CB15" s="154">
        <f t="shared" si="105"/>
        <v>0.38752913752913754</v>
      </c>
      <c r="CC15" s="24">
        <f>(1+CC14/CC6)</f>
        <v>0.64485463774803875</v>
      </c>
      <c r="CD15" s="154">
        <f>(1+CD14/CD6)</f>
        <v>0.44544822793606675</v>
      </c>
      <c r="CE15" s="154">
        <f t="shared" ref="CE15" si="106">(1+CE14/CE6)</f>
        <v>-0.73513513513513518</v>
      </c>
      <c r="CF15" s="154">
        <f>CE15</f>
        <v>-0.73513513513513518</v>
      </c>
      <c r="CG15" s="154">
        <f>CF15</f>
        <v>-0.73513513513513518</v>
      </c>
      <c r="CH15" s="24">
        <f>(1+CH14/CH6)</f>
        <v>-0.19645014202481992</v>
      </c>
      <c r="CI15" s="154">
        <f>CG15</f>
        <v>-0.73513513513513518</v>
      </c>
      <c r="CJ15" s="154">
        <f>CI15</f>
        <v>-0.73513513513513518</v>
      </c>
      <c r="CK15" s="154">
        <f>CJ15</f>
        <v>-0.73513513513513518</v>
      </c>
      <c r="CL15" s="154">
        <f>CK15</f>
        <v>-0.73513513513513518</v>
      </c>
      <c r="CM15" s="24">
        <f>(1+CM14/CM6)</f>
        <v>-0.73513513513513518</v>
      </c>
      <c r="CN15" s="154">
        <f>CL15</f>
        <v>-0.73513513513513518</v>
      </c>
      <c r="CO15" s="154">
        <f>CN15</f>
        <v>-0.73513513513513518</v>
      </c>
      <c r="CP15" s="154">
        <f>CO15</f>
        <v>-0.73513513513513518</v>
      </c>
      <c r="CQ15" s="154">
        <f>CP15</f>
        <v>-0.73513513513513518</v>
      </c>
      <c r="CR15" s="24">
        <f>(1+CR14/CR6)</f>
        <v>-0.7351351351351354</v>
      </c>
      <c r="CS15" s="154">
        <f>CQ15</f>
        <v>-0.73513513513513518</v>
      </c>
      <c r="CT15" s="154">
        <f>CS15</f>
        <v>-0.73513513513513518</v>
      </c>
      <c r="CU15" s="154">
        <f>CT15</f>
        <v>-0.73513513513513518</v>
      </c>
      <c r="CV15" s="154">
        <f>CU15</f>
        <v>-0.73513513513513518</v>
      </c>
      <c r="CW15" s="24">
        <f>(1+CW14/CW6)</f>
        <v>-0.73513513513513518</v>
      </c>
      <c r="CX15" s="154">
        <f>CV15</f>
        <v>-0.73513513513513518</v>
      </c>
      <c r="CY15" s="154">
        <f>CX15</f>
        <v>-0.73513513513513518</v>
      </c>
      <c r="CZ15" s="154">
        <f>CY15</f>
        <v>-0.73513513513513518</v>
      </c>
      <c r="DA15" s="154">
        <f>CZ15</f>
        <v>-0.73513513513513518</v>
      </c>
      <c r="DB15" s="24">
        <f>(1+DB14/DB6)</f>
        <v>-0.7351351351351354</v>
      </c>
    </row>
    <row r="16" spans="1:106" ht="11.25" customHeight="1" x14ac:dyDescent="0.35">
      <c r="A16" s="157" t="s">
        <v>71</v>
      </c>
      <c r="B16" s="158">
        <f t="shared" ref="B16:E16" si="107">B9+B10</f>
        <v>0</v>
      </c>
      <c r="C16" s="158">
        <f t="shared" si="107"/>
        <v>0</v>
      </c>
      <c r="D16" s="158">
        <f t="shared" si="107"/>
        <v>0</v>
      </c>
      <c r="E16" s="158">
        <f t="shared" si="107"/>
        <v>0</v>
      </c>
      <c r="F16" s="159">
        <f t="shared" ref="F16:F18" si="108">SUM(B16:E16)</f>
        <v>0</v>
      </c>
      <c r="G16" s="158">
        <f t="shared" ref="G16:J16" si="109">G9+G10</f>
        <v>0</v>
      </c>
      <c r="H16" s="158">
        <f t="shared" si="109"/>
        <v>0</v>
      </c>
      <c r="I16" s="158">
        <f t="shared" si="109"/>
        <v>0</v>
      </c>
      <c r="J16" s="158">
        <f t="shared" si="109"/>
        <v>0</v>
      </c>
      <c r="K16" s="159">
        <f t="shared" ref="K16:K18" si="110">SUM(G16:J16)</f>
        <v>0</v>
      </c>
      <c r="L16" s="158">
        <f t="shared" ref="L16:O16" si="111">L9+L10</f>
        <v>0</v>
      </c>
      <c r="M16" s="158">
        <f t="shared" si="111"/>
        <v>0</v>
      </c>
      <c r="N16" s="158">
        <f t="shared" si="111"/>
        <v>0</v>
      </c>
      <c r="O16" s="158">
        <f t="shared" si="111"/>
        <v>0</v>
      </c>
      <c r="P16" s="159">
        <f t="shared" ref="P16:P18" si="112">SUM(L16:O16)</f>
        <v>0</v>
      </c>
      <c r="Q16" s="158">
        <f t="shared" ref="Q16:T16" si="113">Q9+Q10</f>
        <v>0</v>
      </c>
      <c r="R16" s="158">
        <f t="shared" si="113"/>
        <v>0</v>
      </c>
      <c r="S16" s="158">
        <f t="shared" si="113"/>
        <v>0</v>
      </c>
      <c r="T16" s="158">
        <f t="shared" si="113"/>
        <v>0</v>
      </c>
      <c r="U16" s="159">
        <f t="shared" ref="U16:U18" si="114">SUM(Q16:T16)</f>
        <v>0</v>
      </c>
      <c r="V16" s="158">
        <f t="shared" ref="V16:Y16" si="115">V9+V10</f>
        <v>0</v>
      </c>
      <c r="W16" s="158">
        <f t="shared" si="115"/>
        <v>0</v>
      </c>
      <c r="X16" s="158">
        <f t="shared" si="115"/>
        <v>0</v>
      </c>
      <c r="Y16" s="158">
        <f t="shared" si="115"/>
        <v>0</v>
      </c>
      <c r="Z16" s="159">
        <f t="shared" ref="Z16:Z18" si="116">SUM(V16:Y16)</f>
        <v>0</v>
      </c>
      <c r="AA16" s="158">
        <f t="shared" ref="AA16:AD16" si="117">AA9+AA10</f>
        <v>0</v>
      </c>
      <c r="AB16" s="158">
        <f t="shared" si="117"/>
        <v>0</v>
      </c>
      <c r="AC16" s="158">
        <f t="shared" si="117"/>
        <v>0</v>
      </c>
      <c r="AD16" s="158">
        <f t="shared" si="117"/>
        <v>0</v>
      </c>
      <c r="AE16" s="159">
        <f t="shared" ref="AE16:AE18" si="118">SUM(AA16:AD16)</f>
        <v>0</v>
      </c>
      <c r="AF16" s="158">
        <f>AF9+AF10</f>
        <v>0</v>
      </c>
      <c r="AG16" s="158">
        <f>AG9+AG10</f>
        <v>0</v>
      </c>
      <c r="AH16" s="158">
        <f>AH9+AH10</f>
        <v>0</v>
      </c>
      <c r="AI16" s="158">
        <f>AI9+AI10</f>
        <v>0</v>
      </c>
      <c r="AJ16" s="159">
        <f t="shared" si="63"/>
        <v>0</v>
      </c>
      <c r="AK16" s="158">
        <f>AK9+AK10</f>
        <v>38196.587000000014</v>
      </c>
      <c r="AL16" s="158">
        <f>AL9+AL10</f>
        <v>55174.635999999969</v>
      </c>
      <c r="AM16" s="158">
        <f>AM9+AM10</f>
        <v>65601.052000000025</v>
      </c>
      <c r="AN16" s="158">
        <f>AN9+AN10</f>
        <v>84871.913000000059</v>
      </c>
      <c r="AO16" s="159">
        <f t="shared" si="64"/>
        <v>243844.18800000008</v>
      </c>
      <c r="AP16" s="158">
        <f>AP9+AP10</f>
        <v>44538.736999999994</v>
      </c>
      <c r="AQ16" s="158">
        <f>AQ9+AQ10</f>
        <v>72555.002999999997</v>
      </c>
      <c r="AR16" s="158">
        <f>AR9+AR10</f>
        <v>97559.137000000046</v>
      </c>
      <c r="AS16" s="158">
        <f>AS9+AS10</f>
        <v>100075.01299999998</v>
      </c>
      <c r="AT16" s="159">
        <f t="shared" si="65"/>
        <v>314727.89</v>
      </c>
      <c r="AU16" s="158">
        <f>AU9+AU10</f>
        <v>55331</v>
      </c>
      <c r="AV16" s="158">
        <f>AV9+AV10</f>
        <v>100751</v>
      </c>
      <c r="AW16" s="158">
        <f>AW9+AW10</f>
        <v>80835</v>
      </c>
      <c r="AX16" s="158">
        <f>AX9+AX10</f>
        <v>118968</v>
      </c>
      <c r="AY16" s="159">
        <f t="shared" si="66"/>
        <v>355885</v>
      </c>
      <c r="AZ16" s="158">
        <f>AZ9+AZ10</f>
        <v>78140</v>
      </c>
      <c r="BA16" s="158">
        <f>BA9+BA10</f>
        <v>87067</v>
      </c>
      <c r="BB16" s="158">
        <f>BB9+BB10</f>
        <v>123356</v>
      </c>
      <c r="BC16" s="158">
        <f>BC9+BC10</f>
        <v>139827</v>
      </c>
      <c r="BD16" s="159">
        <f t="shared" si="67"/>
        <v>428390</v>
      </c>
      <c r="BE16" s="158">
        <f>BE9+BE10</f>
        <v>120342</v>
      </c>
      <c r="BF16" s="158">
        <f>BF9+BF10</f>
        <v>162916</v>
      </c>
      <c r="BG16" s="158">
        <f>BG9+BG10</f>
        <v>174971</v>
      </c>
      <c r="BH16" s="158">
        <f>BH9+BH10</f>
        <v>186442</v>
      </c>
      <c r="BI16" s="159">
        <f t="shared" si="68"/>
        <v>644671</v>
      </c>
      <c r="BJ16" s="158">
        <f>BJ9+BJ10</f>
        <v>165909</v>
      </c>
      <c r="BK16" s="158">
        <f>BK9+BK10</f>
        <v>215497</v>
      </c>
      <c r="BL16" s="158">
        <f>BL9+BL10</f>
        <v>233743</v>
      </c>
      <c r="BM16" s="158">
        <f>BM9+BM10</f>
        <v>221743</v>
      </c>
      <c r="BN16" s="159">
        <f t="shared" si="69"/>
        <v>836892</v>
      </c>
      <c r="BO16" s="158">
        <f>BO9+BO10</f>
        <v>223162</v>
      </c>
      <c r="BP16" s="158">
        <f>BP9+BP10</f>
        <v>274554</v>
      </c>
      <c r="BQ16" s="158">
        <f>BQ9+BQ10</f>
        <v>283903</v>
      </c>
      <c r="BR16" s="158">
        <f>BR9+BR10</f>
        <v>313734</v>
      </c>
      <c r="BS16" s="159">
        <f t="shared" si="70"/>
        <v>1095353</v>
      </c>
      <c r="BT16" s="158">
        <f>BT9+BT10</f>
        <v>316609</v>
      </c>
      <c r="BU16" s="158">
        <f>BU9+BU10</f>
        <v>382531</v>
      </c>
      <c r="BV16" s="158">
        <f>BV9+BV10</f>
        <v>409446</v>
      </c>
      <c r="BW16" s="158">
        <f>BW9+BW10</f>
        <v>404354</v>
      </c>
      <c r="BX16" s="159">
        <f t="shared" si="71"/>
        <v>1512940</v>
      </c>
      <c r="BY16" s="158">
        <f>BY9+BY10</f>
        <v>474888</v>
      </c>
      <c r="BZ16" s="158">
        <f>BZ9+BZ10</f>
        <v>532776</v>
      </c>
      <c r="CA16" s="158">
        <f>CA9+CA10</f>
        <v>566227</v>
      </c>
      <c r="CB16" s="158">
        <f>CB9+CB10</f>
        <v>572696</v>
      </c>
      <c r="CC16" s="159">
        <f t="shared" si="72"/>
        <v>2146587</v>
      </c>
      <c r="CD16" s="158">
        <f>CD9+CD10</f>
        <v>629656</v>
      </c>
      <c r="CE16" s="158">
        <f>CE9+CE10</f>
        <v>668362</v>
      </c>
      <c r="CF16" s="158">
        <f>CF9+CF10</f>
        <v>698159.09122568835</v>
      </c>
      <c r="CG16" s="158">
        <f>CG9+CG10</f>
        <v>707578.8775579033</v>
      </c>
      <c r="CH16" s="159">
        <f t="shared" si="73"/>
        <v>2703755.9687835919</v>
      </c>
      <c r="CI16" s="158">
        <f>CI9+CI10</f>
        <v>737591.18485404318</v>
      </c>
      <c r="CJ16" s="158">
        <f>CJ9+CJ10</f>
        <v>850073.45861055003</v>
      </c>
      <c r="CK16" s="158">
        <f>CK9+CK10</f>
        <v>868799.37710668845</v>
      </c>
      <c r="CL16" s="158">
        <f>CL9+CL10</f>
        <v>829640.22418161831</v>
      </c>
      <c r="CM16" s="159">
        <f t="shared" si="74"/>
        <v>3286104.2447528997</v>
      </c>
      <c r="CN16" s="158">
        <f>CN9+CN10</f>
        <v>844141.63153718319</v>
      </c>
      <c r="CO16" s="158">
        <f>CO9+CO10</f>
        <v>908033.79664898734</v>
      </c>
      <c r="CP16" s="158">
        <f>CP9+CP10</f>
        <v>912197.76128962729</v>
      </c>
      <c r="CQ16" s="158">
        <f>CQ9+CQ10</f>
        <v>889571.91504152888</v>
      </c>
      <c r="CR16" s="159">
        <f t="shared" si="75"/>
        <v>3553945.1045173267</v>
      </c>
      <c r="CS16" s="158">
        <f>CS9+CS10</f>
        <v>910605.67186071794</v>
      </c>
      <c r="CT16" s="158">
        <f>CT9+CT10</f>
        <v>966220.75420526322</v>
      </c>
      <c r="CU16" s="158">
        <f>CU9+CU10</f>
        <v>962914.87380748172</v>
      </c>
      <c r="CV16" s="158">
        <f>CV9+CV10</f>
        <v>934417.72763289837</v>
      </c>
      <c r="CW16" s="159">
        <f t="shared" si="76"/>
        <v>3774159.0275063612</v>
      </c>
      <c r="CX16" s="158">
        <f>CX9+CX10</f>
        <v>962117.76438907441</v>
      </c>
      <c r="CY16" s="158">
        <f>CY9+CY10</f>
        <v>1017274.3667478466</v>
      </c>
      <c r="CZ16" s="158">
        <f>CZ9+CZ10</f>
        <v>1011380.5144116846</v>
      </c>
      <c r="DA16" s="158">
        <f>DA9+DA10</f>
        <v>979909.45499398303</v>
      </c>
      <c r="DB16" s="159">
        <f t="shared" si="77"/>
        <v>3970682.1005425882</v>
      </c>
    </row>
    <row r="17" spans="1:106" ht="11.25" customHeight="1" x14ac:dyDescent="0.35">
      <c r="A17" s="16" t="s">
        <v>72</v>
      </c>
      <c r="B17" s="147">
        <f t="shared" ref="B17:E17" si="119">B18+B21+B23+B30+B34</f>
        <v>0</v>
      </c>
      <c r="C17" s="147">
        <f t="shared" si="119"/>
        <v>0</v>
      </c>
      <c r="D17" s="147">
        <f t="shared" si="119"/>
        <v>0</v>
      </c>
      <c r="E17" s="147">
        <f t="shared" si="119"/>
        <v>0</v>
      </c>
      <c r="F17" s="18">
        <f t="shared" si="108"/>
        <v>0</v>
      </c>
      <c r="G17" s="147">
        <f t="shared" ref="G17:J17" si="120">G18+G21+G23+G30+G34</f>
        <v>0</v>
      </c>
      <c r="H17" s="147">
        <f t="shared" si="120"/>
        <v>0</v>
      </c>
      <c r="I17" s="147">
        <f t="shared" si="120"/>
        <v>0</v>
      </c>
      <c r="J17" s="147">
        <f t="shared" si="120"/>
        <v>0</v>
      </c>
      <c r="K17" s="18">
        <f t="shared" si="110"/>
        <v>0</v>
      </c>
      <c r="L17" s="147">
        <f t="shared" ref="L17:O17" si="121">L18+L21+L23+L30+L34</f>
        <v>0</v>
      </c>
      <c r="M17" s="147">
        <f t="shared" si="121"/>
        <v>0</v>
      </c>
      <c r="N17" s="147">
        <f t="shared" si="121"/>
        <v>0</v>
      </c>
      <c r="O17" s="147">
        <f t="shared" si="121"/>
        <v>0</v>
      </c>
      <c r="P17" s="18">
        <f t="shared" si="112"/>
        <v>0</v>
      </c>
      <c r="Q17" s="147">
        <f t="shared" ref="Q17:T17" si="122">Q18+Q21+Q23+Q30+Q34</f>
        <v>0</v>
      </c>
      <c r="R17" s="147">
        <f t="shared" si="122"/>
        <v>0</v>
      </c>
      <c r="S17" s="147">
        <f t="shared" si="122"/>
        <v>0</v>
      </c>
      <c r="T17" s="147">
        <f t="shared" si="122"/>
        <v>0</v>
      </c>
      <c r="U17" s="18">
        <f t="shared" si="114"/>
        <v>0</v>
      </c>
      <c r="V17" s="147">
        <f t="shared" ref="V17:Y17" si="123">V18+V21+V23+V30+V34</f>
        <v>0</v>
      </c>
      <c r="W17" s="147">
        <f t="shared" si="123"/>
        <v>0</v>
      </c>
      <c r="X17" s="147">
        <f t="shared" si="123"/>
        <v>0</v>
      </c>
      <c r="Y17" s="147">
        <f t="shared" si="123"/>
        <v>0</v>
      </c>
      <c r="Z17" s="18">
        <f t="shared" si="116"/>
        <v>0</v>
      </c>
      <c r="AA17" s="147">
        <f t="shared" ref="AA17:AD17" si="124">AA18+AA21+AA23+AA30+AA34</f>
        <v>0</v>
      </c>
      <c r="AB17" s="147">
        <f t="shared" si="124"/>
        <v>0</v>
      </c>
      <c r="AC17" s="147">
        <f t="shared" si="124"/>
        <v>0</v>
      </c>
      <c r="AD17" s="147">
        <f t="shared" si="124"/>
        <v>0</v>
      </c>
      <c r="AE17" s="18">
        <f t="shared" si="118"/>
        <v>0</v>
      </c>
      <c r="AF17" s="147">
        <f>AF18+AF21+AF23+AF30+AF34</f>
        <v>0</v>
      </c>
      <c r="AG17" s="147">
        <f>AG18+AG21+AG23+AG30+AG34</f>
        <v>0</v>
      </c>
      <c r="AH17" s="147">
        <f>AH18+AH21+AH23+AH30+AH34</f>
        <v>0</v>
      </c>
      <c r="AI17" s="147">
        <f>AI18+AI21+AI23+AI30+AI34</f>
        <v>0</v>
      </c>
      <c r="AJ17" s="18">
        <f>SUM(AF17:AI17)</f>
        <v>0</v>
      </c>
      <c r="AK17" s="147">
        <f>AK18+AK21+AK23+AK30+AK34</f>
        <v>-21731.519</v>
      </c>
      <c r="AL17" s="147">
        <f>AL18+AL21+AL23+AL30+AL34</f>
        <v>-35087.854000000007</v>
      </c>
      <c r="AM17" s="147">
        <f>AM18+AM21+AM23+AM30+AM34</f>
        <v>-15726.312999999991</v>
      </c>
      <c r="AN17" s="147">
        <f>AN18+AN21+AN23+AN30+AN34</f>
        <v>-28703.093000000001</v>
      </c>
      <c r="AO17" s="18">
        <f>SUM(AK17:AN17)</f>
        <v>-101248.77900000001</v>
      </c>
      <c r="AP17" s="147">
        <f>AP18+AP21+AP23+AP30+AP34</f>
        <v>-20941.816999999995</v>
      </c>
      <c r="AQ17" s="147">
        <f>AQ18+AQ21+AQ23+AQ30+AQ34</f>
        <v>-27935.059000000005</v>
      </c>
      <c r="AR17" s="147">
        <f>AR18+AR21+AR23+AR30+AR34</f>
        <v>-38728.350999999988</v>
      </c>
      <c r="AS17" s="147">
        <f>AS18+AS21+AS23+AS30+AS34</f>
        <v>-32661.013999999996</v>
      </c>
      <c r="AT17" s="18">
        <f>SUM(AP17:AS17)</f>
        <v>-120266.24099999998</v>
      </c>
      <c r="AU17" s="147">
        <f>AU18+AU21+AU23+AU30+AU34</f>
        <v>-27074</v>
      </c>
      <c r="AV17" s="147">
        <f>AV18+AV21+AV23+AV30+AV34</f>
        <v>-21483</v>
      </c>
      <c r="AW17" s="147">
        <f>AW18+AW21+AW23+AW30+AW34</f>
        <v>-35652</v>
      </c>
      <c r="AX17" s="147">
        <f>AX18+AX21+AX23+AX30+AX34</f>
        <v>-45581</v>
      </c>
      <c r="AY17" s="18">
        <f>SUM(AU17:AX17)</f>
        <v>-129790</v>
      </c>
      <c r="AZ17" s="147">
        <f>AZ18+AZ21+AZ23+AZ30+AZ34</f>
        <v>-54985</v>
      </c>
      <c r="BA17" s="147">
        <f>BA18+BA21+BA23+BA30+BA34</f>
        <v>-41183</v>
      </c>
      <c r="BB17" s="147">
        <f>BB18+BB21+BB23+BB30+BB34</f>
        <v>-57238</v>
      </c>
      <c r="BC17" s="147">
        <f>BC18+BC21+BC23+BC30+BC34</f>
        <v>-58772</v>
      </c>
      <c r="BD17" s="18">
        <f>SUM(AZ17:BC17)</f>
        <v>-212178</v>
      </c>
      <c r="BE17" s="147">
        <f>BE18+BE21+BE23+BE30+BE34</f>
        <v>-61395</v>
      </c>
      <c r="BF17" s="147">
        <f>BF18+BF21+BF23+BF30+BF34</f>
        <v>-77551</v>
      </c>
      <c r="BG17" s="147">
        <f>BG18+BG21+BG23+BG30+BG34</f>
        <v>-89995</v>
      </c>
      <c r="BH17" s="147">
        <f>BH18+BH21+BH23+BH30+BH34</f>
        <v>-64089</v>
      </c>
      <c r="BI17" s="18">
        <f>SUM(BE17:BH17)</f>
        <v>-293030</v>
      </c>
      <c r="BJ17" s="147">
        <f>BJ18+BJ21+BJ23+BJ30+BJ34</f>
        <v>-90921</v>
      </c>
      <c r="BK17" s="147">
        <f>BK18+BK21+BK23+BK30+BK34</f>
        <v>-108110</v>
      </c>
      <c r="BL17" s="147">
        <f>BL18+BL21+BL23+BL30+BL34</f>
        <v>-123338</v>
      </c>
      <c r="BM17" s="147">
        <f>BM18+BM21+BM23+BM30+BM34</f>
        <v>-109519</v>
      </c>
      <c r="BN17" s="18">
        <f>SUM(BJ17:BM17)</f>
        <v>-431888</v>
      </c>
      <c r="BO17" s="147">
        <f>BO18+BO21+BO23+BO30+BO34</f>
        <v>-113770</v>
      </c>
      <c r="BP17" s="147">
        <f>BP18+BP21+BP23+BP30+BP34</f>
        <v>-132289</v>
      </c>
      <c r="BQ17" s="147">
        <f>BQ18+BQ21+BQ23+BQ30+BQ34</f>
        <v>-151884</v>
      </c>
      <c r="BR17" s="147">
        <f>BR18+BR21+BR23+BR30+BR34</f>
        <v>-129381</v>
      </c>
      <c r="BS17" s="18">
        <f>SUM(BO17:BR17)</f>
        <v>-527324</v>
      </c>
      <c r="BT17" s="147">
        <f>BT18+BT21+BT23+BT30+BT34</f>
        <v>-142353</v>
      </c>
      <c r="BU17" s="147">
        <f>BU18+BU21+BU23+BU30+BU34</f>
        <v>-186341</v>
      </c>
      <c r="BV17" s="147">
        <f>BV18+BV21+BV23+BV30+BV34</f>
        <v>-205856</v>
      </c>
      <c r="BW17" s="147">
        <f>BW18+BW21+BW23+BW30+BW34</f>
        <v>-189794</v>
      </c>
      <c r="BX17" s="18">
        <f>SUM(BT17:BW17)</f>
        <v>-724344</v>
      </c>
      <c r="BY17" s="147">
        <f>BY18+BY21+BY23+BY30+BY34</f>
        <v>-210221</v>
      </c>
      <c r="BZ17" s="147">
        <f>BZ18+BZ21+BZ23+BZ30+BZ34</f>
        <v>-234180</v>
      </c>
      <c r="CA17" s="147">
        <f>CA18+CA21+CA23+CA30+CA34</f>
        <v>-246254</v>
      </c>
      <c r="CB17" s="147">
        <f>CB18+CB21+CB23+CB30+CB34</f>
        <v>-235686</v>
      </c>
      <c r="CC17" s="18">
        <f>SUM(BY17:CB17)</f>
        <v>-926341</v>
      </c>
      <c r="CD17" s="147">
        <f>CD18+CD21+CD23+CD30+CD34</f>
        <v>-237220</v>
      </c>
      <c r="CE17" s="147">
        <f>CE18+CE21+CE23+CE30+CE34</f>
        <v>-312057</v>
      </c>
      <c r="CF17" s="147">
        <f ca="1">CF18+CF21+CF23+CF30+CF34</f>
        <v>-306500.84602069505</v>
      </c>
      <c r="CG17" s="147">
        <f ca="1">CG18+CG21+CG23+CG30+CG34</f>
        <v>-283458.39347544388</v>
      </c>
      <c r="CH17" s="18">
        <f ca="1">SUM(CD17:CG17)</f>
        <v>-1139236.2394961389</v>
      </c>
      <c r="CI17" s="147">
        <f ca="1">CI18+CI21+CI23+CI30+CI34</f>
        <v>-295845.94585951365</v>
      </c>
      <c r="CJ17" s="147">
        <f ca="1">CJ18+CJ21+CJ23+CJ30+CJ34</f>
        <v>-368818.98674492462</v>
      </c>
      <c r="CK17" s="147">
        <f ca="1">CK18+CK21+CK23+CK30+CK34</f>
        <v>-350803.09708196385</v>
      </c>
      <c r="CL17" s="147">
        <f ca="1">CL18+CL21+CL23+CL30+CL34</f>
        <v>-324855.75521036721</v>
      </c>
      <c r="CM17" s="18">
        <f ca="1">SUM(CI17:CL17)</f>
        <v>-1340323.7848967693</v>
      </c>
      <c r="CN17" s="147">
        <f ca="1">CN18+CN21+CN23+CN30+CN34</f>
        <v>-299604.01485640858</v>
      </c>
      <c r="CO17" s="147">
        <f ca="1">CO18+CO21+CO23+CO30+CO34</f>
        <v>-370651.68230115582</v>
      </c>
      <c r="CP17" s="147">
        <f ca="1">CP18+CP21+CP23+CP30+CP34</f>
        <v>-352377.6543424094</v>
      </c>
      <c r="CQ17" s="147">
        <f ca="1">CQ18+CQ21+CQ23+CQ30+CQ34</f>
        <v>-327844.06644469377</v>
      </c>
      <c r="CR17" s="18">
        <f ca="1">SUM(CN17:CQ17)</f>
        <v>-1350477.4179446676</v>
      </c>
      <c r="CS17" s="147">
        <f ca="1">CS18+CS21+CS23+CS30+CS34</f>
        <v>-321028.56202771398</v>
      </c>
      <c r="CT17" s="147">
        <f ca="1">CT18+CT21+CT23+CT30+CT34</f>
        <v>-393303.71693770826</v>
      </c>
      <c r="CU17" s="147">
        <f ca="1">CU18+CU21+CU23+CU30+CU34</f>
        <v>-372906.78033838683</v>
      </c>
      <c r="CV17" s="147">
        <f ca="1">CV18+CV21+CV23+CV30+CV34</f>
        <v>-345782.46716520411</v>
      </c>
      <c r="CW17" s="18">
        <f ca="1">SUM(CS17:CV17)</f>
        <v>-1433021.5264690132</v>
      </c>
      <c r="CX17" s="147">
        <f ca="1">CX18+CX21+CX23+CX30+CX34</f>
        <v>-336902.79275447648</v>
      </c>
      <c r="CY17" s="147">
        <f ca="1">CY18+CY21+CY23+CY30+CY34</f>
        <v>-411263.23624496133</v>
      </c>
      <c r="CZ17" s="147">
        <f ca="1">CZ18+CZ21+CZ23+CZ30+CZ34</f>
        <v>-389655.30594636354</v>
      </c>
      <c r="DA17" s="147">
        <f ca="1">DA18+DA21+DA23+DA30+DA34</f>
        <v>-361386.07169140747</v>
      </c>
      <c r="DB17" s="18">
        <f ca="1">SUM(CX17:DA17)</f>
        <v>-1499207.406637209</v>
      </c>
    </row>
    <row r="18" spans="1:106" ht="11.25" customHeight="1" x14ac:dyDescent="0.35">
      <c r="A18" s="19" t="s">
        <v>73</v>
      </c>
      <c r="B18" s="421"/>
      <c r="C18" s="421"/>
      <c r="D18" s="421"/>
      <c r="E18" s="421"/>
      <c r="F18" s="20">
        <f t="shared" si="108"/>
        <v>0</v>
      </c>
      <c r="G18" s="421"/>
      <c r="H18" s="421"/>
      <c r="I18" s="421"/>
      <c r="J18" s="421"/>
      <c r="K18" s="20">
        <f t="shared" si="110"/>
        <v>0</v>
      </c>
      <c r="L18" s="421"/>
      <c r="M18" s="421"/>
      <c r="N18" s="421"/>
      <c r="O18" s="421"/>
      <c r="P18" s="20">
        <f t="shared" si="112"/>
        <v>0</v>
      </c>
      <c r="Q18" s="421"/>
      <c r="R18" s="421"/>
      <c r="S18" s="421"/>
      <c r="T18" s="421"/>
      <c r="U18" s="20">
        <f t="shared" si="114"/>
        <v>0</v>
      </c>
      <c r="V18" s="421"/>
      <c r="W18" s="421"/>
      <c r="X18" s="421"/>
      <c r="Y18" s="421"/>
      <c r="Z18" s="20">
        <f t="shared" si="116"/>
        <v>0</v>
      </c>
      <c r="AA18" s="421"/>
      <c r="AB18" s="421"/>
      <c r="AC18" s="421"/>
      <c r="AD18" s="421"/>
      <c r="AE18" s="20">
        <f t="shared" si="118"/>
        <v>0</v>
      </c>
      <c r="AF18" s="421"/>
      <c r="AG18" s="421"/>
      <c r="AH18" s="421"/>
      <c r="AI18" s="421"/>
      <c r="AJ18" s="20">
        <f t="shared" si="63"/>
        <v>0</v>
      </c>
      <c r="AK18" s="421">
        <v>-19606.696</v>
      </c>
      <c r="AL18" s="421">
        <v>-27523.964000000004</v>
      </c>
      <c r="AM18" s="421">
        <v>-23200.762999999988</v>
      </c>
      <c r="AN18" s="421">
        <v>-33013.442999999999</v>
      </c>
      <c r="AO18" s="20">
        <f t="shared" si="64"/>
        <v>-103344.86599999999</v>
      </c>
      <c r="AP18" s="421">
        <v>-16280.821</v>
      </c>
      <c r="AQ18" s="421">
        <v>-22900.000000000004</v>
      </c>
      <c r="AR18" s="421">
        <v>-21281.70299999999</v>
      </c>
      <c r="AS18" s="421">
        <v>-25372.386999999999</v>
      </c>
      <c r="AT18" s="20">
        <f t="shared" si="65"/>
        <v>-85834.910999999993</v>
      </c>
      <c r="AU18" s="421">
        <v>-14144</v>
      </c>
      <c r="AV18" s="421">
        <v>-20312</v>
      </c>
      <c r="AW18" s="421">
        <v>-26575</v>
      </c>
      <c r="AX18" s="421">
        <f>-100668-SUM(AU18:AW18)</f>
        <v>-39637</v>
      </c>
      <c r="AY18" s="20">
        <f t="shared" ref="AY18" si="125">SUM(AU18:AX18)</f>
        <v>-100668</v>
      </c>
      <c r="AZ18" s="421">
        <v>-22046</v>
      </c>
      <c r="BA18" s="421">
        <v>-26343</v>
      </c>
      <c r="BB18" s="421">
        <v>-27428</v>
      </c>
      <c r="BC18" s="421">
        <f>-102804-SUM(AZ18:BB18)</f>
        <v>-26987</v>
      </c>
      <c r="BD18" s="20">
        <f t="shared" ref="BD18" si="126">SUM(AZ18:BC18)</f>
        <v>-102804</v>
      </c>
      <c r="BE18" s="421">
        <v>-30360</v>
      </c>
      <c r="BF18" s="421">
        <v>-38953</v>
      </c>
      <c r="BG18" s="421">
        <v>-47954</v>
      </c>
      <c r="BH18" s="421">
        <f>-164226-SUM(BE18:BG18)</f>
        <v>-46959</v>
      </c>
      <c r="BI18" s="20">
        <f t="shared" ref="BI18" si="127">SUM(BE18:BH18)</f>
        <v>-164226</v>
      </c>
      <c r="BJ18" s="421">
        <v>-44417</v>
      </c>
      <c r="BK18" s="421">
        <v>-53835</v>
      </c>
      <c r="BL18" s="421">
        <v>-59384</v>
      </c>
      <c r="BM18" s="421">
        <f>-212188-SUM(BJ18:BL18)</f>
        <v>-54552</v>
      </c>
      <c r="BN18" s="20">
        <f t="shared" ref="BN18" si="128">SUM(BJ18:BM18)</f>
        <v>-212188</v>
      </c>
      <c r="BO18" s="421">
        <v>-62031</v>
      </c>
      <c r="BP18" s="421">
        <v>-66728</v>
      </c>
      <c r="BQ18" s="421">
        <v>-80995</v>
      </c>
      <c r="BR18" s="421">
        <f>-285230-SUM(BO18:BQ18)</f>
        <v>-75476</v>
      </c>
      <c r="BS18" s="20">
        <f t="shared" ref="BS18" si="129">SUM(BO18:BR18)</f>
        <v>-285230</v>
      </c>
      <c r="BT18" s="421">
        <v>-76092</v>
      </c>
      <c r="BU18" s="421">
        <v>-97945</v>
      </c>
      <c r="BV18" s="421">
        <v>-113852</v>
      </c>
      <c r="BW18" s="421">
        <f>-391872-SUM(BT18:BV18)</f>
        <v>-103983</v>
      </c>
      <c r="BX18" s="20">
        <f t="shared" ref="BX18" si="130">SUM(BT18:BW18)</f>
        <v>-391872</v>
      </c>
      <c r="BY18" s="421">
        <v>-106236</v>
      </c>
      <c r="BZ18" s="421">
        <v>-124747</v>
      </c>
      <c r="CA18" s="421">
        <v>-134823</v>
      </c>
      <c r="CB18" s="421">
        <f>-494891-SUM(BY18:CA18)</f>
        <v>-129085</v>
      </c>
      <c r="CC18" s="20">
        <f t="shared" si="72"/>
        <v>-494891</v>
      </c>
      <c r="CD18" s="421">
        <v>-119070</v>
      </c>
      <c r="CE18" s="421">
        <v>-166790</v>
      </c>
      <c r="CF18" s="424">
        <f>-CF20*(Operating!CF15+Operating!CF17)</f>
        <v>-163627.19082533356</v>
      </c>
      <c r="CG18" s="424">
        <f>-CG20*(Operating!CG15+Operating!CG17)</f>
        <v>-154137.40466382413</v>
      </c>
      <c r="CH18" s="20">
        <f t="shared" si="73"/>
        <v>-603624.59548915771</v>
      </c>
      <c r="CI18" s="424">
        <f>-CI20*(Operating!CI15+Operating!CI17)</f>
        <v>-160924.93458780876</v>
      </c>
      <c r="CJ18" s="424">
        <f>-CJ20*(Operating!CJ15+Operating!CJ17)</f>
        <v>-210691.65460545497</v>
      </c>
      <c r="CK18" s="424">
        <f>-CK20*(Operating!CK15+Operating!CK17)</f>
        <v>-187004.39246250511</v>
      </c>
      <c r="CL18" s="424">
        <f>-CL20*(Operating!CL15+Operating!CL17)</f>
        <v>-176952.2198316034</v>
      </c>
      <c r="CM18" s="20">
        <f t="shared" si="74"/>
        <v>-735573.20148737216</v>
      </c>
      <c r="CN18" s="424">
        <f>-CN20*(Operating!CN15+Operating!CN17)</f>
        <v>-168185.3896459933</v>
      </c>
      <c r="CO18" s="424">
        <f>-CO20*(Operating!CO15+Operating!CO17)</f>
        <v>-218522.08581646456</v>
      </c>
      <c r="CP18" s="424">
        <f>-CP20*(Operating!CP15+Operating!CP17)</f>
        <v>-193750.84637632174</v>
      </c>
      <c r="CQ18" s="424">
        <f>-CQ20*(Operating!CQ15+Operating!CQ17)</f>
        <v>-184180.08545668045</v>
      </c>
      <c r="CR18" s="20">
        <f t="shared" si="75"/>
        <v>-764638.40729546011</v>
      </c>
      <c r="CS18" s="424">
        <f>-CS20*(Operating!CS15+Operating!CS17)</f>
        <v>-179900.40799335836</v>
      </c>
      <c r="CT18" s="424">
        <f>-CT20*(Operating!CT15+Operating!CT17)</f>
        <v>-231245.68288987677</v>
      </c>
      <c r="CU18" s="424">
        <f>-CU20*(Operating!CU15+Operating!CU17)</f>
        <v>-203998.03510003616</v>
      </c>
      <c r="CV18" s="424">
        <f>-CV20*(Operating!CV15+Operating!CV17)</f>
        <v>-193099.50108437211</v>
      </c>
      <c r="CW18" s="20">
        <f t="shared" si="76"/>
        <v>-808243.62706764345</v>
      </c>
      <c r="CX18" s="424">
        <f>-CX20*(Operating!CX15+Operating!CX17)</f>
        <v>-187825.12179785655</v>
      </c>
      <c r="CY18" s="424">
        <f>-CY20*(Operating!CY15+Operating!CY17)</f>
        <v>-241040.02245389463</v>
      </c>
      <c r="CZ18" s="424">
        <f>-CZ20*(Operating!CZ15+Operating!CZ17)</f>
        <v>-212474.19035183385</v>
      </c>
      <c r="DA18" s="424">
        <f>-DA20*(Operating!DA15+Operating!DA17)</f>
        <v>-200991.76570091225</v>
      </c>
      <c r="DB18" s="20">
        <f t="shared" si="77"/>
        <v>-842331.10030449729</v>
      </c>
    </row>
    <row r="19" spans="1:106" s="25" customFormat="1" ht="11.25" customHeight="1" outlineLevel="1" x14ac:dyDescent="0.35">
      <c r="A19" s="155" t="s">
        <v>80</v>
      </c>
      <c r="B19" s="154" t="e">
        <f t="shared" ref="B19:AE19" si="131">-B18/B9</f>
        <v>#DIV/0!</v>
      </c>
      <c r="C19" s="154" t="e">
        <f t="shared" si="131"/>
        <v>#DIV/0!</v>
      </c>
      <c r="D19" s="154" t="e">
        <f t="shared" si="131"/>
        <v>#DIV/0!</v>
      </c>
      <c r="E19" s="154" t="e">
        <f t="shared" si="131"/>
        <v>#DIV/0!</v>
      </c>
      <c r="F19" s="24" t="e">
        <f t="shared" si="131"/>
        <v>#DIV/0!</v>
      </c>
      <c r="G19" s="154" t="e">
        <f t="shared" si="131"/>
        <v>#DIV/0!</v>
      </c>
      <c r="H19" s="154" t="e">
        <f t="shared" si="131"/>
        <v>#DIV/0!</v>
      </c>
      <c r="I19" s="154" t="e">
        <f t="shared" si="131"/>
        <v>#DIV/0!</v>
      </c>
      <c r="J19" s="154" t="e">
        <f t="shared" si="131"/>
        <v>#DIV/0!</v>
      </c>
      <c r="K19" s="24" t="e">
        <f t="shared" si="131"/>
        <v>#DIV/0!</v>
      </c>
      <c r="L19" s="154" t="e">
        <f t="shared" si="131"/>
        <v>#DIV/0!</v>
      </c>
      <c r="M19" s="154" t="e">
        <f t="shared" si="131"/>
        <v>#DIV/0!</v>
      </c>
      <c r="N19" s="154" t="e">
        <f t="shared" si="131"/>
        <v>#DIV/0!</v>
      </c>
      <c r="O19" s="154" t="e">
        <f t="shared" si="131"/>
        <v>#DIV/0!</v>
      </c>
      <c r="P19" s="24" t="e">
        <f t="shared" si="131"/>
        <v>#DIV/0!</v>
      </c>
      <c r="Q19" s="154" t="e">
        <f t="shared" si="131"/>
        <v>#DIV/0!</v>
      </c>
      <c r="R19" s="154" t="e">
        <f t="shared" si="131"/>
        <v>#DIV/0!</v>
      </c>
      <c r="S19" s="154" t="e">
        <f t="shared" si="131"/>
        <v>#DIV/0!</v>
      </c>
      <c r="T19" s="154" t="e">
        <f t="shared" si="131"/>
        <v>#DIV/0!</v>
      </c>
      <c r="U19" s="24" t="e">
        <f t="shared" si="131"/>
        <v>#DIV/0!</v>
      </c>
      <c r="V19" s="154" t="e">
        <f t="shared" si="131"/>
        <v>#DIV/0!</v>
      </c>
      <c r="W19" s="154" t="e">
        <f t="shared" si="131"/>
        <v>#DIV/0!</v>
      </c>
      <c r="X19" s="154" t="e">
        <f t="shared" si="131"/>
        <v>#DIV/0!</v>
      </c>
      <c r="Y19" s="154" t="e">
        <f t="shared" si="131"/>
        <v>#DIV/0!</v>
      </c>
      <c r="Z19" s="24" t="e">
        <f t="shared" si="131"/>
        <v>#DIV/0!</v>
      </c>
      <c r="AA19" s="154" t="e">
        <f t="shared" si="131"/>
        <v>#DIV/0!</v>
      </c>
      <c r="AB19" s="154" t="e">
        <f t="shared" si="131"/>
        <v>#DIV/0!</v>
      </c>
      <c r="AC19" s="154" t="e">
        <f t="shared" si="131"/>
        <v>#DIV/0!</v>
      </c>
      <c r="AD19" s="154" t="e">
        <f t="shared" si="131"/>
        <v>#DIV/0!</v>
      </c>
      <c r="AE19" s="24" t="e">
        <f t="shared" si="131"/>
        <v>#DIV/0!</v>
      </c>
      <c r="AF19" s="154" t="e">
        <f t="shared" ref="AF19:AG19" si="132">-AF18/AF9</f>
        <v>#DIV/0!</v>
      </c>
      <c r="AG19" s="154" t="e">
        <f t="shared" si="132"/>
        <v>#DIV/0!</v>
      </c>
      <c r="AH19" s="154" t="e">
        <f t="shared" ref="AH19:BM19" si="133">-AH18/AH9</f>
        <v>#DIV/0!</v>
      </c>
      <c r="AI19" s="154" t="e">
        <f t="shared" si="133"/>
        <v>#DIV/0!</v>
      </c>
      <c r="AJ19" s="24" t="e">
        <f t="shared" si="133"/>
        <v>#DIV/0!</v>
      </c>
      <c r="AK19" s="154">
        <f t="shared" si="133"/>
        <v>0.11790772277189615</v>
      </c>
      <c r="AL19" s="154">
        <f t="shared" si="133"/>
        <v>0.13222576257383425</v>
      </c>
      <c r="AM19" s="154">
        <f t="shared" si="133"/>
        <v>0.10699490153317863</v>
      </c>
      <c r="AN19" s="154">
        <f t="shared" si="133"/>
        <v>0.14797779910081371</v>
      </c>
      <c r="AO19" s="24">
        <f t="shared" si="133"/>
        <v>0.12689935235665945</v>
      </c>
      <c r="AP19" s="154">
        <f t="shared" si="133"/>
        <v>0.10973359038815654</v>
      </c>
      <c r="AQ19" s="154">
        <f t="shared" si="133"/>
        <v>9.8720396140377392E-2</v>
      </c>
      <c r="AR19" s="154">
        <f t="shared" si="133"/>
        <v>8.082413804147251E-2</v>
      </c>
      <c r="AS19" s="154">
        <f t="shared" si="133"/>
        <v>9.1726318292107159E-2</v>
      </c>
      <c r="AT19" s="24">
        <f t="shared" si="133"/>
        <v>9.327311591109673E-2</v>
      </c>
      <c r="AU19" s="154">
        <f t="shared" si="133"/>
        <v>7.508626639061422E-2</v>
      </c>
      <c r="AV19" s="154">
        <f t="shared" si="133"/>
        <v>7.5866628320005375E-2</v>
      </c>
      <c r="AW19" s="154">
        <f t="shared" si="133"/>
        <v>0.10161591287988865</v>
      </c>
      <c r="AX19" s="154">
        <f t="shared" si="133"/>
        <v>0.13140062986905354</v>
      </c>
      <c r="AY19" s="24">
        <f t="shared" si="133"/>
        <v>9.8764123981999005E-2</v>
      </c>
      <c r="AZ19" s="154">
        <f t="shared" si="133"/>
        <v>9.6981801065453704E-2</v>
      </c>
      <c r="BA19" s="154">
        <f t="shared" si="133"/>
        <v>0.10699663693522445</v>
      </c>
      <c r="BB19" s="154">
        <f t="shared" si="133"/>
        <v>8.4161560247562883E-2</v>
      </c>
      <c r="BC19" s="154">
        <f t="shared" si="133"/>
        <v>7.8164281990384055E-2</v>
      </c>
      <c r="BD19" s="24">
        <f t="shared" si="133"/>
        <v>8.9810095729643685E-2</v>
      </c>
      <c r="BE19" s="154">
        <f t="shared" si="133"/>
        <v>8.9482029909869545E-2</v>
      </c>
      <c r="BF19" s="154">
        <f t="shared" si="133"/>
        <v>8.6305798106514647E-2</v>
      </c>
      <c r="BG19" s="154">
        <f t="shared" si="133"/>
        <v>0.10505883461241015</v>
      </c>
      <c r="BH19" s="154">
        <f t="shared" si="133"/>
        <v>9.5596093831111326E-2</v>
      </c>
      <c r="BI19" s="24">
        <f t="shared" si="133"/>
        <v>9.4475333588372512E-2</v>
      </c>
      <c r="BJ19" s="154">
        <f t="shared" si="133"/>
        <v>9.9283820695883082E-2</v>
      </c>
      <c r="BK19" s="154">
        <f t="shared" si="133"/>
        <v>8.9310746985233488E-2</v>
      </c>
      <c r="BL19" s="154">
        <f t="shared" si="133"/>
        <v>9.4762861460539138E-2</v>
      </c>
      <c r="BM19" s="154">
        <f t="shared" si="133"/>
        <v>9.397772180857844E-2</v>
      </c>
      <c r="BN19" s="24">
        <f t="shared" ref="BN19:CS19" si="134">-BN18/BN9</f>
        <v>9.4001047271644725E-2</v>
      </c>
      <c r="BO19" s="154">
        <f t="shared" si="134"/>
        <v>0.10426149160610196</v>
      </c>
      <c r="BP19" s="154">
        <f t="shared" si="134"/>
        <v>9.1691331865788345E-2</v>
      </c>
      <c r="BQ19" s="154">
        <f t="shared" si="134"/>
        <v>0.10772416654918245</v>
      </c>
      <c r="BR19" s="154">
        <f t="shared" si="134"/>
        <v>9.2997008363767189E-2</v>
      </c>
      <c r="BS19" s="24">
        <f t="shared" si="134"/>
        <v>9.8826403970380144E-2</v>
      </c>
      <c r="BT19" s="154">
        <f t="shared" si="134"/>
        <v>9.08689224272793E-2</v>
      </c>
      <c r="BU19" s="154">
        <f t="shared" si="134"/>
        <v>9.8132924550514242E-2</v>
      </c>
      <c r="BV19" s="154">
        <f t="shared" si="134"/>
        <v>0.10782746393502243</v>
      </c>
      <c r="BW19" s="154">
        <f t="shared" si="134"/>
        <v>0.10046948175359503</v>
      </c>
      <c r="BX19" s="24">
        <f t="shared" si="134"/>
        <v>9.9806688722999456E-2</v>
      </c>
      <c r="BY19" s="154">
        <f t="shared" si="134"/>
        <v>8.7351913855140337E-2</v>
      </c>
      <c r="BZ19" s="154">
        <f t="shared" ref="BZ19:CB19" si="135">-BZ18/BZ9</f>
        <v>9.2638565749714658E-2</v>
      </c>
      <c r="CA19" s="154">
        <f t="shared" si="135"/>
        <v>9.5151758101693379E-2</v>
      </c>
      <c r="CB19" s="154">
        <f t="shared" si="135"/>
        <v>9.0923178243520711E-2</v>
      </c>
      <c r="CC19" s="24">
        <f t="shared" si="134"/>
        <v>9.1656258149017372E-2</v>
      </c>
      <c r="CD19" s="154">
        <f t="shared" ref="CD19:CE19" si="136">-CD18/CD9</f>
        <v>7.3838609276738826E-2</v>
      </c>
      <c r="CE19" s="154">
        <f t="shared" si="136"/>
        <v>9.8657631578013411E-2</v>
      </c>
      <c r="CF19" s="154">
        <f t="shared" si="134"/>
        <v>9.3439666835855403E-2</v>
      </c>
      <c r="CG19" s="154">
        <f t="shared" si="134"/>
        <v>8.6597070214095073E-2</v>
      </c>
      <c r="CH19" s="24">
        <f t="shared" si="134"/>
        <v>8.8323377286900845E-2</v>
      </c>
      <c r="CI19" s="154">
        <f t="shared" si="134"/>
        <v>8.5483112237017295E-2</v>
      </c>
      <c r="CJ19" s="154">
        <f t="shared" si="134"/>
        <v>9.8351297497090776E-2</v>
      </c>
      <c r="CK19" s="154">
        <f t="shared" si="134"/>
        <v>8.6308195628296169E-2</v>
      </c>
      <c r="CL19" s="154">
        <f t="shared" si="134"/>
        <v>8.5969753309203159E-2</v>
      </c>
      <c r="CM19" s="24">
        <f t="shared" si="134"/>
        <v>8.9162730666328335E-2</v>
      </c>
      <c r="CN19" s="154">
        <f t="shared" si="134"/>
        <v>7.7748128198941627E-2</v>
      </c>
      <c r="CO19" s="154">
        <f t="shared" si="134"/>
        <v>9.3624186637046372E-2</v>
      </c>
      <c r="CP19" s="154">
        <f t="shared" si="134"/>
        <v>8.2210708798213405E-2</v>
      </c>
      <c r="CQ19" s="154">
        <f t="shared" si="134"/>
        <v>8.0028753949003148E-2</v>
      </c>
      <c r="CR19" s="24">
        <f t="shared" si="134"/>
        <v>8.3517513933792337E-2</v>
      </c>
      <c r="CS19" s="154">
        <f t="shared" si="134"/>
        <v>7.5545581623900446E-2</v>
      </c>
      <c r="CT19" s="154">
        <f t="shared" ref="CT19:DB19" si="137">-CT18/CT9</f>
        <v>9.1171210048814288E-2</v>
      </c>
      <c r="CU19" s="154">
        <f t="shared" si="137"/>
        <v>8.0223808221891124E-2</v>
      </c>
      <c r="CV19" s="154">
        <f t="shared" si="137"/>
        <v>7.8117257648278621E-2</v>
      </c>
      <c r="CW19" s="24">
        <f t="shared" si="137"/>
        <v>8.1373482432639047E-2</v>
      </c>
      <c r="CX19" s="154">
        <f t="shared" si="137"/>
        <v>7.3824180417987065E-2</v>
      </c>
      <c r="CY19" s="154">
        <f t="shared" si="137"/>
        <v>8.9388858945338004E-2</v>
      </c>
      <c r="CZ19" s="154">
        <f t="shared" si="137"/>
        <v>7.8815242780000974E-2</v>
      </c>
      <c r="DA19" s="154">
        <f t="shared" si="137"/>
        <v>7.6837303148363428E-2</v>
      </c>
      <c r="DB19" s="24">
        <f t="shared" si="137"/>
        <v>7.9823525657544026E-2</v>
      </c>
    </row>
    <row r="20" spans="1:106" s="25" customFormat="1" ht="11.25" customHeight="1" outlineLevel="1" x14ac:dyDescent="0.35">
      <c r="A20" s="155" t="s">
        <v>81</v>
      </c>
      <c r="B20" s="422" t="e">
        <f>-B18/(Operating!B15+Operating!B17)</f>
        <v>#DIV/0!</v>
      </c>
      <c r="C20" s="422" t="e">
        <f>-C18/(Operating!C15+Operating!C17)</f>
        <v>#DIV/0!</v>
      </c>
      <c r="D20" s="422" t="e">
        <f>-D18/(Operating!D15+Operating!D17)</f>
        <v>#DIV/0!</v>
      </c>
      <c r="E20" s="422" t="e">
        <f>-E18/(Operating!E15+Operating!E17)</f>
        <v>#DIV/0!</v>
      </c>
      <c r="F20" s="24" t="e">
        <f>-F18/(Operating!F15+Operating!F17)</f>
        <v>#DIV/0!</v>
      </c>
      <c r="G20" s="422" t="e">
        <f>-G18/(Operating!G15+Operating!G17)</f>
        <v>#DIV/0!</v>
      </c>
      <c r="H20" s="422" t="e">
        <f>-H18/(Operating!H15+Operating!H17)</f>
        <v>#DIV/0!</v>
      </c>
      <c r="I20" s="422" t="e">
        <f>-I18/(Operating!I15+Operating!I17)</f>
        <v>#DIV/0!</v>
      </c>
      <c r="J20" s="422" t="e">
        <f>-J18/(Operating!J15+Operating!J17)</f>
        <v>#DIV/0!</v>
      </c>
      <c r="K20" s="24" t="e">
        <f>-K18/(Operating!K15+Operating!K17)</f>
        <v>#DIV/0!</v>
      </c>
      <c r="L20" s="422" t="e">
        <f>-L18/(Operating!L15+Operating!L17)</f>
        <v>#DIV/0!</v>
      </c>
      <c r="M20" s="422" t="e">
        <f>-M18/(Operating!M15+Operating!M17)</f>
        <v>#DIV/0!</v>
      </c>
      <c r="N20" s="422" t="e">
        <f>-N18/(Operating!N15+Operating!N17)</f>
        <v>#DIV/0!</v>
      </c>
      <c r="O20" s="422" t="e">
        <f>-O18/(Operating!O15+Operating!O17)</f>
        <v>#DIV/0!</v>
      </c>
      <c r="P20" s="24" t="e">
        <f>-P18/(Operating!P15+Operating!P17)</f>
        <v>#DIV/0!</v>
      </c>
      <c r="Q20" s="422" t="e">
        <f>-Q18/(Operating!Q15+Operating!Q17)</f>
        <v>#DIV/0!</v>
      </c>
      <c r="R20" s="422" t="e">
        <f>-R18/(Operating!R15+Operating!R17)</f>
        <v>#DIV/0!</v>
      </c>
      <c r="S20" s="422" t="e">
        <f>-S18/(Operating!S15+Operating!S17)</f>
        <v>#DIV/0!</v>
      </c>
      <c r="T20" s="422" t="e">
        <f>-T18/(Operating!T15+Operating!T17)</f>
        <v>#DIV/0!</v>
      </c>
      <c r="U20" s="24" t="e">
        <f>-U18/(Operating!U15+Operating!U17)</f>
        <v>#DIV/0!</v>
      </c>
      <c r="V20" s="422" t="e">
        <f>-V18/(Operating!V15+Operating!V17)</f>
        <v>#DIV/0!</v>
      </c>
      <c r="W20" s="422" t="e">
        <f>-W18/(Operating!W15+Operating!W17)</f>
        <v>#DIV/0!</v>
      </c>
      <c r="X20" s="422" t="e">
        <f>-X18/(Operating!X15+Operating!X17)</f>
        <v>#DIV/0!</v>
      </c>
      <c r="Y20" s="422" t="e">
        <f>-Y18/(Operating!Y15+Operating!Y17)</f>
        <v>#DIV/0!</v>
      </c>
      <c r="Z20" s="24" t="e">
        <f>-Z18/(Operating!Z15+Operating!Z17)</f>
        <v>#DIV/0!</v>
      </c>
      <c r="AA20" s="422" t="e">
        <f>-AA18/(Operating!AA15+Operating!AA17)</f>
        <v>#DIV/0!</v>
      </c>
      <c r="AB20" s="422" t="e">
        <f>-AB18/(Operating!AB15+Operating!AB17)</f>
        <v>#DIV/0!</v>
      </c>
      <c r="AC20" s="422" t="e">
        <f>-AC18/(Operating!AC15+Operating!AC17)</f>
        <v>#DIV/0!</v>
      </c>
      <c r="AD20" s="422" t="e">
        <f>-AD18/(Operating!AD15+Operating!AD17)</f>
        <v>#DIV/0!</v>
      </c>
      <c r="AE20" s="24" t="e">
        <f>-AE18/(Operating!AE15+Operating!AE17)</f>
        <v>#DIV/0!</v>
      </c>
      <c r="AF20" s="422" t="e">
        <f>-AF18/(Operating!AF15+Operating!AF17)</f>
        <v>#DIV/0!</v>
      </c>
      <c r="AG20" s="422" t="e">
        <f>-AG18/(Operating!AG15+Operating!AG17)</f>
        <v>#DIV/0!</v>
      </c>
      <c r="AH20" s="422" t="e">
        <f>-AH18/(Operating!AH15+Operating!AH17)</f>
        <v>#DIV/0!</v>
      </c>
      <c r="AI20" s="422" t="e">
        <f>-AI18/(Operating!AI15+Operating!AI17)</f>
        <v>#DIV/0!</v>
      </c>
      <c r="AJ20" s="24" t="e">
        <f>-AJ18/(Operating!AJ15+Operating!AJ17)</f>
        <v>#DIV/0!</v>
      </c>
      <c r="AK20" s="422">
        <f>-AK18/(Operating!AK15+Operating!AK17)</f>
        <v>0.12815439491315755</v>
      </c>
      <c r="AL20" s="422">
        <f>-AL18/(Operating!AL15+Operating!AL17)</f>
        <v>0.16557721130673814</v>
      </c>
      <c r="AM20" s="422">
        <f>-AM18/(Operating!AM15+Operating!AM17)</f>
        <v>9.9407972448236237E-2</v>
      </c>
      <c r="AN20" s="422">
        <f>-AN18/(Operating!AN15+Operating!AN17)</f>
        <v>9.0079739985749585E-2</v>
      </c>
      <c r="AO20" s="24">
        <f>-AO18/(Operating!AO15+Operating!AO17)</f>
        <v>0.1124409033091382</v>
      </c>
      <c r="AP20" s="422">
        <f>-AP18/(Operating!AP15+Operating!AP17)</f>
        <v>9.2109844845936387E-2</v>
      </c>
      <c r="AQ20" s="422">
        <f>-AQ18/(Operating!AQ15+Operating!AQ17)</f>
        <v>8.5778848177338066E-2</v>
      </c>
      <c r="AR20" s="422">
        <f>-AR18/(Operating!AR15+Operating!AR17)</f>
        <v>8.3134248200907743E-2</v>
      </c>
      <c r="AS20" s="422">
        <f>-AS18/(Operating!AS15+Operating!AS17)</f>
        <v>6.9201224073032086E-2</v>
      </c>
      <c r="AT20" s="24">
        <f>-AT18/(Operating!AT15+Operating!AT17)</f>
        <v>8.0493484159569889E-2</v>
      </c>
      <c r="AU20" s="422">
        <f>-AU18/(Operating!AU15+Operating!AU17)</f>
        <v>6.3609688396100927E-2</v>
      </c>
      <c r="AV20" s="422">
        <f>-AV18/(Operating!AV15+Operating!AV17)</f>
        <v>7.9390959257097299E-2</v>
      </c>
      <c r="AW20" s="422">
        <f>-AW18/(Operating!AW15+Operating!AW17)</f>
        <v>8.7970737936227769E-2</v>
      </c>
      <c r="AX20" s="422">
        <f>-AX18/(Operating!AX15+Operating!AX17)</f>
        <v>0.10664494112438822</v>
      </c>
      <c r="AY20" s="24">
        <f>-AY18/(Operating!AY15+Operating!AY17)</f>
        <v>8.7388033714496299E-2</v>
      </c>
      <c r="AZ20" s="422">
        <f>-AZ18/(Operating!AZ15+Operating!AZ17)</f>
        <v>7.8924554804551642E-2</v>
      </c>
      <c r="BA20" s="422">
        <f>-BA18/(Operating!BA15+Operating!BA17)</f>
        <v>7.8925643820519406E-2</v>
      </c>
      <c r="BB20" s="422">
        <f>-BB18/(Operating!BB15+Operating!BB17)</f>
        <v>5.8677935251173936E-2</v>
      </c>
      <c r="BC20" s="422">
        <f>-BC18/(Operating!BC15+Operating!BC17)</f>
        <v>6.0217262232278808E-2</v>
      </c>
      <c r="BD20" s="24">
        <f>-BD18/(Operating!BD15+Operating!BD17)</f>
        <v>6.7249588483815556E-2</v>
      </c>
      <c r="BE20" s="422">
        <f>-BE18/(Operating!BE15+Operating!BE17)</f>
        <v>4.7922823795000909E-2</v>
      </c>
      <c r="BF20" s="422">
        <f>-BF18/(Operating!BF15+Operating!BF17)</f>
        <v>5.2891588213381309E-2</v>
      </c>
      <c r="BG20" s="422">
        <f>-BG18/(Operating!BG15+Operating!BG17)</f>
        <v>6.4049532750201948E-2</v>
      </c>
      <c r="BH20" s="422">
        <f>-BH18/(Operating!BH15+Operating!BH17)</f>
        <v>6.9911321942972754E-2</v>
      </c>
      <c r="BI20" s="24">
        <f>-BI18/(Operating!BI15+Operating!BI17)</f>
        <v>5.885428881483442E-2</v>
      </c>
      <c r="BJ20" s="422">
        <f>-BJ18/(Operating!BJ15+Operating!BJ17)</f>
        <v>5.4650922885810513E-2</v>
      </c>
      <c r="BK20" s="422">
        <f>-BK18/(Operating!BK15+Operating!BK17)</f>
        <v>5.4520831990355921E-2</v>
      </c>
      <c r="BL20" s="422">
        <f>-BL18/(Operating!BL15+Operating!BL17)</f>
        <v>6.1393831622019043E-2</v>
      </c>
      <c r="BM20" s="422">
        <f>-BM18/(Operating!BM15+Operating!BM17)</f>
        <v>6.5291770191131707E-2</v>
      </c>
      <c r="BN20" s="24">
        <f>-BN18/(Operating!BN15+Operating!BN17)</f>
        <v>5.8893091727543166E-2</v>
      </c>
      <c r="BO20" s="422">
        <f>-BO18/(Operating!BO15+Operating!BO17)</f>
        <v>5.328954236677938E-2</v>
      </c>
      <c r="BP20" s="422">
        <f>-BP18/(Operating!BP15+Operating!BP17)</f>
        <v>4.9712848883364281E-2</v>
      </c>
      <c r="BQ20" s="422">
        <f>-BQ18/(Operating!BQ15+Operating!BQ17)</f>
        <v>7.016666223111627E-2</v>
      </c>
      <c r="BR20" s="422">
        <f>-BR18/(Operating!BR15+Operating!BR17)</f>
        <v>7.3625488433164188E-2</v>
      </c>
      <c r="BS20" s="24">
        <f>-BS18/(Operating!BS15+Operating!BS17)</f>
        <v>6.0871624209031895E-2</v>
      </c>
      <c r="BT20" s="422">
        <f>-BT18/(Operating!BT15+Operating!BT17)</f>
        <v>4.5306640181686633E-2</v>
      </c>
      <c r="BU20" s="422">
        <f>-BU18/(Operating!BU15+Operating!BU17)</f>
        <v>5.0848280373537169E-2</v>
      </c>
      <c r="BV20" s="422">
        <f>-BV18/(Operating!BV15+Operating!BV17)</f>
        <v>7.1594172401792666E-2</v>
      </c>
      <c r="BW20" s="422">
        <f>-BW18/(Operating!BW15+Operating!BW17)</f>
        <v>6.7918220930984458E-2</v>
      </c>
      <c r="BX20" s="24">
        <f>-BX18/(Operating!BX15+Operating!BX17)</f>
        <v>5.8254006876235907E-2</v>
      </c>
      <c r="BY20" s="422">
        <f>-BY18/(Operating!BY15+Operating!BY17)</f>
        <v>4.7737567411927841E-2</v>
      </c>
      <c r="BZ20" s="422">
        <f>-BZ18/(Operating!BZ15+Operating!BZ17)</f>
        <v>4.9938654281742108E-2</v>
      </c>
      <c r="CA20" s="422">
        <f>-CA18/(Operating!CA15+Operating!CA17)</f>
        <v>6.5709620820742762E-2</v>
      </c>
      <c r="CB20" s="422">
        <f>-CB18/(Operating!CB15+Operating!CB17)</f>
        <v>7.5312135355892651E-2</v>
      </c>
      <c r="CC20" s="24">
        <f>-CC18/(Operating!CC15+Operating!CC17)</f>
        <v>5.8296390668724607E-2</v>
      </c>
      <c r="CD20" s="422">
        <f>-CD18/(Operating!CD15+Operating!CD17)</f>
        <v>4.699080468842496E-2</v>
      </c>
      <c r="CE20" s="422">
        <f>-CE18/(Operating!CE15+Operating!CE17)</f>
        <v>7.5242477556728471E-2</v>
      </c>
      <c r="CF20" s="563">
        <v>6.7500000000000004E-2</v>
      </c>
      <c r="CG20" s="154">
        <f t="shared" ref="CG20" si="138">CF20</f>
        <v>6.7500000000000004E-2</v>
      </c>
      <c r="CH20" s="24">
        <f>-CH18/(Operating!CH15+Operating!CH17)</f>
        <v>6.3820080668816309E-2</v>
      </c>
      <c r="CI20" s="563">
        <v>5.5E-2</v>
      </c>
      <c r="CJ20" s="563">
        <v>7.0000000000000007E-2</v>
      </c>
      <c r="CK20" s="181">
        <f t="shared" ref="CK20:CL20" si="139">CJ20</f>
        <v>7.0000000000000007E-2</v>
      </c>
      <c r="CL20" s="181">
        <f t="shared" si="139"/>
        <v>7.0000000000000007E-2</v>
      </c>
      <c r="CM20" s="24">
        <f>-CM18/(Operating!CM15+Operating!CM17)</f>
        <v>6.60585583311422E-2</v>
      </c>
      <c r="CN20" s="181">
        <v>5.5E-2</v>
      </c>
      <c r="CO20" s="181">
        <v>7.0000000000000007E-2</v>
      </c>
      <c r="CP20" s="154">
        <f>CK20</f>
        <v>7.0000000000000007E-2</v>
      </c>
      <c r="CQ20" s="154">
        <f>CL20</f>
        <v>7.0000000000000007E-2</v>
      </c>
      <c r="CR20" s="24">
        <f>-CR18/(Operating!CR15+Operating!CR17)</f>
        <v>6.6038514916934174E-2</v>
      </c>
      <c r="CS20" s="154">
        <f>CN20</f>
        <v>5.5E-2</v>
      </c>
      <c r="CT20" s="154">
        <f>CO20</f>
        <v>7.0000000000000007E-2</v>
      </c>
      <c r="CU20" s="154">
        <f>CP20</f>
        <v>7.0000000000000007E-2</v>
      </c>
      <c r="CV20" s="154">
        <f>CQ20</f>
        <v>7.0000000000000007E-2</v>
      </c>
      <c r="CW20" s="24">
        <f>-CW18/(Operating!CW15+Operating!CW17)</f>
        <v>6.5993896196668442E-2</v>
      </c>
      <c r="CX20" s="154">
        <f>CS20</f>
        <v>5.5E-2</v>
      </c>
      <c r="CY20" s="154">
        <f>CT20</f>
        <v>7.0000000000000007E-2</v>
      </c>
      <c r="CZ20" s="154">
        <f>CU20</f>
        <v>7.0000000000000007E-2</v>
      </c>
      <c r="DA20" s="154">
        <f>CV20</f>
        <v>7.0000000000000007E-2</v>
      </c>
      <c r="DB20" s="24">
        <f>-DB18/(Operating!DB15+Operating!DB17)</f>
        <v>6.5987098973739916E-2</v>
      </c>
    </row>
    <row r="21" spans="1:106" ht="11.25" customHeight="1" x14ac:dyDescent="0.35">
      <c r="A21" s="19" t="s">
        <v>74</v>
      </c>
      <c r="B21" s="421"/>
      <c r="C21" s="421"/>
      <c r="D21" s="421"/>
      <c r="E21" s="421"/>
      <c r="F21" s="20">
        <f t="shared" ref="F21" si="140">SUM(B21:E21)</f>
        <v>0</v>
      </c>
      <c r="G21" s="421"/>
      <c r="H21" s="421"/>
      <c r="I21" s="421"/>
      <c r="J21" s="421"/>
      <c r="K21" s="20">
        <f t="shared" ref="K21" si="141">SUM(G21:J21)</f>
        <v>0</v>
      </c>
      <c r="L21" s="421"/>
      <c r="M21" s="421"/>
      <c r="N21" s="421"/>
      <c r="O21" s="421"/>
      <c r="P21" s="20">
        <f t="shared" ref="P21" si="142">SUM(L21:O21)</f>
        <v>0</v>
      </c>
      <c r="Q21" s="421"/>
      <c r="R21" s="421"/>
      <c r="S21" s="421"/>
      <c r="T21" s="421"/>
      <c r="U21" s="20">
        <f t="shared" ref="U21" si="143">SUM(Q21:T21)</f>
        <v>0</v>
      </c>
      <c r="V21" s="421"/>
      <c r="W21" s="421"/>
      <c r="X21" s="421"/>
      <c r="Y21" s="421"/>
      <c r="Z21" s="20">
        <f t="shared" ref="Z21" si="144">SUM(V21:Y21)</f>
        <v>0</v>
      </c>
      <c r="AA21" s="421"/>
      <c r="AB21" s="421"/>
      <c r="AC21" s="421"/>
      <c r="AD21" s="421"/>
      <c r="AE21" s="20">
        <f t="shared" ref="AE21" si="145">SUM(AA21:AD21)</f>
        <v>0</v>
      </c>
      <c r="AF21" s="421"/>
      <c r="AG21" s="421"/>
      <c r="AH21" s="421"/>
      <c r="AI21" s="421"/>
      <c r="AJ21" s="20">
        <f>SUM(AF21:AI21)</f>
        <v>0</v>
      </c>
      <c r="AK21" s="421">
        <v>-7678.1980000000003</v>
      </c>
      <c r="AL21" s="421">
        <v>-11511.16</v>
      </c>
      <c r="AM21" s="421">
        <v>-8775.2540000000008</v>
      </c>
      <c r="AN21" s="421">
        <v>-15305.771000000001</v>
      </c>
      <c r="AO21" s="20">
        <f>SUM(AK21:AN21)</f>
        <v>-43270.383000000002</v>
      </c>
      <c r="AP21" s="421">
        <v>-10376.183999999999</v>
      </c>
      <c r="AQ21" s="421">
        <v>-10511.934999999999</v>
      </c>
      <c r="AR21" s="421">
        <v>-15626.307000000001</v>
      </c>
      <c r="AS21" s="421">
        <v>-9316.1240000000034</v>
      </c>
      <c r="AT21" s="20">
        <f>SUM(AP21:AS21)</f>
        <v>-45830.55</v>
      </c>
      <c r="AU21" s="421">
        <f>-26240-AU32</f>
        <v>-24386</v>
      </c>
      <c r="AV21" s="421">
        <f>-27173-AV32</f>
        <v>-26994</v>
      </c>
      <c r="AW21" s="421">
        <f>-24843-AW32</f>
        <v>-24444</v>
      </c>
      <c r="AX21" s="421">
        <f>-96843-SUM(AU21:AW21)-SUM(AU32:AX32)</f>
        <v>-19864</v>
      </c>
      <c r="AY21" s="20">
        <f t="shared" ref="AY21" si="146">SUM(AU21:AX21)</f>
        <v>-95688</v>
      </c>
      <c r="AZ21" s="421">
        <f>-28376-AZ32</f>
        <v>-25451</v>
      </c>
      <c r="BA21" s="421">
        <f>-14508-BA32</f>
        <v>-14201</v>
      </c>
      <c r="BB21" s="421">
        <f>-25631-BB32</f>
        <v>-25266</v>
      </c>
      <c r="BC21" s="421">
        <f>-96892-SUM(AZ21:BB21)-SUM(AZ32:BC32)</f>
        <v>-30415</v>
      </c>
      <c r="BD21" s="20">
        <f t="shared" ref="BD21" si="147">SUM(AZ21:BC21)</f>
        <v>-95333</v>
      </c>
      <c r="BE21" s="421">
        <f>-20615-BE32</f>
        <v>-20280</v>
      </c>
      <c r="BF21" s="421">
        <f>-24043-BF32</f>
        <v>-23688</v>
      </c>
      <c r="BG21" s="421">
        <f>-31117-BG32</f>
        <v>-30752</v>
      </c>
      <c r="BH21" s="421">
        <f>-102464-SUM(BE21:BG21)-SUM(BE32:BH32)</f>
        <v>-26306</v>
      </c>
      <c r="BI21" s="20">
        <f t="shared" ref="BI21" si="148">SUM(BE21:BH21)</f>
        <v>-101026</v>
      </c>
      <c r="BJ21" s="421">
        <f>-22810-BJ32</f>
        <v>-22356</v>
      </c>
      <c r="BK21" s="421">
        <f>-34143-BK32</f>
        <v>-33684</v>
      </c>
      <c r="BL21" s="421">
        <f>-49409-BL32</f>
        <v>-48993</v>
      </c>
      <c r="BM21" s="421">
        <f>-136568-SUM(BJ21:BL21)-SUM(BJ32:BM32)</f>
        <v>-29683</v>
      </c>
      <c r="BN21" s="20">
        <f t="shared" ref="BN21" si="149">SUM(BJ21:BM21)</f>
        <v>-134716</v>
      </c>
      <c r="BO21" s="421">
        <f>-33375-BO32</f>
        <v>-32599</v>
      </c>
      <c r="BP21" s="421">
        <f>-42088-BP32</f>
        <v>-41367</v>
      </c>
      <c r="BQ21" s="421">
        <f>-54245-BQ32</f>
        <v>-53549</v>
      </c>
      <c r="BR21" s="421">
        <f>-165783-SUM(BO21:BQ21)-SUM(BO32:BR32)</f>
        <v>-35293</v>
      </c>
      <c r="BS21" s="20">
        <f t="shared" ref="BS21" si="150">SUM(BO21:BR21)</f>
        <v>-162808</v>
      </c>
      <c r="BT21" s="421">
        <f>-41298-BT32</f>
        <v>-40769</v>
      </c>
      <c r="BU21" s="421">
        <f>-62203-BU32</f>
        <v>-61475</v>
      </c>
      <c r="BV21" s="421">
        <f>-68034-BV32</f>
        <v>-67309</v>
      </c>
      <c r="BW21" s="421">
        <f>-224429-SUM(BT21:BV21)-SUM(BT32:BW32)</f>
        <v>-52203</v>
      </c>
      <c r="BX21" s="20">
        <f t="shared" ref="BX21" si="151">SUM(BT21:BW21)</f>
        <v>-221756</v>
      </c>
      <c r="BY21" s="421">
        <f>-50355-BY32</f>
        <v>-50151</v>
      </c>
      <c r="BZ21" s="556">
        <f>-64402-BZ32</f>
        <v>-64176</v>
      </c>
      <c r="CA21" s="556">
        <f>-66007-CA32</f>
        <v>-65788</v>
      </c>
      <c r="CB21" s="421">
        <f>-239339-SUM(BY21:CA21)-SUM(BY32:CB32)</f>
        <v>-58359</v>
      </c>
      <c r="CC21" s="20">
        <f>SUM(BY21:CB21)</f>
        <v>-238474</v>
      </c>
      <c r="CD21" s="421">
        <f>-64932-CD32</f>
        <v>-64720</v>
      </c>
      <c r="CE21" s="421">
        <f>-78364-CE32</f>
        <v>-78166</v>
      </c>
      <c r="CF21" s="637">
        <f>CA21*(1+Macro!CF11)*1.15</f>
        <v>-79327.125272249439</v>
      </c>
      <c r="CG21" s="424">
        <f>CB21*(1+Macro!CG11)*1.1</f>
        <v>-67631.616198609001</v>
      </c>
      <c r="CH21" s="20">
        <f>SUM(CD21:CG21)</f>
        <v>-289844.74147085845</v>
      </c>
      <c r="CI21" s="424">
        <f>CD21*(1+Macro!CI11)*1.1</f>
        <v>-74706.250720625336</v>
      </c>
      <c r="CJ21" s="424">
        <f>CE21*(1+Macro!CJ11)*1.1</f>
        <v>-89760.344514567361</v>
      </c>
      <c r="CK21" s="424">
        <f>CF21*(1+Macro!CK11)*1.1</f>
        <v>-91001.339994999347</v>
      </c>
      <c r="CL21" s="424">
        <f>CG21*(1+Macro!CL11)*1.1</f>
        <v>-77777.230077100859</v>
      </c>
      <c r="CM21" s="20">
        <f>SUM(CI21:CL21)</f>
        <v>-333245.16530729289</v>
      </c>
      <c r="CN21" s="424">
        <f>CI21*(1+Macro!CN11)</f>
        <v>-78102.864486989653</v>
      </c>
      <c r="CO21" s="424">
        <f>CJ21*(1+Macro!CO11)</f>
        <v>-93841.411612847121</v>
      </c>
      <c r="CP21" s="424">
        <f>CK21*(1+Macro!CP11)</f>
        <v>-95138.830515578738</v>
      </c>
      <c r="CQ21" s="424">
        <f>CL21*(1+Macro!CQ11)</f>
        <v>-81313.46978718217</v>
      </c>
      <c r="CR21" s="20">
        <f t="shared" ref="CR21" si="152">SUM(CN21:CQ21)</f>
        <v>-348396.57640259771</v>
      </c>
      <c r="CS21" s="424">
        <f>CN21*(1+Macro!CS11)</f>
        <v>-81226.97906646927</v>
      </c>
      <c r="CT21" s="424">
        <f>CO21*(1+Macro!CT11)</f>
        <v>-97595.068077361051</v>
      </c>
      <c r="CU21" s="424">
        <f>CP21*(1+Macro!CU11)</f>
        <v>-98944.38373620194</v>
      </c>
      <c r="CV21" s="424">
        <f>CQ21*(1+Macro!CV11)</f>
        <v>-84566.008578669498</v>
      </c>
      <c r="CW21" s="20">
        <f t="shared" ref="CW21" si="153">SUM(CS21:CV21)</f>
        <v>-362332.43945870176</v>
      </c>
      <c r="CX21" s="424">
        <f>CS21*(1+Macro!CX11)</f>
        <v>-84435.030338421333</v>
      </c>
      <c r="CY21" s="424">
        <f>CT21*(1+Macro!CY11)</f>
        <v>-101449.57535905646</v>
      </c>
      <c r="CZ21" s="424">
        <f>CU21*(1+Macro!CZ11)</f>
        <v>-102852.18210252658</v>
      </c>
      <c r="DA21" s="424">
        <f>CV21*(1+Macro!DA11)</f>
        <v>-87905.934481400749</v>
      </c>
      <c r="DB21" s="20">
        <f t="shared" ref="DB21" si="154">SUM(CX21:DA21)</f>
        <v>-376642.72228140512</v>
      </c>
    </row>
    <row r="22" spans="1:106" s="26" customFormat="1" ht="11.25" customHeight="1" outlineLevel="1" x14ac:dyDescent="0.35">
      <c r="A22" s="155" t="s">
        <v>82</v>
      </c>
      <c r="B22" s="154" t="e">
        <f t="shared" ref="B22:AE22" si="155">-B21/B9</f>
        <v>#DIV/0!</v>
      </c>
      <c r="C22" s="154" t="e">
        <f t="shared" si="155"/>
        <v>#DIV/0!</v>
      </c>
      <c r="D22" s="154" t="e">
        <f t="shared" si="155"/>
        <v>#DIV/0!</v>
      </c>
      <c r="E22" s="154" t="e">
        <f t="shared" si="155"/>
        <v>#DIV/0!</v>
      </c>
      <c r="F22" s="24" t="e">
        <f t="shared" si="155"/>
        <v>#DIV/0!</v>
      </c>
      <c r="G22" s="154" t="e">
        <f t="shared" si="155"/>
        <v>#DIV/0!</v>
      </c>
      <c r="H22" s="154" t="e">
        <f t="shared" si="155"/>
        <v>#DIV/0!</v>
      </c>
      <c r="I22" s="154" t="e">
        <f t="shared" si="155"/>
        <v>#DIV/0!</v>
      </c>
      <c r="J22" s="154" t="e">
        <f t="shared" si="155"/>
        <v>#DIV/0!</v>
      </c>
      <c r="K22" s="24" t="e">
        <f t="shared" si="155"/>
        <v>#DIV/0!</v>
      </c>
      <c r="L22" s="154" t="e">
        <f t="shared" si="155"/>
        <v>#DIV/0!</v>
      </c>
      <c r="M22" s="154" t="e">
        <f t="shared" si="155"/>
        <v>#DIV/0!</v>
      </c>
      <c r="N22" s="154" t="e">
        <f t="shared" si="155"/>
        <v>#DIV/0!</v>
      </c>
      <c r="O22" s="154" t="e">
        <f t="shared" si="155"/>
        <v>#DIV/0!</v>
      </c>
      <c r="P22" s="24" t="e">
        <f t="shared" si="155"/>
        <v>#DIV/0!</v>
      </c>
      <c r="Q22" s="154" t="e">
        <f t="shared" si="155"/>
        <v>#DIV/0!</v>
      </c>
      <c r="R22" s="154" t="e">
        <f t="shared" si="155"/>
        <v>#DIV/0!</v>
      </c>
      <c r="S22" s="154" t="e">
        <f t="shared" si="155"/>
        <v>#DIV/0!</v>
      </c>
      <c r="T22" s="154" t="e">
        <f t="shared" si="155"/>
        <v>#DIV/0!</v>
      </c>
      <c r="U22" s="24" t="e">
        <f t="shared" si="155"/>
        <v>#DIV/0!</v>
      </c>
      <c r="V22" s="154" t="e">
        <f t="shared" si="155"/>
        <v>#DIV/0!</v>
      </c>
      <c r="W22" s="154" t="e">
        <f t="shared" si="155"/>
        <v>#DIV/0!</v>
      </c>
      <c r="X22" s="154" t="e">
        <f t="shared" si="155"/>
        <v>#DIV/0!</v>
      </c>
      <c r="Y22" s="154" t="e">
        <f t="shared" si="155"/>
        <v>#DIV/0!</v>
      </c>
      <c r="Z22" s="24" t="e">
        <f t="shared" si="155"/>
        <v>#DIV/0!</v>
      </c>
      <c r="AA22" s="154" t="e">
        <f t="shared" si="155"/>
        <v>#DIV/0!</v>
      </c>
      <c r="AB22" s="154" t="e">
        <f t="shared" si="155"/>
        <v>#DIV/0!</v>
      </c>
      <c r="AC22" s="154" t="e">
        <f t="shared" si="155"/>
        <v>#DIV/0!</v>
      </c>
      <c r="AD22" s="154" t="e">
        <f t="shared" si="155"/>
        <v>#DIV/0!</v>
      </c>
      <c r="AE22" s="24" t="e">
        <f t="shared" si="155"/>
        <v>#DIV/0!</v>
      </c>
      <c r="AF22" s="154" t="e">
        <f t="shared" ref="AF22:AG22" si="156">-AF21/AF9</f>
        <v>#DIV/0!</v>
      </c>
      <c r="AG22" s="154" t="e">
        <f t="shared" si="156"/>
        <v>#DIV/0!</v>
      </c>
      <c r="AH22" s="154" t="e">
        <f t="shared" ref="AH22:BM22" si="157">-AH21/AH9</f>
        <v>#DIV/0!</v>
      </c>
      <c r="AI22" s="154" t="e">
        <f t="shared" si="157"/>
        <v>#DIV/0!</v>
      </c>
      <c r="AJ22" s="24" t="e">
        <f t="shared" si="157"/>
        <v>#DIV/0!</v>
      </c>
      <c r="AK22" s="154">
        <f t="shared" si="157"/>
        <v>4.6173962261246239E-2</v>
      </c>
      <c r="AL22" s="154">
        <f t="shared" si="157"/>
        <v>5.5299880101188095E-2</v>
      </c>
      <c r="AM22" s="154">
        <f t="shared" si="157"/>
        <v>4.0468817239270642E-2</v>
      </c>
      <c r="AN22" s="154">
        <f t="shared" si="157"/>
        <v>6.86058193361129E-2</v>
      </c>
      <c r="AO22" s="24">
        <f t="shared" si="157"/>
        <v>5.3132620820511858E-2</v>
      </c>
      <c r="AP22" s="154">
        <f t="shared" si="157"/>
        <v>6.9936026251264813E-2</v>
      </c>
      <c r="AQ22" s="154">
        <f t="shared" si="157"/>
        <v>4.5316261458598156E-2</v>
      </c>
      <c r="AR22" s="154">
        <f t="shared" si="157"/>
        <v>5.9345945859991971E-2</v>
      </c>
      <c r="AS22" s="154">
        <f t="shared" si="157"/>
        <v>3.3679675281349714E-2</v>
      </c>
      <c r="AT22" s="24">
        <f t="shared" si="157"/>
        <v>4.980209279204955E-2</v>
      </c>
      <c r="AU22" s="154">
        <f t="shared" si="157"/>
        <v>0.12945798163189468</v>
      </c>
      <c r="AV22" s="154">
        <f t="shared" si="157"/>
        <v>0.10082432871554869</v>
      </c>
      <c r="AW22" s="154">
        <f t="shared" si="157"/>
        <v>9.3467521145286864E-2</v>
      </c>
      <c r="AX22" s="154">
        <f t="shared" si="157"/>
        <v>6.5851151997347923E-2</v>
      </c>
      <c r="AY22" s="24">
        <f t="shared" si="157"/>
        <v>9.3878307859394453E-2</v>
      </c>
      <c r="AZ22" s="154">
        <f t="shared" si="157"/>
        <v>0.11196061956440452</v>
      </c>
      <c r="BA22" s="154">
        <f t="shared" si="157"/>
        <v>5.7679810238663871E-2</v>
      </c>
      <c r="BB22" s="154">
        <f t="shared" si="157"/>
        <v>7.7527562389343871E-2</v>
      </c>
      <c r="BC22" s="154">
        <f t="shared" si="157"/>
        <v>8.8093031338701264E-2</v>
      </c>
      <c r="BD22" s="24">
        <f t="shared" si="157"/>
        <v>8.3283392243435297E-2</v>
      </c>
      <c r="BE22" s="154">
        <f t="shared" si="157"/>
        <v>5.9772581244142108E-2</v>
      </c>
      <c r="BF22" s="154">
        <f t="shared" si="157"/>
        <v>5.2484064014250993E-2</v>
      </c>
      <c r="BG22" s="154">
        <f t="shared" si="157"/>
        <v>6.7372258456037809E-2</v>
      </c>
      <c r="BH22" s="154">
        <f t="shared" si="157"/>
        <v>5.3552052733687142E-2</v>
      </c>
      <c r="BI22" s="24">
        <f t="shared" si="157"/>
        <v>5.8117868371018726E-2</v>
      </c>
      <c r="BJ22" s="154">
        <f t="shared" si="157"/>
        <v>4.9971612118719463E-2</v>
      </c>
      <c r="BK22" s="154">
        <f t="shared" si="157"/>
        <v>5.5880806193937121E-2</v>
      </c>
      <c r="BL22" s="154">
        <f t="shared" si="157"/>
        <v>7.8181275621988996E-2</v>
      </c>
      <c r="BM22" s="154">
        <f t="shared" si="157"/>
        <v>5.1135443548248165E-2</v>
      </c>
      <c r="BN22" s="24">
        <f t="shared" ref="BN22:CS22" si="158">-BN21/BN9</f>
        <v>5.9680307483207767E-2</v>
      </c>
      <c r="BO22" s="154">
        <f t="shared" si="158"/>
        <v>5.4792287160731215E-2</v>
      </c>
      <c r="BP22" s="154">
        <f t="shared" si="158"/>
        <v>5.6842634655497937E-2</v>
      </c>
      <c r="BQ22" s="154">
        <f t="shared" si="158"/>
        <v>7.1220709852980679E-2</v>
      </c>
      <c r="BR22" s="154">
        <f t="shared" si="158"/>
        <v>4.3485921566887957E-2</v>
      </c>
      <c r="BS22" s="24">
        <f t="shared" si="158"/>
        <v>5.6409666506362061E-2</v>
      </c>
      <c r="BT22" s="154">
        <f t="shared" si="158"/>
        <v>4.8686262661485437E-2</v>
      </c>
      <c r="BU22" s="154">
        <f t="shared" si="158"/>
        <v>6.1592950500207896E-2</v>
      </c>
      <c r="BV22" s="154">
        <f t="shared" si="158"/>
        <v>6.3747310280033942E-2</v>
      </c>
      <c r="BW22" s="154">
        <f t="shared" si="158"/>
        <v>5.0439094428732789E-2</v>
      </c>
      <c r="BX22" s="24">
        <f t="shared" si="158"/>
        <v>5.6479493468422001E-2</v>
      </c>
      <c r="BY22" s="154">
        <f t="shared" si="158"/>
        <v>4.1236358971997657E-2</v>
      </c>
      <c r="BZ22" s="154">
        <f t="shared" ref="BZ22:CB22" si="159">-BZ21/BZ9</f>
        <v>4.7657840233061216E-2</v>
      </c>
      <c r="CA22" s="154">
        <f t="shared" si="159"/>
        <v>4.6430088797862416E-2</v>
      </c>
      <c r="CB22" s="154">
        <f t="shared" si="159"/>
        <v>4.1106137499427702E-2</v>
      </c>
      <c r="CC22" s="24">
        <f t="shared" si="158"/>
        <v>4.4166562951900051E-2</v>
      </c>
      <c r="CD22" s="154">
        <f t="shared" ref="CD22:CE22" si="160">-CD21/CD9</f>
        <v>4.013466693869603E-2</v>
      </c>
      <c r="CE22" s="154">
        <f t="shared" si="160"/>
        <v>4.623582007270817E-2</v>
      </c>
      <c r="CF22" s="154">
        <f t="shared" si="158"/>
        <v>4.529992918107071E-2</v>
      </c>
      <c r="CG22" s="154">
        <f t="shared" si="158"/>
        <v>3.7996616262076163E-2</v>
      </c>
      <c r="CH22" s="24">
        <f t="shared" si="158"/>
        <v>4.2410575458426122E-2</v>
      </c>
      <c r="CI22" s="154">
        <f t="shared" si="158"/>
        <v>3.9683861494275635E-2</v>
      </c>
      <c r="CJ22" s="154">
        <f t="shared" si="158"/>
        <v>4.1900313343331677E-2</v>
      </c>
      <c r="CK22" s="154">
        <f t="shared" si="158"/>
        <v>4.1999876854765736E-2</v>
      </c>
      <c r="CL22" s="154">
        <f t="shared" si="158"/>
        <v>3.7786975993659169E-2</v>
      </c>
      <c r="CM22" s="24">
        <f t="shared" si="158"/>
        <v>4.039441466881704E-2</v>
      </c>
      <c r="CN22" s="154">
        <f t="shared" si="158"/>
        <v>3.6105107189277778E-2</v>
      </c>
      <c r="CO22" s="154">
        <f t="shared" si="158"/>
        <v>4.020566526398734E-2</v>
      </c>
      <c r="CP22" s="154">
        <f t="shared" si="158"/>
        <v>4.0368498188272574E-2</v>
      </c>
      <c r="CQ22" s="154">
        <f t="shared" si="158"/>
        <v>3.5331809354973188E-2</v>
      </c>
      <c r="CR22" s="24">
        <f t="shared" si="158"/>
        <v>3.8053563156874214E-2</v>
      </c>
      <c r="CS22" s="154">
        <f t="shared" si="158"/>
        <v>3.4109646807223198E-2</v>
      </c>
      <c r="CT22" s="154">
        <f t="shared" ref="CT22:DB22" si="161">-CT21/CT9</f>
        <v>3.8477952713377707E-2</v>
      </c>
      <c r="CU22" s="154">
        <f t="shared" si="161"/>
        <v>3.8910645691238137E-2</v>
      </c>
      <c r="CV22" s="154">
        <f t="shared" si="161"/>
        <v>3.4210677103407111E-2</v>
      </c>
      <c r="CW22" s="24">
        <f t="shared" si="161"/>
        <v>3.6479412159472958E-2</v>
      </c>
      <c r="CX22" s="154">
        <f t="shared" si="161"/>
        <v>3.3186971229601313E-2</v>
      </c>
      <c r="CY22" s="154">
        <f t="shared" si="161"/>
        <v>3.7622224265971109E-2</v>
      </c>
      <c r="CZ22" s="154">
        <f t="shared" si="161"/>
        <v>3.8152020673383108E-2</v>
      </c>
      <c r="DA22" s="154">
        <f t="shared" si="161"/>
        <v>3.3605630124860911E-2</v>
      </c>
      <c r="DB22" s="24">
        <f t="shared" si="161"/>
        <v>3.5692556044634567E-2</v>
      </c>
    </row>
    <row r="23" spans="1:106" ht="11.25" customHeight="1" x14ac:dyDescent="0.35">
      <c r="A23" s="16" t="s">
        <v>75</v>
      </c>
      <c r="B23" s="147">
        <f t="shared" ref="B23:E23" si="162">B24+B26+B28</f>
        <v>0</v>
      </c>
      <c r="C23" s="147">
        <f t="shared" si="162"/>
        <v>0</v>
      </c>
      <c r="D23" s="147">
        <f t="shared" si="162"/>
        <v>0</v>
      </c>
      <c r="E23" s="147">
        <f t="shared" si="162"/>
        <v>0</v>
      </c>
      <c r="F23" s="18">
        <f t="shared" ref="F23:F24" si="163">SUM(B23:E23)</f>
        <v>0</v>
      </c>
      <c r="G23" s="147">
        <f t="shared" ref="G23:J23" si="164">G24+G26+G28</f>
        <v>0</v>
      </c>
      <c r="H23" s="147">
        <f t="shared" si="164"/>
        <v>0</v>
      </c>
      <c r="I23" s="147">
        <f t="shared" si="164"/>
        <v>0</v>
      </c>
      <c r="J23" s="147">
        <f t="shared" si="164"/>
        <v>0</v>
      </c>
      <c r="K23" s="18">
        <f t="shared" ref="K23:K24" si="165">SUM(G23:J23)</f>
        <v>0</v>
      </c>
      <c r="L23" s="147">
        <f t="shared" ref="L23:O23" si="166">L24+L26+L28</f>
        <v>0</v>
      </c>
      <c r="M23" s="147">
        <f t="shared" si="166"/>
        <v>0</v>
      </c>
      <c r="N23" s="147">
        <f t="shared" si="166"/>
        <v>0</v>
      </c>
      <c r="O23" s="147">
        <f t="shared" si="166"/>
        <v>0</v>
      </c>
      <c r="P23" s="18">
        <f t="shared" ref="P23:P24" si="167">SUM(L23:O23)</f>
        <v>0</v>
      </c>
      <c r="Q23" s="147">
        <f t="shared" ref="Q23:T23" si="168">Q24+Q26+Q28</f>
        <v>0</v>
      </c>
      <c r="R23" s="147">
        <f t="shared" si="168"/>
        <v>0</v>
      </c>
      <c r="S23" s="147">
        <f t="shared" si="168"/>
        <v>0</v>
      </c>
      <c r="T23" s="147">
        <f t="shared" si="168"/>
        <v>0</v>
      </c>
      <c r="U23" s="18">
        <f t="shared" ref="U23:U24" si="169">SUM(Q23:T23)</f>
        <v>0</v>
      </c>
      <c r="V23" s="147">
        <f t="shared" ref="V23:Y23" si="170">V24+V26+V28</f>
        <v>0</v>
      </c>
      <c r="W23" s="147">
        <f t="shared" si="170"/>
        <v>0</v>
      </c>
      <c r="X23" s="147">
        <f t="shared" si="170"/>
        <v>0</v>
      </c>
      <c r="Y23" s="147">
        <f t="shared" si="170"/>
        <v>0</v>
      </c>
      <c r="Z23" s="18">
        <f t="shared" ref="Z23:Z24" si="171">SUM(V23:Y23)</f>
        <v>0</v>
      </c>
      <c r="AA23" s="147">
        <f t="shared" ref="AA23:AD23" si="172">AA24+AA26+AA28</f>
        <v>0</v>
      </c>
      <c r="AB23" s="147">
        <f t="shared" si="172"/>
        <v>0</v>
      </c>
      <c r="AC23" s="147">
        <f t="shared" si="172"/>
        <v>0</v>
      </c>
      <c r="AD23" s="147">
        <f t="shared" si="172"/>
        <v>0</v>
      </c>
      <c r="AE23" s="18">
        <f t="shared" ref="AE23:AE24" si="173">SUM(AA23:AD23)</f>
        <v>0</v>
      </c>
      <c r="AF23" s="147">
        <f>AF24+AF26+AF28</f>
        <v>0</v>
      </c>
      <c r="AG23" s="147">
        <f>AG24+AG26+AG28</f>
        <v>0</v>
      </c>
      <c r="AH23" s="147">
        <f>AH24+AH26+AH28</f>
        <v>0</v>
      </c>
      <c r="AI23" s="147">
        <f>AI24+AI26+AI28</f>
        <v>0</v>
      </c>
      <c r="AJ23" s="18">
        <f>SUM(AF23:AI23)</f>
        <v>0</v>
      </c>
      <c r="AK23" s="147">
        <f>AK24+AK26+AK28</f>
        <v>3661.1949999999997</v>
      </c>
      <c r="AL23" s="147">
        <f>AL24+AL26+AL28</f>
        <v>3156.2980000000002</v>
      </c>
      <c r="AM23" s="147">
        <f>AM24+AM26+AM28</f>
        <v>5088.3469999999998</v>
      </c>
      <c r="AN23" s="147">
        <f>AN24+AN26+AN28</f>
        <v>3151.1269999999986</v>
      </c>
      <c r="AO23" s="18">
        <f>SUM(AK23:AN23)</f>
        <v>15056.966999999999</v>
      </c>
      <c r="AP23" s="147">
        <f>AP24+AP26+AP28</f>
        <v>2109.9359999999997</v>
      </c>
      <c r="AQ23" s="147">
        <f>AQ24+AQ26+AQ28</f>
        <v>1101.4350000000004</v>
      </c>
      <c r="AR23" s="147">
        <f>AR24+AR26+AR28</f>
        <v>-340.32699999999932</v>
      </c>
      <c r="AS23" s="147">
        <f>AS24+AS26+AS28</f>
        <v>-408.82900000000063</v>
      </c>
      <c r="AT23" s="18">
        <f>SUM(AP23:AS23)</f>
        <v>2462.2150000000001</v>
      </c>
      <c r="AU23" s="147">
        <f>AU24+AU26+AU28</f>
        <v>-453</v>
      </c>
      <c r="AV23" s="147">
        <f>AV24+AV26+AV28</f>
        <v>262</v>
      </c>
      <c r="AW23" s="147">
        <f>AW24+AW26+AW28</f>
        <v>-4443</v>
      </c>
      <c r="AX23" s="147">
        <f>AX24+AX26+AX28</f>
        <v>-6780</v>
      </c>
      <c r="AY23" s="18">
        <f>SUM(AU23:AX23)</f>
        <v>-11414</v>
      </c>
      <c r="AZ23" s="147">
        <f>AZ24+AZ26+AZ28</f>
        <v>-2175</v>
      </c>
      <c r="BA23" s="147">
        <f>BA24+BA26+BA28</f>
        <v>-2892</v>
      </c>
      <c r="BB23" s="147">
        <f>BB24+BB26+BB28</f>
        <v>-1211</v>
      </c>
      <c r="BC23" s="147">
        <f>BC24+BC26+BC28</f>
        <v>-2532</v>
      </c>
      <c r="BD23" s="18">
        <f>SUM(AZ23:BC23)</f>
        <v>-8810</v>
      </c>
      <c r="BE23" s="147">
        <f>BE24+BE26+BE28</f>
        <v>-5034</v>
      </c>
      <c r="BF23" s="147">
        <f>BF24+BF26+BF28</f>
        <v>-5376</v>
      </c>
      <c r="BG23" s="147">
        <f>BG24+BG26+BG28</f>
        <v>-1071</v>
      </c>
      <c r="BH23" s="147">
        <f>BH24+BH26+BH28</f>
        <v>-13246</v>
      </c>
      <c r="BI23" s="18">
        <f>SUM(BE23:BH23)</f>
        <v>-24727</v>
      </c>
      <c r="BJ23" s="147">
        <f>BJ24+BJ26+BJ28</f>
        <v>-4085</v>
      </c>
      <c r="BK23" s="147">
        <f>BK24+BK26+BK28</f>
        <v>-4609</v>
      </c>
      <c r="BL23" s="147">
        <f>BL24+BL26+BL28</f>
        <v>-4065</v>
      </c>
      <c r="BM23" s="147">
        <f>BM24+BM26+BM28</f>
        <v>-11678</v>
      </c>
      <c r="BN23" s="18">
        <f>SUM(BJ23:BM23)</f>
        <v>-24437</v>
      </c>
      <c r="BO23" s="147">
        <f>BO24+BO26+BO28</f>
        <v>-5444</v>
      </c>
      <c r="BP23" s="147">
        <f>BP24+BP26+BP28</f>
        <v>-5601</v>
      </c>
      <c r="BQ23" s="147">
        <f>BQ24+BQ26+BQ28</f>
        <v>-3546</v>
      </c>
      <c r="BR23" s="147">
        <f>BR24+BR26+BR28</f>
        <v>680</v>
      </c>
      <c r="BS23" s="18">
        <f>SUM(BO23:BR23)</f>
        <v>-13911</v>
      </c>
      <c r="BT23" s="147">
        <f>BT24+BT26+BT28</f>
        <v>-4917</v>
      </c>
      <c r="BU23" s="147">
        <f>BU24+BU26+BU28</f>
        <v>-5749</v>
      </c>
      <c r="BV23" s="147">
        <f>BV24+BV26+BV28</f>
        <v>-7613</v>
      </c>
      <c r="BW23" s="147">
        <f>BW24+BW26+BW28</f>
        <v>-12805</v>
      </c>
      <c r="BX23" s="18">
        <f>SUM(BT23:BW23)</f>
        <v>-31084</v>
      </c>
      <c r="BY23" s="147">
        <f>BY24+BY26+BY28</f>
        <v>-14580</v>
      </c>
      <c r="BZ23" s="147">
        <f>BZ24+BZ26+BZ28</f>
        <v>-15628</v>
      </c>
      <c r="CA23" s="147">
        <f>CA24+CA26+CA28</f>
        <v>-8694</v>
      </c>
      <c r="CB23" s="147">
        <f>CB24+CB26+CB28</f>
        <v>-8912</v>
      </c>
      <c r="CC23" s="18">
        <f>SUM(BY23:CB23)</f>
        <v>-47814</v>
      </c>
      <c r="CD23" s="147">
        <f>CD24+CD26+CD28</f>
        <v>-10709</v>
      </c>
      <c r="CE23" s="147">
        <f>CE24+CE26+CE28</f>
        <v>-22120</v>
      </c>
      <c r="CF23" s="147">
        <f ca="1">CF24+CF26+CF28</f>
        <v>-6498.0807999987082</v>
      </c>
      <c r="CG23" s="147">
        <f ca="1">CG24+CG26+CG28</f>
        <v>-3840.7339432428707</v>
      </c>
      <c r="CH23" s="18">
        <f ca="1">SUM(CD23:CG23)</f>
        <v>-43167.814743241579</v>
      </c>
      <c r="CI23" s="147">
        <f ca="1">CI24+CI26+CI28</f>
        <v>459.79597378295875</v>
      </c>
      <c r="CJ23" s="147">
        <f ca="1">CJ24+CJ26+CJ28</f>
        <v>-441.87402265122364</v>
      </c>
      <c r="CK23" s="147">
        <f ca="1">CK24+CK26+CK28</f>
        <v>-4204.8966276472493</v>
      </c>
      <c r="CL23" s="147">
        <f ca="1">CL24+CL26+CL28</f>
        <v>-4592.2102862219981</v>
      </c>
      <c r="CM23" s="18">
        <f ca="1">SUM(CI23:CL23)</f>
        <v>-8779.1849627375123</v>
      </c>
      <c r="CN23" s="147">
        <f ca="1">CN24+CN26+CN28</f>
        <v>6678.45237413836</v>
      </c>
      <c r="CO23" s="147">
        <f ca="1">CO24+CO26+CO28</f>
        <v>6480.1803609276758</v>
      </c>
      <c r="CP23" s="147">
        <f ca="1">CP24+CP26+CP28</f>
        <v>1915.75664653063</v>
      </c>
      <c r="CQ23" s="147">
        <f ca="1">CQ24+CQ26+CQ28</f>
        <v>1487.528253176657</v>
      </c>
      <c r="CR23" s="18">
        <f ca="1">SUM(CN23:CQ23)</f>
        <v>16561.917634773323</v>
      </c>
      <c r="CS23" s="147">
        <f ca="1">CS24+CS26+CS28</f>
        <v>6140.586563803794</v>
      </c>
      <c r="CT23" s="147">
        <f ca="1">CT24+CT26+CT28</f>
        <v>5910.9846784249967</v>
      </c>
      <c r="CU23" s="147">
        <f ca="1">CU24+CU26+CU28</f>
        <v>590.91023257819324</v>
      </c>
      <c r="CV23" s="147">
        <f ca="1">CV24+CV26+CV28</f>
        <v>441.03985988337809</v>
      </c>
      <c r="CW23" s="18">
        <f ca="1">SUM(CS23:CV23)</f>
        <v>13083.521334690362</v>
      </c>
      <c r="CX23" s="147">
        <f ca="1">CX24+CX26+CX28</f>
        <v>5908.8803448537365</v>
      </c>
      <c r="CY23" s="147">
        <f ca="1">CY24+CY26+CY28</f>
        <v>6042.1780850665746</v>
      </c>
      <c r="CZ23" s="147">
        <f ca="1">CZ24+CZ26+CZ28</f>
        <v>480.75566941420402</v>
      </c>
      <c r="DA23" s="147">
        <f ca="1">DA24+DA26+DA28</f>
        <v>84.544732347778336</v>
      </c>
      <c r="DB23" s="18">
        <f ca="1">SUM(CX23:DA23)</f>
        <v>12516.358831682293</v>
      </c>
    </row>
    <row r="24" spans="1:106" ht="11.25" customHeight="1" x14ac:dyDescent="0.35">
      <c r="A24" s="149" t="s">
        <v>76</v>
      </c>
      <c r="B24" s="421"/>
      <c r="C24" s="421"/>
      <c r="D24" s="421"/>
      <c r="E24" s="421"/>
      <c r="F24" s="20">
        <f t="shared" si="163"/>
        <v>0</v>
      </c>
      <c r="G24" s="421"/>
      <c r="H24" s="421"/>
      <c r="I24" s="421"/>
      <c r="J24" s="421"/>
      <c r="K24" s="20">
        <f t="shared" si="165"/>
        <v>0</v>
      </c>
      <c r="L24" s="421"/>
      <c r="M24" s="421"/>
      <c r="N24" s="421"/>
      <c r="O24" s="421"/>
      <c r="P24" s="20">
        <f t="shared" si="167"/>
        <v>0</v>
      </c>
      <c r="Q24" s="421"/>
      <c r="R24" s="421"/>
      <c r="S24" s="421"/>
      <c r="T24" s="421"/>
      <c r="U24" s="20">
        <f t="shared" si="169"/>
        <v>0</v>
      </c>
      <c r="V24" s="421"/>
      <c r="W24" s="421"/>
      <c r="X24" s="421"/>
      <c r="Y24" s="421"/>
      <c r="Z24" s="20">
        <f t="shared" si="171"/>
        <v>0</v>
      </c>
      <c r="AA24" s="421"/>
      <c r="AB24" s="421"/>
      <c r="AC24" s="421"/>
      <c r="AD24" s="421"/>
      <c r="AE24" s="20">
        <f t="shared" si="173"/>
        <v>0</v>
      </c>
      <c r="AF24" s="421"/>
      <c r="AG24" s="421"/>
      <c r="AH24" s="421"/>
      <c r="AI24" s="421"/>
      <c r="AJ24" s="20">
        <f>SUM(AF24:AI24)</f>
        <v>0</v>
      </c>
      <c r="AK24" s="421">
        <v>4427.3599999999997</v>
      </c>
      <c r="AL24" s="421">
        <v>4201.6490000000003</v>
      </c>
      <c r="AM24" s="421">
        <v>6442</v>
      </c>
      <c r="AN24" s="421">
        <v>5265.7349999999988</v>
      </c>
      <c r="AO24" s="20">
        <f>SUM(AK24:AN24)</f>
        <v>20336.743999999999</v>
      </c>
      <c r="AP24" s="421">
        <v>2670.8409999999999</v>
      </c>
      <c r="AQ24" s="421">
        <v>2209.2230000000004</v>
      </c>
      <c r="AR24" s="421">
        <v>3401.0650000000005</v>
      </c>
      <c r="AS24" s="421">
        <v>2850.5199999999986</v>
      </c>
      <c r="AT24" s="20">
        <f>SUM(AP24:AS24)</f>
        <v>11131.648999999999</v>
      </c>
      <c r="AU24" s="421">
        <v>3012</v>
      </c>
      <c r="AV24" s="421">
        <v>5477</v>
      </c>
      <c r="AW24" s="421">
        <v>3325</v>
      </c>
      <c r="AX24" s="421">
        <f>15275-SUM(AU24:AW24)</f>
        <v>3461</v>
      </c>
      <c r="AY24" s="20">
        <f t="shared" ref="AY24" si="174">SUM(AU24:AX24)</f>
        <v>15275</v>
      </c>
      <c r="AZ24" s="421">
        <v>2784</v>
      </c>
      <c r="BA24" s="421">
        <v>2827</v>
      </c>
      <c r="BB24" s="421">
        <v>5428</v>
      </c>
      <c r="BC24" s="421">
        <f>14673-SUM(AZ24:BB24)</f>
        <v>3634</v>
      </c>
      <c r="BD24" s="20">
        <f>SUM(AZ24:BC24)</f>
        <v>14673</v>
      </c>
      <c r="BE24" s="421">
        <v>2222</v>
      </c>
      <c r="BF24" s="421">
        <v>3924</v>
      </c>
      <c r="BG24" s="421">
        <v>10356</v>
      </c>
      <c r="BH24" s="421">
        <f>24987-SUM(BE24:BG24)</f>
        <v>8485</v>
      </c>
      <c r="BI24" s="20">
        <f>SUM(BE24:BH24)</f>
        <v>24987</v>
      </c>
      <c r="BJ24" s="421">
        <v>12977</v>
      </c>
      <c r="BK24" s="421">
        <v>17605</v>
      </c>
      <c r="BL24" s="421">
        <v>18795</v>
      </c>
      <c r="BM24" s="421">
        <f>64031-SUM(BJ24:BL24)</f>
        <v>14654</v>
      </c>
      <c r="BN24" s="20">
        <f>SUM(BJ24:BM24)</f>
        <v>64031</v>
      </c>
      <c r="BO24" s="421">
        <v>20228</v>
      </c>
      <c r="BP24" s="421">
        <v>20425</v>
      </c>
      <c r="BQ24" s="421">
        <v>19668</v>
      </c>
      <c r="BR24" s="421">
        <f>86216-SUM(BO24:BQ24)</f>
        <v>25895</v>
      </c>
      <c r="BS24" s="20">
        <f>SUM(BO24:BR24)</f>
        <v>86216</v>
      </c>
      <c r="BT24" s="421">
        <v>19889</v>
      </c>
      <c r="BU24" s="421">
        <v>25350</v>
      </c>
      <c r="BV24" s="421">
        <v>32060</v>
      </c>
      <c r="BW24" s="421">
        <f>106081-SUM(BT24:BV24)</f>
        <v>28782</v>
      </c>
      <c r="BX24" s="20">
        <f>SUM(BT24:BW24)</f>
        <v>106081</v>
      </c>
      <c r="BY24" s="421">
        <v>36752</v>
      </c>
      <c r="BZ24" s="421">
        <v>35218</v>
      </c>
      <c r="CA24" s="421">
        <v>47368</v>
      </c>
      <c r="CB24" s="421">
        <f>170022-SUM(BY24:CA24)</f>
        <v>50684</v>
      </c>
      <c r="CC24" s="20">
        <f>SUM(BY24:CB24)</f>
        <v>170022</v>
      </c>
      <c r="CD24" s="421">
        <v>49093</v>
      </c>
      <c r="CE24" s="421">
        <v>48168</v>
      </c>
      <c r="CF24" s="423">
        <f ca="1">CF25*(AVERAGE('BS &amp; FCF'!CE6:CF6)+AVERAGE('BS &amp; FCF'!CE7:CF7))/4</f>
        <v>45176.934546820856</v>
      </c>
      <c r="CG24" s="423">
        <f ca="1">CG25*(AVERAGE('BS &amp; FCF'!CF6:CG6)+AVERAGE('BS &amp; FCF'!CF7:CG7))/4</f>
        <v>48044.102232586702</v>
      </c>
      <c r="CH24" s="20">
        <f ca="1">SUM(CD24:CG24)</f>
        <v>190482.03677940756</v>
      </c>
      <c r="CI24" s="423">
        <f ca="1">CI25*(AVERAGE('BS &amp; FCF'!CH6:CI6)+AVERAGE('BS &amp; FCF'!CH7:CI7))/4</f>
        <v>54954.74465671771</v>
      </c>
      <c r="CJ24" s="423">
        <f ca="1">CJ25*(AVERAGE('BS &amp; FCF'!CI6:CJ6)+AVERAGE('BS &amp; FCF'!CI7:CJ7))/4</f>
        <v>55568.920598247161</v>
      </c>
      <c r="CK24" s="423">
        <f ca="1">CK25*(AVERAGE('BS &amp; FCF'!CJ6:CK6)+AVERAGE('BS &amp; FCF'!CJ7:CK7))/4</f>
        <v>51347.010975412202</v>
      </c>
      <c r="CL24" s="423">
        <f ca="1">CL25*(AVERAGE('BS &amp; FCF'!CK6:CL6)+AVERAGE('BS &amp; FCF'!CK7:CL7))/4</f>
        <v>51314.596196849918</v>
      </c>
      <c r="CM24" s="20">
        <f ca="1">SUM(CI24:CL24)</f>
        <v>213185.272427227</v>
      </c>
      <c r="CN24" s="423">
        <f ca="1">CN25*(AVERAGE('BS &amp; FCF'!CM6:CN6)+AVERAGE('BS &amp; FCF'!CM7:CN7))/4</f>
        <v>57668.51948653099</v>
      </c>
      <c r="CO24" s="423">
        <f ca="1">CO25*(AVERAGE('BS &amp; FCF'!CN6:CO6)+AVERAGE('BS &amp; FCF'!CN7:CO7))/4</f>
        <v>59914.558560490041</v>
      </c>
      <c r="CP24" s="423">
        <f ca="1">CP25*(AVERAGE('BS &amp; FCF'!CO6:CP6)+AVERAGE('BS &amp; FCF'!CO7:CP7))/4</f>
        <v>56092.828884797302</v>
      </c>
      <c r="CQ24" s="423">
        <f ca="1">CQ25*(AVERAGE('BS &amp; FCF'!CP6:CQ6)+AVERAGE('BS &amp; FCF'!CP7:CQ7))/4</f>
        <v>55927.822004763802</v>
      </c>
      <c r="CR24" s="20">
        <f ca="1">SUM(CN24:CQ24)</f>
        <v>229603.72893658216</v>
      </c>
      <c r="CS24" s="423">
        <f ca="1">CS25*(AVERAGE('BS &amp; FCF'!CR6:CS6)+AVERAGE('BS &amp; FCF'!CR7:CS7))/4</f>
        <v>62314.782464599513</v>
      </c>
      <c r="CT24" s="423">
        <f ca="1">CT25*(AVERAGE('BS &amp; FCF'!CS6:CT6)+AVERAGE('BS &amp; FCF'!CS7:CT7))/4</f>
        <v>64260.515917357836</v>
      </c>
      <c r="CU24" s="423">
        <f ca="1">CU25*(AVERAGE('BS &amp; FCF'!CT6:CU6)+AVERAGE('BS &amp; FCF'!CT7:CU7))/4</f>
        <v>59568.00415928282</v>
      </c>
      <c r="CV24" s="423">
        <f ca="1">CV25*(AVERAGE('BS &amp; FCF'!CU6:CV6)+AVERAGE('BS &amp; FCF'!CU7:CV7))/4</f>
        <v>59385.408338082314</v>
      </c>
      <c r="CW24" s="20">
        <f ca="1">SUM(CS24:CV24)</f>
        <v>245528.71087932249</v>
      </c>
      <c r="CX24" s="423">
        <f ca="1">CX25*(AVERAGE('BS &amp; FCF'!CW6:CX6)+AVERAGE('BS &amp; FCF'!CW7:CX7))/4</f>
        <v>66251.23673986533</v>
      </c>
      <c r="CY24" s="423">
        <f ca="1">CY25*(AVERAGE('BS &amp; FCF'!CX6:CY6)+AVERAGE('BS &amp; FCF'!CX7:CY7))/4</f>
        <v>68337.270654967884</v>
      </c>
      <c r="CZ24" s="423">
        <f ca="1">CZ25*(AVERAGE('BS &amp; FCF'!CY6:CZ6)+AVERAGE('BS &amp; FCF'!CY7:CZ7))/4</f>
        <v>63187.881460067467</v>
      </c>
      <c r="DA24" s="423">
        <f ca="1">DA25*(AVERAGE('BS &amp; FCF'!CZ6:DA6)+AVERAGE('BS &amp; FCF'!CZ7:DA7))/4</f>
        <v>62565.66759170458</v>
      </c>
      <c r="DB24" s="20">
        <f ca="1">SUM(CX24:DA24)</f>
        <v>260342.05644660525</v>
      </c>
    </row>
    <row r="25" spans="1:106" s="26" customFormat="1" ht="11.25" customHeight="1" outlineLevel="1" x14ac:dyDescent="0.35">
      <c r="A25" s="156" t="s">
        <v>146</v>
      </c>
      <c r="B25" s="422" t="e">
        <f>(1+(B24)/(AVERAGE('BS &amp; FCF'!A6:B6)+AVERAGE('BS &amp; FCF'!A7:B7)))^4-1</f>
        <v>#DIV/0!</v>
      </c>
      <c r="C25" s="422" t="e">
        <f>(1+(C24)/(AVERAGE('BS &amp; FCF'!B6:C6)+AVERAGE('BS &amp; FCF'!B7:C7)))^4-1</f>
        <v>#DIV/0!</v>
      </c>
      <c r="D25" s="422" t="e">
        <f>(1+(D24)/(AVERAGE('BS &amp; FCF'!C6:D6)+AVERAGE('BS &amp; FCF'!C7:D7)))^4-1</f>
        <v>#DIV/0!</v>
      </c>
      <c r="E25" s="422" t="e">
        <f>(1+(E24)/(AVERAGE('BS &amp; FCF'!D6:E6)+AVERAGE('BS &amp; FCF'!D7:E7)))^4-1</f>
        <v>#DIV/0!</v>
      </c>
      <c r="F25" s="24" t="e">
        <f>(F24)/(AVERAGE('BS &amp; FCF'!B6:E6)+AVERAGE('BS &amp; FCF'!B7:E7))</f>
        <v>#DIV/0!</v>
      </c>
      <c r="G25" s="422" t="e">
        <f>(1+(G24)/(AVERAGE('BS &amp; FCF'!F6:G6)+AVERAGE('BS &amp; FCF'!F7:G7)))^4-1</f>
        <v>#DIV/0!</v>
      </c>
      <c r="H25" s="422" t="e">
        <f>(1+(H24)/(AVERAGE('BS &amp; FCF'!G6:H6)+AVERAGE('BS &amp; FCF'!G7:H7)))^4-1</f>
        <v>#DIV/0!</v>
      </c>
      <c r="I25" s="422" t="e">
        <f>(1+(I24)/(AVERAGE('BS &amp; FCF'!H6:I6)+AVERAGE('BS &amp; FCF'!H7:I7)))^4-1</f>
        <v>#DIV/0!</v>
      </c>
      <c r="J25" s="422" t="e">
        <f>(1+(J24)/(AVERAGE('BS &amp; FCF'!I6:J6)+AVERAGE('BS &amp; FCF'!I7:J7)))^4-1</f>
        <v>#DIV/0!</v>
      </c>
      <c r="K25" s="24" t="e">
        <f>(K24)/(AVERAGE('BS &amp; FCF'!G6:J6)+AVERAGE('BS &amp; FCF'!G7:J7))</f>
        <v>#DIV/0!</v>
      </c>
      <c r="L25" s="422" t="e">
        <f>(1+(L24)/(AVERAGE('BS &amp; FCF'!K6:L6)+AVERAGE('BS &amp; FCF'!K7:L7)))^4-1</f>
        <v>#DIV/0!</v>
      </c>
      <c r="M25" s="422" t="e">
        <f>(1+(M24)/(AVERAGE('BS &amp; FCF'!L6:M6)+AVERAGE('BS &amp; FCF'!L7:M7)))^4-1</f>
        <v>#DIV/0!</v>
      </c>
      <c r="N25" s="422" t="e">
        <f>(1+(N24)/(AVERAGE('BS &amp; FCF'!M6:N6)+AVERAGE('BS &amp; FCF'!M7:N7)))^4-1</f>
        <v>#DIV/0!</v>
      </c>
      <c r="O25" s="422" t="e">
        <f>(1+(O24)/(AVERAGE('BS &amp; FCF'!N6:O6)+AVERAGE('BS &amp; FCF'!N7:O7)))^4-1</f>
        <v>#DIV/0!</v>
      </c>
      <c r="P25" s="24" t="e">
        <f>(P24)/(AVERAGE('BS &amp; FCF'!L6:O6)+AVERAGE('BS &amp; FCF'!L7:O7))</f>
        <v>#DIV/0!</v>
      </c>
      <c r="Q25" s="422" t="e">
        <f>(1+(Q24)/(AVERAGE('BS &amp; FCF'!P6:Q6)+AVERAGE('BS &amp; FCF'!P7:Q7)))^4-1</f>
        <v>#DIV/0!</v>
      </c>
      <c r="R25" s="422" t="e">
        <f>(1+(R24)/(AVERAGE('BS &amp; FCF'!Q6:R6)+AVERAGE('BS &amp; FCF'!Q7:R7)))^4-1</f>
        <v>#DIV/0!</v>
      </c>
      <c r="S25" s="422" t="e">
        <f>(1+(S24)/(AVERAGE('BS &amp; FCF'!R6:S6)+AVERAGE('BS &amp; FCF'!R7:S7)))^4-1</f>
        <v>#DIV/0!</v>
      </c>
      <c r="T25" s="422" t="e">
        <f>(1+(T24)/(AVERAGE('BS &amp; FCF'!S6:T6)+AVERAGE('BS &amp; FCF'!S7:T7)))^4-1</f>
        <v>#DIV/0!</v>
      </c>
      <c r="U25" s="24" t="e">
        <f>(U24)/(AVERAGE('BS &amp; FCF'!Q6:T6)+AVERAGE('BS &amp; FCF'!Q7:T7))</f>
        <v>#DIV/0!</v>
      </c>
      <c r="V25" s="422" t="e">
        <f>(1+(V24)/(AVERAGE('BS &amp; FCF'!U6:V6)+AVERAGE('BS &amp; FCF'!U7:V7)))^4-1</f>
        <v>#DIV/0!</v>
      </c>
      <c r="W25" s="422" t="e">
        <f>(1+(W24)/(AVERAGE('BS &amp; FCF'!V6:W6)+AVERAGE('BS &amp; FCF'!V7:W7)))^4-1</f>
        <v>#DIV/0!</v>
      </c>
      <c r="X25" s="422" t="e">
        <f>(1+(X24)/(AVERAGE('BS &amp; FCF'!W6:X6)+AVERAGE('BS &amp; FCF'!W7:X7)))^4-1</f>
        <v>#DIV/0!</v>
      </c>
      <c r="Y25" s="422" t="e">
        <f>(1+(Y24)/(AVERAGE('BS &amp; FCF'!X6:Y6)+AVERAGE('BS &amp; FCF'!X7:Y7)))^4-1</f>
        <v>#DIV/0!</v>
      </c>
      <c r="Z25" s="24" t="e">
        <f>(Z24)/(AVERAGE('BS &amp; FCF'!V6:Y6)+AVERAGE('BS &amp; FCF'!V7:Y7))</f>
        <v>#DIV/0!</v>
      </c>
      <c r="AA25" s="422" t="e">
        <f>(1+(AA24)/(AVERAGE('BS &amp; FCF'!Z6:AA6)+AVERAGE('BS &amp; FCF'!Z7:AA7)))^4-1</f>
        <v>#DIV/0!</v>
      </c>
      <c r="AB25" s="422" t="e">
        <f>(1+(AB24)/(AVERAGE('BS &amp; FCF'!AA6:AB6)+AVERAGE('BS &amp; FCF'!AA7:AB7)))^4-1</f>
        <v>#DIV/0!</v>
      </c>
      <c r="AC25" s="422" t="e">
        <f>(1+(AC24)/(AVERAGE('BS &amp; FCF'!AB6:AC6)+AVERAGE('BS &amp; FCF'!AB7:AC7)))^4-1</f>
        <v>#DIV/0!</v>
      </c>
      <c r="AD25" s="422" t="e">
        <f>(1+(AD24)/(AVERAGE('BS &amp; FCF'!AC6:AD6)+AVERAGE('BS &amp; FCF'!AC7:AD7)))^4-1</f>
        <v>#DIV/0!</v>
      </c>
      <c r="AE25" s="24" t="e">
        <f>(AE24)/(AVERAGE('BS &amp; FCF'!AA6:AD6)+AVERAGE('BS &amp; FCF'!AA7:AD7))</f>
        <v>#DIV/0!</v>
      </c>
      <c r="AF25" s="422" t="e">
        <f>(1+(AF24)/(AVERAGE('BS &amp; FCF'!AE6:AF6)+AVERAGE('BS &amp; FCF'!AE7:AF7)))^4-1</f>
        <v>#DIV/0!</v>
      </c>
      <c r="AG25" s="422" t="e">
        <f>(1+(AG24)/(AVERAGE('BS &amp; FCF'!AF6:AG6)+AVERAGE('BS &amp; FCF'!AF7:AG7)))^4-1</f>
        <v>#DIV/0!</v>
      </c>
      <c r="AH25" s="422" t="e">
        <f>(1+(AH24)/(AVERAGE('BS &amp; FCF'!AG6:AH6)+AVERAGE('BS &amp; FCF'!AG7:AH7)))^4-1</f>
        <v>#DIV/0!</v>
      </c>
      <c r="AI25" s="422" t="e">
        <f>(1+(AI24)/(AVERAGE('BS &amp; FCF'!AH6:AI6)+AVERAGE('BS &amp; FCF'!AH7:AI7)))^4-1</f>
        <v>#DIV/0!</v>
      </c>
      <c r="AJ25" s="24" t="e">
        <f>(AJ24)/(AVERAGE('BS &amp; FCF'!AF6:AI6)+AVERAGE('BS &amp; FCF'!AF7:AI7))</f>
        <v>#DIV/0!</v>
      </c>
      <c r="AK25" s="422">
        <f>(1+(AK24)/(AVERAGE('BS &amp; FCF'!AJ6:AK6)+AVERAGE('BS &amp; FCF'!AJ7:AK7)))^4-1</f>
        <v>0.25842562917834666</v>
      </c>
      <c r="AL25" s="422">
        <f>(1+(AL24)/(AVERAGE('BS &amp; FCF'!AK6:AL6)+AVERAGE('BS &amp; FCF'!AK7:AL7)))^4-1</f>
        <v>0.13065467062582203</v>
      </c>
      <c r="AM25" s="422">
        <f>(1+(AM24)/(AVERAGE('BS &amp; FCF'!AL6:AM6)+AVERAGE('BS &amp; FCF'!AL7:AM7)))^4-1</f>
        <v>0.21212242950211802</v>
      </c>
      <c r="AN25" s="422">
        <f>(1+(AN24)/(AVERAGE('BS &amp; FCF'!AM6:AN6)+AVERAGE('BS &amp; FCF'!AM7:AN7)))^4-1</f>
        <v>0.12368919366808973</v>
      </c>
      <c r="AO25" s="24">
        <f>(AO24)/(AVERAGE('BS &amp; FCF'!AK6:AN6)+AVERAGE('BS &amp; FCF'!AK7:AN7))</f>
        <v>0.13004238884039759</v>
      </c>
      <c r="AP25" s="422">
        <f>(1+(AP24)/(AVERAGE('BS &amp; FCF'!AO6:AP6)+AVERAGE('BS &amp; FCF'!AO7:AP7)))^4-1</f>
        <v>6.0856862555308755E-2</v>
      </c>
      <c r="AQ25" s="422">
        <f>(1+(AQ24)/(AVERAGE('BS &amp; FCF'!AP6:AQ6)+AVERAGE('BS &amp; FCF'!AP7:AQ7)))^4-1</f>
        <v>6.1870385783926896E-2</v>
      </c>
      <c r="AR25" s="422">
        <f>(1+(AR24)/(AVERAGE('BS &amp; FCF'!AQ6:AR6)+AVERAGE('BS &amp; FCF'!AQ7:AR7)))^4-1</f>
        <v>7.9773085032459834E-2</v>
      </c>
      <c r="AS25" s="422">
        <f>(1+(AS24)/(AVERAGE('BS &amp; FCF'!AR6:AS6)+AVERAGE('BS &amp; FCF'!AR7:AS7)))^4-1</f>
        <v>4.9258460469073562E-2</v>
      </c>
      <c r="AT25" s="24">
        <f>(AT24)/(AVERAGE('BS &amp; FCF'!AP6:AS6)+AVERAGE('BS &amp; FCF'!AP7:AS7))</f>
        <v>5.831003983667226E-2</v>
      </c>
      <c r="AU25" s="422">
        <f>(1+(AU24)/(AVERAGE('BS &amp; FCF'!AT6:AU6)+AVERAGE('BS &amp; FCF'!AT7:AU7)))^4-1</f>
        <v>4.8363797086269589E-2</v>
      </c>
      <c r="AV25" s="422">
        <f>(1+(AV24)/(AVERAGE('BS &amp; FCF'!AU6:AV6)+AVERAGE('BS &amp; FCF'!AU7:AV7)))^4-1</f>
        <v>8.7337917337033444E-2</v>
      </c>
      <c r="AW25" s="422">
        <f>(1+(AW24)/(AVERAGE('BS &amp; FCF'!AV6:AW6)+AVERAGE('BS &amp; FCF'!AV7:AW7)))^4-1</f>
        <v>4.5720107963931556E-2</v>
      </c>
      <c r="AX25" s="422">
        <f>(1+(AX24)/(AVERAGE('BS &amp; FCF'!AW6:AX6)+AVERAGE('BS &amp; FCF'!AW7:AX7)))^4-1</f>
        <v>4.242299724957066E-2</v>
      </c>
      <c r="AY25" s="24">
        <f>(AY24)/(AVERAGE('BS &amp; FCF'!AU6:AX6)+AVERAGE('BS &amp; FCF'!AU7:AX7))</f>
        <v>5.1745193455884471E-2</v>
      </c>
      <c r="AZ25" s="422">
        <f>(1+(AZ24)/(AVERAGE('BS &amp; FCF'!AY6:AZ6)+AVERAGE('BS &amp; FCF'!AY7:AZ7)))^4-1</f>
        <v>3.144129077010871E-2</v>
      </c>
      <c r="BA25" s="422">
        <f>(1+(BA24)/(AVERAGE('BS &amp; FCF'!AZ6:BA6)+AVERAGE('BS &amp; FCF'!AZ7:BA7)))^4-1</f>
        <v>2.7394912276077932E-2</v>
      </c>
      <c r="BB25" s="422">
        <f>(1+(BB24)/(AVERAGE('BS &amp; FCF'!BA6:BB6)+AVERAGE('BS &amp; FCF'!BA7:BB7)))^4-1</f>
        <v>3.9712322916456433E-2</v>
      </c>
      <c r="BC25" s="422">
        <f>(1+(BC24)/(AVERAGE('BS &amp; FCF'!BB6:BC6)+AVERAGE('BS &amp; FCF'!BB7:BC7)))^4-1</f>
        <v>2.7048762881041633E-2</v>
      </c>
      <c r="BD25" s="24">
        <f>(BD24)/(AVERAGE('BS &amp; FCF'!AZ6:BC6)+AVERAGE('BS &amp; FCF'!AZ7:BC7))</f>
        <v>3.0574657915670163E-2</v>
      </c>
      <c r="BE25" s="422">
        <f>(1+(BE24)/(AVERAGE('BS &amp; FCF'!BD6:BE6)+AVERAGE('BS &amp; FCF'!BD7:BE7)))^4-1</f>
        <v>2.0078329717496679E-2</v>
      </c>
      <c r="BF25" s="422">
        <f>(1+(BF24)/(AVERAGE('BS &amp; FCF'!BE6:BF6)+AVERAGE('BS &amp; FCF'!BE7:BF7)))^4-1</f>
        <v>3.3612650752400386E-2</v>
      </c>
      <c r="BG25" s="422">
        <f>(1+(BG24)/(AVERAGE('BS &amp; FCF'!BF6:BG6)+AVERAGE('BS &amp; FCF'!BF7:BG7)))^4-1</f>
        <v>8.0755810387968197E-2</v>
      </c>
      <c r="BH25" s="422">
        <f>(1+(BH24)/(AVERAGE('BS &amp; FCF'!BG6:BH6)+AVERAGE('BS &amp; FCF'!BG7:BH7)))^4-1</f>
        <v>5.9891839237846467E-2</v>
      </c>
      <c r="BI25" s="24">
        <f>(BI24)/(AVERAGE('BS &amp; FCF'!BE6:BH6)+AVERAGE('BS &amp; FCF'!BE7:BH7))</f>
        <v>4.7500460994188622E-2</v>
      </c>
      <c r="BJ25" s="422">
        <f>(1+(BJ24)/(AVERAGE('BS &amp; FCF'!BI6:BJ6)+AVERAGE('BS &amp; FCF'!BI7:BJ7)))^4-1</f>
        <v>8.8915474358217006E-2</v>
      </c>
      <c r="BK25" s="422">
        <f>(1+(BK24)/(AVERAGE('BS &amp; FCF'!BJ6:BK6)+AVERAGE('BS &amp; FCF'!BJ7:BK7)))^4-1</f>
        <v>0.11357309749146172</v>
      </c>
      <c r="BL25" s="422">
        <f>(1+(BL24)/(AVERAGE('BS &amp; FCF'!BK6:BL6)+AVERAGE('BS &amp; FCF'!BK7:BL7)))^4-1</f>
        <v>0.11849687796960406</v>
      </c>
      <c r="BM25" s="422">
        <f>(1+(BM24)/(AVERAGE('BS &amp; FCF'!BL6:BM6)+AVERAGE('BS &amp; FCF'!BL7:BM7)))^4-1</f>
        <v>8.4306741430295151E-2</v>
      </c>
      <c r="BN25" s="24">
        <f>(BN24)/(AVERAGE('BS &amp; FCF'!BJ6:BM6)+AVERAGE('BS &amp; FCF'!BJ7:BM7))</f>
        <v>9.3974043433147095E-2</v>
      </c>
      <c r="BO25" s="422">
        <f>(1+(BO24)/(AVERAGE('BS &amp; FCF'!BN6:BO6)+AVERAGE('BS &amp; FCF'!BN7:BO7)))^4-1</f>
        <v>0.11008823892083175</v>
      </c>
      <c r="BP25" s="422">
        <f>(1+(BP24)/(AVERAGE('BS &amp; FCF'!BO6:BP6)+AVERAGE('BS &amp; FCF'!BO7:BP7)))^4-1</f>
        <v>0.10753879579968917</v>
      </c>
      <c r="BQ25" s="422">
        <f>(1+(BQ24)/(AVERAGE('BS &amp; FCF'!BP6:BQ6)+AVERAGE('BS &amp; FCF'!BP7:BQ7)))^4-1</f>
        <v>8.2607782511939787E-2</v>
      </c>
      <c r="BR25" s="422">
        <f>(1+(BR24)/(AVERAGE('BS &amp; FCF'!BQ6:BR6)+AVERAGE('BS &amp; FCF'!BQ7:BR7)))^4-1</f>
        <v>0.10119430176594868</v>
      </c>
      <c r="BS25" s="24">
        <f>(BS24)/(AVERAGE('BS &amp; FCF'!BO6:BR6)+AVERAGE('BS &amp; FCF'!BO7:BR7))</f>
        <v>9.313854569329022E-2</v>
      </c>
      <c r="BT25" s="422">
        <f>(1+(BT24)/(AVERAGE('BS &amp; FCF'!BS6:BT6)+AVERAGE('BS &amp; FCF'!BS7:BT7)))^4-1</f>
        <v>8.0557124378492828E-2</v>
      </c>
      <c r="BU25" s="422">
        <f>(1+(BU24)/(AVERAGE('BS &amp; FCF'!BT6:BU6)+AVERAGE('BS &amp; FCF'!BT7:BU7)))^4-1</f>
        <v>8.0070713001046068E-2</v>
      </c>
      <c r="BV25" s="422">
        <f>(1+(BV24)/(AVERAGE('BS &amp; FCF'!BU6:BV6)+AVERAGE('BS &amp; FCF'!BU7:BV7)))^4-1</f>
        <v>8.7594392749882788E-2</v>
      </c>
      <c r="BW25" s="422">
        <f>(1+(BW24)/(AVERAGE('BS &amp; FCF'!BV6:BW6)+AVERAGE('BS &amp; FCF'!BV7:BW7)))^4-1</f>
        <v>8.2387998000728935E-2</v>
      </c>
      <c r="BX25" s="24">
        <f>(BX24)/(AVERAGE('BS &amp; FCF'!BT6:BW6)+AVERAGE('BS &amp; FCF'!BT7:BW7))</f>
        <v>7.7328531447860685E-2</v>
      </c>
      <c r="BY25" s="422">
        <f>(1+(BY24)/(AVERAGE('BS &amp; FCF'!BX6:BY6)+AVERAGE('BS &amp; FCF'!BX7:BY7)))^4-1</f>
        <v>0.10182058846135877</v>
      </c>
      <c r="BZ25" s="422">
        <f>(1+(BZ24)/(AVERAGE('BS &amp; FCF'!BY6:BZ6)+AVERAGE('BS &amp; FCF'!BY7:BZ7)))^4-1</f>
        <v>9.3720521414153435E-2</v>
      </c>
      <c r="CA25" s="422">
        <f>(1+(CA24)/(AVERAGE('BS &amp; FCF'!BZ6:CA6)+AVERAGE('BS &amp; FCF'!BZ7:CA7)))^4-1</f>
        <v>0.11852828923142389</v>
      </c>
      <c r="CB25" s="422">
        <f>(1+(CB24)/(AVERAGE('BS &amp; FCF'!CA6:CB6)+AVERAGE('BS &amp; FCF'!CA7:CB7)))^4-1</f>
        <v>0.11787504319737296</v>
      </c>
      <c r="CC25" s="24">
        <f>(CC24)/(AVERAGE('BS &amp; FCF'!BY6:CB6)+AVERAGE('BS &amp; FCF'!BY7:CB7))</f>
        <v>0.1015319487162797</v>
      </c>
      <c r="CD25" s="422">
        <f>(1+(CD24)/(AVERAGE('BS &amp; FCF'!CC6:CD6)+AVERAGE('BS &amp; FCF'!CC7:CD7)))^4-1</f>
        <v>0.11436765349029043</v>
      </c>
      <c r="CE25" s="422">
        <f>(1+(CE24)/(AVERAGE('BS &amp; FCF'!CD6:CE6)+AVERAGE('BS &amp; FCF'!CD7:CE7)))^4-1</f>
        <v>0.1172682146347015</v>
      </c>
      <c r="CF25" s="422">
        <f>Macro!CF12*0.75</f>
        <v>0.105625</v>
      </c>
      <c r="CG25" s="422">
        <f>Macro!CG12*0.75</f>
        <v>0.10500000000000001</v>
      </c>
      <c r="CH25" s="24">
        <f ca="1">(CH24)/(AVERAGE('BS &amp; FCF'!CD6:CG6)+AVERAGE('BS &amp; FCF'!CD7:CG7))</f>
        <v>0.10750043479544605</v>
      </c>
      <c r="CI25" s="422">
        <f>Macro!CI12*0.75</f>
        <v>0.10500000000000001</v>
      </c>
      <c r="CJ25" s="422">
        <f>Macro!CJ12*0.75</f>
        <v>0.1</v>
      </c>
      <c r="CK25" s="422">
        <f>Macro!CK12*0.75</f>
        <v>9.4999999999999987E-2</v>
      </c>
      <c r="CL25" s="422">
        <f>Macro!CL12*0.75</f>
        <v>9.375E-2</v>
      </c>
      <c r="CM25" s="24">
        <f ca="1">(CM24)/(AVERAGE('BS &amp; FCF'!CI6:CL6)+AVERAGE('BS &amp; FCF'!CI7:CL7))</f>
        <v>9.6634902472706466E-2</v>
      </c>
      <c r="CN25" s="422">
        <f>Macro!CN12*0.75</f>
        <v>9.375E-2</v>
      </c>
      <c r="CO25" s="422">
        <f>Macro!CO12*0.75</f>
        <v>9.375E-2</v>
      </c>
      <c r="CP25" s="422">
        <f>Macro!CP12*0.75</f>
        <v>9.375E-2</v>
      </c>
      <c r="CQ25" s="422">
        <f>Macro!CQ12*0.75</f>
        <v>9.375E-2</v>
      </c>
      <c r="CR25" s="24">
        <f ca="1">(CR24)/(AVERAGE('BS &amp; FCF'!CN6:CQ6)+AVERAGE('BS &amp; FCF'!CN7:CQ7))</f>
        <v>9.2907921447968597E-2</v>
      </c>
      <c r="CS25" s="422">
        <f>Macro!CS12*0.75</f>
        <v>9.375E-2</v>
      </c>
      <c r="CT25" s="422">
        <f>Macro!CT12*0.75</f>
        <v>9.375E-2</v>
      </c>
      <c r="CU25" s="422">
        <f>Macro!CU12*0.75</f>
        <v>9.375E-2</v>
      </c>
      <c r="CV25" s="422">
        <f>Macro!CV12*0.75</f>
        <v>9.375E-2</v>
      </c>
      <c r="CW25" s="24">
        <f ca="1">(CW24)/(AVERAGE('BS &amp; FCF'!CS6:CV6)+AVERAGE('BS &amp; FCF'!CS7:CV7))</f>
        <v>9.3081582686797407E-2</v>
      </c>
      <c r="CX25" s="422">
        <f>Macro!CX12*0.75</f>
        <v>9.375E-2</v>
      </c>
      <c r="CY25" s="422">
        <f>Macro!CY12*0.75</f>
        <v>9.375E-2</v>
      </c>
      <c r="CZ25" s="422">
        <f>Macro!CZ12*0.75</f>
        <v>9.375E-2</v>
      </c>
      <c r="DA25" s="422">
        <f>Macro!DA12*0.75</f>
        <v>9.375E-2</v>
      </c>
      <c r="DB25" s="24">
        <f ca="1">(DB24)/(AVERAGE('BS &amp; FCF'!CX6:DA6)+AVERAGE('BS &amp; FCF'!CX7:DA7))</f>
        <v>9.3225821050237828E-2</v>
      </c>
    </row>
    <row r="26" spans="1:106" ht="11.25" customHeight="1" x14ac:dyDescent="0.35">
      <c r="A26" s="149" t="s">
        <v>77</v>
      </c>
      <c r="B26" s="421"/>
      <c r="C26" s="421"/>
      <c r="D26" s="421"/>
      <c r="E26" s="421"/>
      <c r="F26" s="20">
        <f t="shared" ref="F26" si="175">SUM(B26:E26)</f>
        <v>0</v>
      </c>
      <c r="G26" s="421"/>
      <c r="H26" s="421"/>
      <c r="I26" s="421"/>
      <c r="J26" s="421"/>
      <c r="K26" s="20">
        <f t="shared" ref="K26" si="176">SUM(G26:J26)</f>
        <v>0</v>
      </c>
      <c r="L26" s="421"/>
      <c r="M26" s="421"/>
      <c r="N26" s="421"/>
      <c r="O26" s="421"/>
      <c r="P26" s="20">
        <f t="shared" ref="P26" si="177">SUM(L26:O26)</f>
        <v>0</v>
      </c>
      <c r="Q26" s="421"/>
      <c r="R26" s="421"/>
      <c r="S26" s="421"/>
      <c r="T26" s="421"/>
      <c r="U26" s="20">
        <f t="shared" ref="U26" si="178">SUM(Q26:T26)</f>
        <v>0</v>
      </c>
      <c r="V26" s="421"/>
      <c r="W26" s="421"/>
      <c r="X26" s="421"/>
      <c r="Y26" s="421"/>
      <c r="Z26" s="20">
        <f t="shared" ref="Z26" si="179">SUM(V26:Y26)</f>
        <v>0</v>
      </c>
      <c r="AA26" s="421"/>
      <c r="AB26" s="421"/>
      <c r="AC26" s="421"/>
      <c r="AD26" s="421"/>
      <c r="AE26" s="20">
        <f t="shared" ref="AE26" si="180">SUM(AA26:AD26)</f>
        <v>0</v>
      </c>
      <c r="AF26" s="421"/>
      <c r="AG26" s="421"/>
      <c r="AH26" s="421"/>
      <c r="AI26" s="421"/>
      <c r="AJ26" s="20">
        <f>SUM(AF26:AI26)</f>
        <v>0</v>
      </c>
      <c r="AK26" s="421">
        <v>-766.16499999999996</v>
      </c>
      <c r="AL26" s="421">
        <v>-1045.3510000000001</v>
      </c>
      <c r="AM26" s="421">
        <v>-1353.6529999999998</v>
      </c>
      <c r="AN26" s="421">
        <v>-2114.6080000000002</v>
      </c>
      <c r="AO26" s="20">
        <f>SUM(AK26:AN26)</f>
        <v>-5279.777</v>
      </c>
      <c r="AP26" s="421">
        <v>-560.90499999999997</v>
      </c>
      <c r="AQ26" s="421">
        <v>-1107.788</v>
      </c>
      <c r="AR26" s="421">
        <v>-3741.3919999999998</v>
      </c>
      <c r="AS26" s="421">
        <v>-3259.3489999999993</v>
      </c>
      <c r="AT26" s="20">
        <f>SUM(AP26:AS26)</f>
        <v>-8669.4339999999993</v>
      </c>
      <c r="AU26" s="421">
        <v>-3465</v>
      </c>
      <c r="AV26" s="421">
        <v>-5215</v>
      </c>
      <c r="AW26" s="421">
        <v>-7768</v>
      </c>
      <c r="AX26" s="421">
        <f>-26689-SUM(AU26:AW26)</f>
        <v>-10241</v>
      </c>
      <c r="AY26" s="20">
        <f t="shared" ref="AY26" si="181">SUM(AU26:AX26)</f>
        <v>-26689</v>
      </c>
      <c r="AZ26" s="421">
        <v>-4959</v>
      </c>
      <c r="BA26" s="421">
        <v>-5719</v>
      </c>
      <c r="BB26" s="421">
        <v>-6639</v>
      </c>
      <c r="BC26" s="421">
        <f>-23483-SUM(AZ26:BB26)</f>
        <v>-6166</v>
      </c>
      <c r="BD26" s="20">
        <f t="shared" ref="BD26" si="182">SUM(AZ26:BC26)</f>
        <v>-23483</v>
      </c>
      <c r="BE26" s="421">
        <v>-7256</v>
      </c>
      <c r="BF26" s="421">
        <v>-9300</v>
      </c>
      <c r="BG26" s="421">
        <v>-11427</v>
      </c>
      <c r="BH26" s="421">
        <f>-49714-SUM(BE26:BG26)</f>
        <v>-21731</v>
      </c>
      <c r="BI26" s="20">
        <f t="shared" ref="BI26" si="183">SUM(BE26:BH26)</f>
        <v>-49714</v>
      </c>
      <c r="BJ26" s="421">
        <v>-17062</v>
      </c>
      <c r="BK26" s="421">
        <v>-22214</v>
      </c>
      <c r="BL26" s="421">
        <v>-22860</v>
      </c>
      <c r="BM26" s="421">
        <f>-88468-SUM(BJ26:BL26)</f>
        <v>-26332</v>
      </c>
      <c r="BN26" s="20">
        <f t="shared" ref="BN26" si="184">SUM(BJ26:BM26)</f>
        <v>-88468</v>
      </c>
      <c r="BO26" s="421">
        <v>-25672</v>
      </c>
      <c r="BP26" s="421">
        <v>-26026</v>
      </c>
      <c r="BQ26" s="421">
        <v>-23214</v>
      </c>
      <c r="BR26" s="421">
        <f>-100127-SUM(BO26:BQ26)</f>
        <v>-25215</v>
      </c>
      <c r="BS26" s="20">
        <f t="shared" ref="BS26" si="185">SUM(BO26:BR26)</f>
        <v>-100127</v>
      </c>
      <c r="BT26" s="421">
        <v>-24806</v>
      </c>
      <c r="BU26" s="421">
        <v>-31099</v>
      </c>
      <c r="BV26" s="421">
        <v>-39673</v>
      </c>
      <c r="BW26" s="421">
        <f>-137165-SUM(BT26:BV26)</f>
        <v>-41587</v>
      </c>
      <c r="BX26" s="20">
        <f t="shared" ref="BX26" si="186">SUM(BT26:BW26)</f>
        <v>-137165</v>
      </c>
      <c r="BY26" s="421">
        <v>-51332</v>
      </c>
      <c r="BZ26" s="421">
        <v>-50846</v>
      </c>
      <c r="CA26" s="421">
        <v>-56062</v>
      </c>
      <c r="CB26" s="421">
        <f>-217836-SUM(BY26:CA26)</f>
        <v>-59596</v>
      </c>
      <c r="CC26" s="20">
        <f>SUM(BY26:CB26)</f>
        <v>-217836</v>
      </c>
      <c r="CD26" s="421">
        <v>-59802</v>
      </c>
      <c r="CE26" s="556">
        <v>-70288</v>
      </c>
      <c r="CF26" s="148">
        <f>CF95+CF94</f>
        <v>-51675.015346819564</v>
      </c>
      <c r="CG26" s="148">
        <f>CG95+CG94</f>
        <v>-51884.836175829572</v>
      </c>
      <c r="CH26" s="20">
        <f>SUM(CD26:CG26)</f>
        <v>-233649.85152264914</v>
      </c>
      <c r="CI26" s="148">
        <f>CI95+CI94</f>
        <v>-54494.948682934752</v>
      </c>
      <c r="CJ26" s="148">
        <f>CJ95+CJ94</f>
        <v>-56010.794620898385</v>
      </c>
      <c r="CK26" s="148">
        <f>CK95+CK94</f>
        <v>-55551.907603059452</v>
      </c>
      <c r="CL26" s="148">
        <f>CL95+CL94</f>
        <v>-55906.806483071916</v>
      </c>
      <c r="CM26" s="20">
        <f>SUM(CI26:CL26)</f>
        <v>-221964.45738996449</v>
      </c>
      <c r="CN26" s="148">
        <f>CN95+CN94</f>
        <v>-50990.067112392629</v>
      </c>
      <c r="CO26" s="148">
        <f>CO95+CO94</f>
        <v>-53434.378199562365</v>
      </c>
      <c r="CP26" s="148">
        <f>CP95+CP94</f>
        <v>-54177.072238266672</v>
      </c>
      <c r="CQ26" s="148">
        <f>CQ95+CQ94</f>
        <v>-54440.293751587145</v>
      </c>
      <c r="CR26" s="20">
        <f>SUM(CN26:CQ26)</f>
        <v>-213041.8113018088</v>
      </c>
      <c r="CS26" s="148">
        <f>CS95+CS94</f>
        <v>-56174.195900795719</v>
      </c>
      <c r="CT26" s="148">
        <f>CT95+CT94</f>
        <v>-58349.531238932839</v>
      </c>
      <c r="CU26" s="148">
        <f>CU95+CU94</f>
        <v>-58977.093926704627</v>
      </c>
      <c r="CV26" s="148">
        <f>CV95+CV94</f>
        <v>-58944.368478198936</v>
      </c>
      <c r="CW26" s="20">
        <f>SUM(CS26:CV26)</f>
        <v>-232445.18954463213</v>
      </c>
      <c r="CX26" s="148">
        <f>CX95+CX94</f>
        <v>-60342.356395011593</v>
      </c>
      <c r="CY26" s="148">
        <f>CY95+CY94</f>
        <v>-62295.09256990131</v>
      </c>
      <c r="CZ26" s="148">
        <f>CZ95+CZ94</f>
        <v>-62707.125790653263</v>
      </c>
      <c r="DA26" s="148">
        <f>DA95+DA94</f>
        <v>-62481.122859356801</v>
      </c>
      <c r="DB26" s="20">
        <f>SUM(CX26:DA26)</f>
        <v>-247825.69761492297</v>
      </c>
    </row>
    <row r="27" spans="1:106" s="25" customFormat="1" ht="11.25" customHeight="1" outlineLevel="1" x14ac:dyDescent="0.35">
      <c r="A27" s="156" t="s">
        <v>145</v>
      </c>
      <c r="B27" s="422" t="e">
        <f>(1-B26/AVERAGE('BS &amp; FCF'!A51:B51))^4-1</f>
        <v>#DIV/0!</v>
      </c>
      <c r="C27" s="422" t="e">
        <f>(1-C26/AVERAGE('BS &amp; FCF'!B51:C51))^4-1</f>
        <v>#DIV/0!</v>
      </c>
      <c r="D27" s="422" t="e">
        <f>(1-D26/AVERAGE('BS &amp; FCF'!C51:D51))^4-1</f>
        <v>#DIV/0!</v>
      </c>
      <c r="E27" s="422" t="e">
        <f>(1-E26/AVERAGE('BS &amp; FCF'!D51:E51))^4-1</f>
        <v>#DIV/0!</v>
      </c>
      <c r="F27" s="425" t="e">
        <f>-F26/AVERAGE('BS &amp; FCF'!B51:E51)</f>
        <v>#DIV/0!</v>
      </c>
      <c r="G27" s="422" t="e">
        <f>(1-G26/AVERAGE('BS &amp; FCF'!F51:G51))^4-1</f>
        <v>#DIV/0!</v>
      </c>
      <c r="H27" s="422" t="e">
        <f>(1-H26/AVERAGE('BS &amp; FCF'!G51:H51))^4-1</f>
        <v>#DIV/0!</v>
      </c>
      <c r="I27" s="422" t="e">
        <f>(1-I26/AVERAGE('BS &amp; FCF'!H51:I51))^4-1</f>
        <v>#DIV/0!</v>
      </c>
      <c r="J27" s="422" t="e">
        <f>(1-J26/AVERAGE('BS &amp; FCF'!I51:J51))^4-1</f>
        <v>#DIV/0!</v>
      </c>
      <c r="K27" s="425" t="e">
        <f>-K26/AVERAGE('BS &amp; FCF'!G51:J51)</f>
        <v>#DIV/0!</v>
      </c>
      <c r="L27" s="422" t="e">
        <f>(1-L26/AVERAGE('BS &amp; FCF'!K51:L51))^4-1</f>
        <v>#DIV/0!</v>
      </c>
      <c r="M27" s="422" t="e">
        <f>(1-M26/AVERAGE('BS &amp; FCF'!L51:M51))^4-1</f>
        <v>#DIV/0!</v>
      </c>
      <c r="N27" s="422" t="e">
        <f>(1-N26/AVERAGE('BS &amp; FCF'!M51:N51))^4-1</f>
        <v>#DIV/0!</v>
      </c>
      <c r="O27" s="422" t="e">
        <f>(1-O26/AVERAGE('BS &amp; FCF'!N51:O51))^4-1</f>
        <v>#DIV/0!</v>
      </c>
      <c r="P27" s="425" t="e">
        <f>-P26/AVERAGE('BS &amp; FCF'!L51:O51)</f>
        <v>#DIV/0!</v>
      </c>
      <c r="Q27" s="422" t="e">
        <f>(1-Q26/AVERAGE('BS &amp; FCF'!P51:Q51))^4-1</f>
        <v>#DIV/0!</v>
      </c>
      <c r="R27" s="422" t="e">
        <f>(1-R26/AVERAGE('BS &amp; FCF'!Q51:R51))^4-1</f>
        <v>#DIV/0!</v>
      </c>
      <c r="S27" s="422" t="e">
        <f>(1-S26/AVERAGE('BS &amp; FCF'!R51:S51))^4-1</f>
        <v>#DIV/0!</v>
      </c>
      <c r="T27" s="422" t="e">
        <f>(1-T26/AVERAGE('BS &amp; FCF'!S51:T51))^4-1</f>
        <v>#DIV/0!</v>
      </c>
      <c r="U27" s="425" t="e">
        <f>-U26/AVERAGE('BS &amp; FCF'!Q51:T51)</f>
        <v>#DIV/0!</v>
      </c>
      <c r="V27" s="422" t="e">
        <f>(1-V26/AVERAGE('BS &amp; FCF'!U51:V51))^4-1</f>
        <v>#DIV/0!</v>
      </c>
      <c r="W27" s="422" t="e">
        <f>(1-W26/AVERAGE('BS &amp; FCF'!V51:W51))^4-1</f>
        <v>#DIV/0!</v>
      </c>
      <c r="X27" s="422" t="e">
        <f>(1-X26/AVERAGE('BS &amp; FCF'!W51:X51))^4-1</f>
        <v>#DIV/0!</v>
      </c>
      <c r="Y27" s="422" t="e">
        <f>(1-Y26/AVERAGE('BS &amp; FCF'!X51:Y51))^4-1</f>
        <v>#DIV/0!</v>
      </c>
      <c r="Z27" s="425" t="e">
        <f>-Z26/AVERAGE('BS &amp; FCF'!V51:Y51)</f>
        <v>#DIV/0!</v>
      </c>
      <c r="AA27" s="422" t="e">
        <f>(1-AA26/AVERAGE('BS &amp; FCF'!Z51:AA51))^4-1</f>
        <v>#DIV/0!</v>
      </c>
      <c r="AB27" s="422" t="e">
        <f>(1-AB26/AVERAGE('BS &amp; FCF'!AA51:AB51))^4-1</f>
        <v>#DIV/0!</v>
      </c>
      <c r="AC27" s="422" t="e">
        <f>(1-AC26/AVERAGE('BS &amp; FCF'!AB51:AC51))^4-1</f>
        <v>#DIV/0!</v>
      </c>
      <c r="AD27" s="422" t="e">
        <f>(1-AD26/AVERAGE('BS &amp; FCF'!AC51:AD51))^4-1</f>
        <v>#DIV/0!</v>
      </c>
      <c r="AE27" s="425" t="e">
        <f>-AE26/AVERAGE('BS &amp; FCF'!AA51:AD51)</f>
        <v>#DIV/0!</v>
      </c>
      <c r="AF27" s="422" t="e">
        <f>(1-AF26/AVERAGE('BS &amp; FCF'!AE51:AF51))^4-1</f>
        <v>#DIV/0!</v>
      </c>
      <c r="AG27" s="422" t="e">
        <f>(1-AG26/AVERAGE('BS &amp; FCF'!AF51:AG51))^4-1</f>
        <v>#DIV/0!</v>
      </c>
      <c r="AH27" s="422" t="e">
        <f>(1-AH26/AVERAGE('BS &amp; FCF'!AG51:AH51))^4-1</f>
        <v>#DIV/0!</v>
      </c>
      <c r="AI27" s="422" t="e">
        <f>(1-AI26/AVERAGE('BS &amp; FCF'!AH51:AI51))^4-1</f>
        <v>#DIV/0!</v>
      </c>
      <c r="AJ27" s="425" t="e">
        <f>-AJ26/AVERAGE('BS &amp; FCF'!AF51:AI51)</f>
        <v>#DIV/0!</v>
      </c>
      <c r="AK27" s="422">
        <f>(1-AK26/AVERAGE('BS &amp; FCF'!AJ51:AK51))^4-1</f>
        <v>3.1620607696329905E-2</v>
      </c>
      <c r="AL27" s="422">
        <f>(1-AL26/AVERAGE('BS &amp; FCF'!AK51:AL51))^4-1</f>
        <v>2.1876928943959983E-2</v>
      </c>
      <c r="AM27" s="422">
        <f>(1-AM26/AVERAGE('BS &amp; FCF'!AL51:AM51))^4-1</f>
        <v>2.9043185455573051E-2</v>
      </c>
      <c r="AN27" s="422">
        <f>(1-AN26/AVERAGE('BS &amp; FCF'!AM51:AN51))^4-1</f>
        <v>4.5855545177493573E-2</v>
      </c>
      <c r="AO27" s="425">
        <f>-AO26/AVERAGE('BS &amp; FCF'!AK51:AN51)</f>
        <v>2.7766780744922684E-2</v>
      </c>
      <c r="AP27" s="422">
        <f>(1-AP26/AVERAGE('BS &amp; FCF'!AO51:AP51))^4-1</f>
        <v>1.3259973366780864E-2</v>
      </c>
      <c r="AQ27" s="422">
        <f>(1-AQ26/AVERAGE('BS &amp; FCF'!AP51:AQ51))^4-1</f>
        <v>3.1904454923745496E-2</v>
      </c>
      <c r="AR27" s="422">
        <f>(1-AR26/AVERAGE('BS &amp; FCF'!AQ51:AR51))^4-1</f>
        <v>8.8386598184446719E-2</v>
      </c>
      <c r="AS27" s="422">
        <f>(1-AS26/AVERAGE('BS &amp; FCF'!AR51:AS51))^4-1</f>
        <v>6.0774007376754868E-2</v>
      </c>
      <c r="AT27" s="425">
        <f>-AT26/AVERAGE('BS &amp; FCF'!AP51:AS51)</f>
        <v>4.8178176417549221E-2</v>
      </c>
      <c r="AU27" s="422">
        <f>(1-AU26/AVERAGE('BS &amp; FCF'!AT51:AU51))^4-1</f>
        <v>6.5326971233783171E-2</v>
      </c>
      <c r="AV27" s="422">
        <f>(1-AV26/AVERAGE('BS &amp; FCF'!AU51:AV51))^4-1</f>
        <v>9.8429667536672483E-2</v>
      </c>
      <c r="AW27" s="422">
        <f>(1-AW26/AVERAGE('BS &amp; FCF'!AV51:AW51))^4-1</f>
        <v>0.15234017263834332</v>
      </c>
      <c r="AX27" s="422">
        <f>(1-AX26/AVERAGE('BS &amp; FCF'!AW51:AX51))^4-1</f>
        <v>0.17595504359306213</v>
      </c>
      <c r="AY27" s="425">
        <f>-AY26/AVERAGE('BS &amp; FCF'!AU51:AX51)</f>
        <v>0.1142386302835741</v>
      </c>
      <c r="AZ27" s="422">
        <f>(1-AZ26/AVERAGE('BS &amp; FCF'!AY51:AZ51))^4-1</f>
        <v>6.9890675821318249E-2</v>
      </c>
      <c r="BA27" s="422">
        <f>(1-BA26/AVERAGE('BS &amp; FCF'!AZ51:BA51))^4-1</f>
        <v>7.4487147225798855E-2</v>
      </c>
      <c r="BB27" s="422">
        <f>(1-BB26/AVERAGE('BS &amp; FCF'!BA51:BB51))^4-1</f>
        <v>8.5332718044462741E-2</v>
      </c>
      <c r="BC27" s="422">
        <f>(1-BC26/AVERAGE('BS &amp; FCF'!BB51:BC51))^4-1</f>
        <v>8.734953166090631E-2</v>
      </c>
      <c r="BD27" s="425">
        <f>-BD26/AVERAGE('BS &amp; FCF'!AZ51:BC51)</f>
        <v>7.7372568207165926E-2</v>
      </c>
      <c r="BE27" s="422">
        <f>(1-BE26/AVERAGE('BS &amp; FCF'!BD51:BE51))^4-1</f>
        <v>0.10826011724293494</v>
      </c>
      <c r="BF27" s="422">
        <f>(1-BF26/AVERAGE('BS &amp; FCF'!BE51:BF51))^4-1</f>
        <v>0.1419967827721178</v>
      </c>
      <c r="BG27" s="422">
        <f>(1-BG26/AVERAGE('BS &amp; FCF'!BF51:BG51))^4-1</f>
        <v>0.14575036583047241</v>
      </c>
      <c r="BH27" s="422">
        <f>(1-BH26/AVERAGE('BS &amp; FCF'!BG51:BH51))^4-1</f>
        <v>0.24172512598874185</v>
      </c>
      <c r="BI27" s="425">
        <f>-BI26/AVERAGE('BS &amp; FCF'!BE51:BH51)</f>
        <v>0.14923124028168844</v>
      </c>
      <c r="BJ27" s="422">
        <f>(1-BJ26/AVERAGE('BS &amp; FCF'!BI51:BJ51))^4-1</f>
        <v>0.18628551358573731</v>
      </c>
      <c r="BK27" s="422">
        <f>(1-BK26/AVERAGE('BS &amp; FCF'!BJ51:BK51))^4-1</f>
        <v>0.24470533056429611</v>
      </c>
      <c r="BL27" s="422">
        <f>(1-BL26/AVERAGE('BS &amp; FCF'!BK51:BL51))^4-1</f>
        <v>0.23167318812437609</v>
      </c>
      <c r="BM27" s="422">
        <f>(1-BM26/AVERAGE('BS &amp; FCF'!BL51:BM51))^4-1</f>
        <v>0.24449122637994414</v>
      </c>
      <c r="BN27" s="425">
        <f>-BN26/AVERAGE('BS &amp; FCF'!BJ51:BM51)</f>
        <v>0.20492424615324034</v>
      </c>
      <c r="BO27" s="422">
        <f>(1-BO26/AVERAGE('BS &amp; FCF'!BN51:BO51))^4-1</f>
        <v>0.2328933676333409</v>
      </c>
      <c r="BP27" s="422">
        <f>(1-BP26/AVERAGE('BS &amp; FCF'!BO51:BP51))^4-1</f>
        <v>0.23148872313184343</v>
      </c>
      <c r="BQ27" s="422">
        <f>(1-BQ26/AVERAGE('BS &amp; FCF'!BP51:BQ51))^4-1</f>
        <v>0.17227632490174538</v>
      </c>
      <c r="BR27" s="422">
        <f>(1-BR26/AVERAGE('BS &amp; FCF'!BQ51:BR51))^4-1</f>
        <v>0.17009858356812435</v>
      </c>
      <c r="BS27" s="425">
        <f>-BS26/AVERAGE('BS &amp; FCF'!BO51:BR51)</f>
        <v>0.17934304886048913</v>
      </c>
      <c r="BT27" s="422">
        <f>(1-BT26/AVERAGE('BS &amp; FCF'!BS51:BT51))^4-1</f>
        <v>0.17357408542874109</v>
      </c>
      <c r="BU27" s="422">
        <f>(1-BU26/AVERAGE('BS &amp; FCF'!BT51:BU51))^4-1</f>
        <v>0.15626146009226871</v>
      </c>
      <c r="BV27" s="422">
        <f>(1-BV26/AVERAGE('BS &amp; FCF'!BU51:BV51))^4-1</f>
        <v>0.15348996851285657</v>
      </c>
      <c r="BW27" s="422">
        <f>(1-BW26/AVERAGE('BS &amp; FCF'!BV51:BW51))^4-1</f>
        <v>0.16903535528742331</v>
      </c>
      <c r="BX27" s="425">
        <f>-BX26/AVERAGE('BS &amp; FCF'!BT51:BW51)</f>
        <v>0.14547392507294776</v>
      </c>
      <c r="BY27" s="422">
        <f>(1-BY26/AVERAGE('BS &amp; FCF'!BX51:BY51))^4-1</f>
        <v>0.19362598899163452</v>
      </c>
      <c r="BZ27" s="422">
        <f>(1-BZ26/AVERAGE('BS &amp; FCF'!BY51:BZ51))^4-1</f>
        <v>0.16682538654041079</v>
      </c>
      <c r="CA27" s="422">
        <f>(1-CA26/AVERAGE('BS &amp; FCF'!BZ51:CA51))^4-1</f>
        <v>0.18203655090658777</v>
      </c>
      <c r="CB27" s="422">
        <f>(1-CB26/AVERAGE('BS &amp; FCF'!CA51:CB51))^4-1</f>
        <v>0.18160531767052213</v>
      </c>
      <c r="CC27" s="425">
        <f>-CC26/AVERAGE('BS &amp; FCF'!BY51:CB51)</f>
        <v>0.16184565685624047</v>
      </c>
      <c r="CD27" s="422">
        <f>(1-CD26/AVERAGE('BS &amp; FCF'!CC51:CD51))^4-1</f>
        <v>0.18039188431472786</v>
      </c>
      <c r="CE27" s="422">
        <f>(1-CE26/AVERAGE('BS &amp; FCF'!CD51:CE51))^4-1</f>
        <v>0.22567627158092196</v>
      </c>
      <c r="CF27" s="422">
        <f>(1-CF26/AVERAGE('BS &amp; FCF'!CE51:CF51))^4-1</f>
        <v>0.16195833333333343</v>
      </c>
      <c r="CG27" s="422">
        <f>(1-CG26/AVERAGE('BS &amp; FCF'!CF51:CG51))^4-1</f>
        <v>0.16100000000000048</v>
      </c>
      <c r="CH27" s="425">
        <f>-CH26/AVERAGE('BS &amp; FCF'!CD51:CG51)</f>
        <v>0.17235533766816655</v>
      </c>
      <c r="CI27" s="422">
        <f>(1-CI26/AVERAGE('BS &amp; FCF'!CH51:CI51))^4-1</f>
        <v>0.16100000000000048</v>
      </c>
      <c r="CJ27" s="422">
        <f>(1-CJ26/AVERAGE('BS &amp; FCF'!CI51:CJ51))^4-1</f>
        <v>0.15333333333333354</v>
      </c>
      <c r="CK27" s="422">
        <f>(1-CK26/AVERAGE('BS &amp; FCF'!CJ51:CK51))^4-1</f>
        <v>0.14566666666666639</v>
      </c>
      <c r="CL27" s="422">
        <f>(1-CL26/AVERAGE('BS &amp; FCF'!CK51:CL51))^4-1</f>
        <v>0.14375000000000071</v>
      </c>
      <c r="CM27" s="425">
        <f>-CM26/AVERAGE('BS &amp; FCF'!CI51:CL51)</f>
        <v>0.1396067257214377</v>
      </c>
      <c r="CN27" s="422">
        <f>(1-CN26/AVERAGE('BS &amp; FCF'!CM51:CN51))^4-1</f>
        <v>0.12499999999999978</v>
      </c>
      <c r="CO27" s="422">
        <f>(1-CO26/AVERAGE('BS &amp; FCF'!CN51:CO51))^4-1</f>
        <v>0.12499999999999978</v>
      </c>
      <c r="CP27" s="422">
        <f>(1-CP26/AVERAGE('BS &amp; FCF'!CO51:CP51))^4-1</f>
        <v>0.12499999999999978</v>
      </c>
      <c r="CQ27" s="422">
        <f>(1-CQ26/AVERAGE('BS &amp; FCF'!CP51:CQ51))^4-1</f>
        <v>0.12499999999999978</v>
      </c>
      <c r="CR27" s="425">
        <f>-CR26/AVERAGE('BS &amp; FCF'!CN51:CQ51)</f>
        <v>0.11803419991000526</v>
      </c>
      <c r="CS27" s="422">
        <f>(1-CS26/AVERAGE('BS &amp; FCF'!CR51:CS51))^4-1</f>
        <v>0.12499999999999978</v>
      </c>
      <c r="CT27" s="422">
        <f>(1-CT26/AVERAGE('BS &amp; FCF'!CS51:CT51))^4-1</f>
        <v>0.12499999999999978</v>
      </c>
      <c r="CU27" s="422">
        <f>(1-CU26/AVERAGE('BS &amp; FCF'!CT51:CU51))^4-1</f>
        <v>0.12499999999999978</v>
      </c>
      <c r="CV27" s="422">
        <f>(1-CV26/AVERAGE('BS &amp; FCF'!CU51:CV51))^4-1</f>
        <v>0.12499999999999978</v>
      </c>
      <c r="CW27" s="425">
        <f>-CW26/AVERAGE('BS &amp; FCF'!CS51:CV51)</f>
        <v>0.11844252026349963</v>
      </c>
      <c r="CX27" s="422">
        <f>(1-CX26/AVERAGE('BS &amp; FCF'!CW51:CX51))^4-1</f>
        <v>0.12499999999999978</v>
      </c>
      <c r="CY27" s="422">
        <f>(1-CY26/AVERAGE('BS &amp; FCF'!CX51:CY51))^4-1</f>
        <v>0.12499999999999978</v>
      </c>
      <c r="CZ27" s="422">
        <f>(1-CZ26/AVERAGE('BS &amp; FCF'!CY51:CZ51))^4-1</f>
        <v>0.12499999999999978</v>
      </c>
      <c r="DA27" s="422">
        <f>(1-DA26/AVERAGE('BS &amp; FCF'!CZ51:DA51))^4-1</f>
        <v>0.12499999999999978</v>
      </c>
      <c r="DB27" s="425">
        <f>-DB26/AVERAGE('BS &amp; FCF'!CX51:DA51)</f>
        <v>0.11870719176949636</v>
      </c>
    </row>
    <row r="28" spans="1:106" ht="11.25" customHeight="1" x14ac:dyDescent="0.35">
      <c r="A28" s="149" t="s">
        <v>187</v>
      </c>
      <c r="B28" s="421">
        <v>0</v>
      </c>
      <c r="C28" s="421">
        <v>0</v>
      </c>
      <c r="D28" s="421">
        <v>0</v>
      </c>
      <c r="E28" s="421">
        <v>0</v>
      </c>
      <c r="F28" s="20">
        <f t="shared" ref="F28" si="187">SUM(B28:E28)</f>
        <v>0</v>
      </c>
      <c r="G28" s="421">
        <v>0</v>
      </c>
      <c r="H28" s="421">
        <v>0</v>
      </c>
      <c r="I28" s="421">
        <v>0</v>
      </c>
      <c r="J28" s="421">
        <v>0</v>
      </c>
      <c r="K28" s="20">
        <f t="shared" ref="K28" si="188">SUM(G28:J28)</f>
        <v>0</v>
      </c>
      <c r="L28" s="421">
        <v>0</v>
      </c>
      <c r="M28" s="421">
        <v>0</v>
      </c>
      <c r="N28" s="421">
        <v>0</v>
      </c>
      <c r="O28" s="421">
        <v>0</v>
      </c>
      <c r="P28" s="20">
        <f t="shared" ref="P28" si="189">SUM(L28:O28)</f>
        <v>0</v>
      </c>
      <c r="Q28" s="421">
        <v>0</v>
      </c>
      <c r="R28" s="421">
        <v>0</v>
      </c>
      <c r="S28" s="421">
        <v>0</v>
      </c>
      <c r="T28" s="421">
        <v>0</v>
      </c>
      <c r="U28" s="20">
        <f t="shared" ref="U28" si="190">SUM(Q28:T28)</f>
        <v>0</v>
      </c>
      <c r="V28" s="421">
        <v>0</v>
      </c>
      <c r="W28" s="421">
        <v>0</v>
      </c>
      <c r="X28" s="421">
        <v>0</v>
      </c>
      <c r="Y28" s="421">
        <v>0</v>
      </c>
      <c r="Z28" s="20">
        <f t="shared" ref="Z28" si="191">SUM(V28:Y28)</f>
        <v>0</v>
      </c>
      <c r="AA28" s="421">
        <v>0</v>
      </c>
      <c r="AB28" s="421">
        <v>0</v>
      </c>
      <c r="AC28" s="421">
        <v>0</v>
      </c>
      <c r="AD28" s="421">
        <v>0</v>
      </c>
      <c r="AE28" s="20">
        <f t="shared" ref="AE28" si="192">SUM(AA28:AD28)</f>
        <v>0</v>
      </c>
      <c r="AF28" s="421">
        <v>0</v>
      </c>
      <c r="AG28" s="421">
        <v>0</v>
      </c>
      <c r="AH28" s="421">
        <v>0</v>
      </c>
      <c r="AI28" s="421">
        <v>0</v>
      </c>
      <c r="AJ28" s="20">
        <f>SUM(AF28:AI28)</f>
        <v>0</v>
      </c>
      <c r="AK28" s="421">
        <v>0</v>
      </c>
      <c r="AL28" s="421">
        <v>0</v>
      </c>
      <c r="AM28" s="421">
        <v>0</v>
      </c>
      <c r="AN28" s="421">
        <v>0</v>
      </c>
      <c r="AO28" s="20">
        <f>SUM(AK28:AN28)</f>
        <v>0</v>
      </c>
      <c r="AP28" s="421">
        <v>0</v>
      </c>
      <c r="AQ28" s="421">
        <v>0</v>
      </c>
      <c r="AR28" s="421">
        <v>0</v>
      </c>
      <c r="AS28" s="421">
        <v>0</v>
      </c>
      <c r="AT28" s="20">
        <f>SUM(AP28:AS28)</f>
        <v>0</v>
      </c>
      <c r="AU28" s="421">
        <v>0</v>
      </c>
      <c r="AV28" s="421">
        <v>0</v>
      </c>
      <c r="AW28" s="421">
        <v>0</v>
      </c>
      <c r="AX28" s="421">
        <v>0</v>
      </c>
      <c r="AY28" s="20">
        <f>SUM(AU28:AX28)</f>
        <v>0</v>
      </c>
      <c r="AZ28" s="421">
        <v>0</v>
      </c>
      <c r="BA28" s="421">
        <v>0</v>
      </c>
      <c r="BB28" s="421">
        <v>0</v>
      </c>
      <c r="BC28" s="421">
        <v>0</v>
      </c>
      <c r="BD28" s="20">
        <f>SUM(AZ28:BC28)</f>
        <v>0</v>
      </c>
      <c r="BE28" s="421">
        <v>0</v>
      </c>
      <c r="BF28" s="421">
        <v>0</v>
      </c>
      <c r="BG28" s="421">
        <v>0</v>
      </c>
      <c r="BH28" s="421">
        <v>0</v>
      </c>
      <c r="BI28" s="20">
        <f>SUM(BE28:BH28)</f>
        <v>0</v>
      </c>
      <c r="BJ28" s="421">
        <v>0</v>
      </c>
      <c r="BK28" s="421">
        <v>0</v>
      </c>
      <c r="BL28" s="421">
        <v>0</v>
      </c>
      <c r="BM28" s="421">
        <v>0</v>
      </c>
      <c r="BN28" s="20">
        <f>SUM(BJ28:BM28)</f>
        <v>0</v>
      </c>
      <c r="BO28" s="421">
        <v>0</v>
      </c>
      <c r="BP28" s="421">
        <v>0</v>
      </c>
      <c r="BQ28" s="421">
        <v>0</v>
      </c>
      <c r="BR28" s="421">
        <v>0</v>
      </c>
      <c r="BS28" s="20">
        <f>SUM(BO28:BR28)</f>
        <v>0</v>
      </c>
      <c r="BT28" s="421">
        <v>0</v>
      </c>
      <c r="BU28" s="421">
        <v>0</v>
      </c>
      <c r="BV28" s="421">
        <v>0</v>
      </c>
      <c r="BW28" s="421">
        <v>0</v>
      </c>
      <c r="BX28" s="20">
        <f>SUM(BT28:BW28)</f>
        <v>0</v>
      </c>
      <c r="BY28" s="421">
        <v>0</v>
      </c>
      <c r="BZ28" s="421">
        <v>0</v>
      </c>
      <c r="CA28" s="421">
        <v>0</v>
      </c>
      <c r="CB28" s="421">
        <v>0</v>
      </c>
      <c r="CC28" s="20">
        <f>SUM(BY28:CB28)</f>
        <v>0</v>
      </c>
      <c r="CD28" s="421">
        <v>0</v>
      </c>
      <c r="CE28" s="421">
        <v>0</v>
      </c>
      <c r="CF28" s="423">
        <f>((1+AVERAGE('BS &amp; FCF'!CE11:CF11))^1/4)*CF29</f>
        <v>0</v>
      </c>
      <c r="CG28" s="423">
        <f>((1+AVERAGE('BS &amp; FCF'!CF11:CG11))^1/4)*CG29</f>
        <v>0</v>
      </c>
      <c r="CH28" s="20">
        <f>SUM(CD28:CG28)</f>
        <v>0</v>
      </c>
      <c r="CI28" s="423">
        <f>((1+AVERAGE('BS &amp; FCF'!CH11:CI11))^1/4)*CI29</f>
        <v>0</v>
      </c>
      <c r="CJ28" s="423">
        <f>((1+AVERAGE('BS &amp; FCF'!CI11:CJ11))^1/4)*CJ29</f>
        <v>0</v>
      </c>
      <c r="CK28" s="423">
        <f>((1+AVERAGE('BS &amp; FCF'!CJ11:CK11))^1/4)*CK29</f>
        <v>0</v>
      </c>
      <c r="CL28" s="423">
        <f>((1+AVERAGE('BS &amp; FCF'!CK11:CL11))^1/4)*CL29</f>
        <v>0</v>
      </c>
      <c r="CM28" s="20">
        <f t="shared" ref="CM28" si="193">SUM(CI28:CL28)</f>
        <v>0</v>
      </c>
      <c r="CN28" s="423">
        <f>((1+AVERAGE('BS &amp; FCF'!CM11:CN11))^1/4)*CN29</f>
        <v>0</v>
      </c>
      <c r="CO28" s="423">
        <f>((1+AVERAGE('BS &amp; FCF'!CN11:CO11))^1/4)*CO29</f>
        <v>0</v>
      </c>
      <c r="CP28" s="423">
        <f>((1+AVERAGE('BS &amp; FCF'!CO11:CP11))^1/4)*CP29</f>
        <v>0</v>
      </c>
      <c r="CQ28" s="423">
        <f>((1+AVERAGE('BS &amp; FCF'!CP11:CQ11))^1/4)*CQ29</f>
        <v>0</v>
      </c>
      <c r="CR28" s="20">
        <f t="shared" ref="CR28" si="194">SUM(CN28:CQ28)</f>
        <v>0</v>
      </c>
      <c r="CS28" s="423">
        <f>((1+AVERAGE('BS &amp; FCF'!CR11:CS11))^1/4)*CS29</f>
        <v>0</v>
      </c>
      <c r="CT28" s="423">
        <f>((1+AVERAGE('BS &amp; FCF'!CS11:CT11))^1/4)*CT29</f>
        <v>0</v>
      </c>
      <c r="CU28" s="423">
        <f>((1+AVERAGE('BS &amp; FCF'!CT11:CU11))^1/4)*CU29</f>
        <v>0</v>
      </c>
      <c r="CV28" s="423">
        <f>((1+AVERAGE('BS &amp; FCF'!CU11:CV11))^1/4)*CV29</f>
        <v>0</v>
      </c>
      <c r="CW28" s="20">
        <f t="shared" ref="CW28" si="195">SUM(CS28:CV28)</f>
        <v>0</v>
      </c>
      <c r="CX28" s="423">
        <f>((1+AVERAGE('BS &amp; FCF'!CW11:CX11))^1/4)*CX29</f>
        <v>0</v>
      </c>
      <c r="CY28" s="423">
        <f>((1+AVERAGE('BS &amp; FCF'!CX11:CY11))^1/4)*CY29</f>
        <v>0</v>
      </c>
      <c r="CZ28" s="423">
        <f>((1+AVERAGE('BS &amp; FCF'!CY11:CZ11))^1/4)*CZ29</f>
        <v>0</v>
      </c>
      <c r="DA28" s="423">
        <f>((1+AVERAGE('BS &amp; FCF'!CZ11:DA11))^1/4)*DA29</f>
        <v>0</v>
      </c>
      <c r="DB28" s="20">
        <f t="shared" ref="DB28" si="196">SUM(CX28:DA28)</f>
        <v>0</v>
      </c>
    </row>
    <row r="29" spans="1:106" ht="11.25" customHeight="1" outlineLevel="1" x14ac:dyDescent="0.35">
      <c r="A29" s="156" t="s">
        <v>188</v>
      </c>
      <c r="B29" s="430">
        <f>IFERROR((1-B28/AVERAGE('BS &amp; FCF'!A11:B11))^4-1,0)</f>
        <v>0</v>
      </c>
      <c r="C29" s="430">
        <f>IFERROR((1-C28/AVERAGE('BS &amp; FCF'!B11:C11))^4-1,0)</f>
        <v>0</v>
      </c>
      <c r="D29" s="430">
        <f>IFERROR((1-D28/AVERAGE('BS &amp; FCF'!C11:D11))^4-1,0)</f>
        <v>0</v>
      </c>
      <c r="E29" s="430">
        <f>IFERROR((1-E28/AVERAGE('BS &amp; FCF'!D11:E11))^4-1,0)</f>
        <v>0</v>
      </c>
      <c r="F29" s="220">
        <f>IFERROR(-F28/AVERAGE('BS &amp; FCF'!B11:E11),0)</f>
        <v>0</v>
      </c>
      <c r="G29" s="430">
        <f>IFERROR((1-G28/AVERAGE('BS &amp; FCF'!F11:G11))^4-1,0)</f>
        <v>0</v>
      </c>
      <c r="H29" s="430">
        <f>IFERROR((1-H28/AVERAGE('BS &amp; FCF'!G11:H11))^4-1,0)</f>
        <v>0</v>
      </c>
      <c r="I29" s="430">
        <f>IFERROR((1-I28/AVERAGE('BS &amp; FCF'!H11:I11))^4-1,0)</f>
        <v>0</v>
      </c>
      <c r="J29" s="430">
        <f>IFERROR((1-J28/AVERAGE('BS &amp; FCF'!I11:J11))^4-1,0)</f>
        <v>0</v>
      </c>
      <c r="K29" s="220">
        <f>IFERROR(-K28/AVERAGE('BS &amp; FCF'!G11:J11),0)</f>
        <v>0</v>
      </c>
      <c r="L29" s="430">
        <f>IFERROR((1-L28/AVERAGE('BS &amp; FCF'!K11:L11))^4-1,0)</f>
        <v>0</v>
      </c>
      <c r="M29" s="430">
        <f>IFERROR((1-M28/AVERAGE('BS &amp; FCF'!L11:M11))^4-1,0)</f>
        <v>0</v>
      </c>
      <c r="N29" s="430">
        <f>IFERROR((1-N28/AVERAGE('BS &amp; FCF'!M11:N11))^4-1,0)</f>
        <v>0</v>
      </c>
      <c r="O29" s="430">
        <f>IFERROR((1-O28/AVERAGE('BS &amp; FCF'!N11:O11))^4-1,0)</f>
        <v>0</v>
      </c>
      <c r="P29" s="220">
        <f>IFERROR(-P28/AVERAGE('BS &amp; FCF'!L11:O11),0)</f>
        <v>0</v>
      </c>
      <c r="Q29" s="430">
        <f>IFERROR((1-Q28/AVERAGE('BS &amp; FCF'!P11:Q11))^4-1,0)</f>
        <v>0</v>
      </c>
      <c r="R29" s="430">
        <f>IFERROR((1-R28/AVERAGE('BS &amp; FCF'!Q11:R11))^4-1,0)</f>
        <v>0</v>
      </c>
      <c r="S29" s="430">
        <f>IFERROR((1-S28/AVERAGE('BS &amp; FCF'!R11:S11))^4-1,0)</f>
        <v>0</v>
      </c>
      <c r="T29" s="430">
        <f>IFERROR((1-T28/AVERAGE('BS &amp; FCF'!S11:T11))^4-1,0)</f>
        <v>0</v>
      </c>
      <c r="U29" s="220">
        <f>IFERROR(-U28/AVERAGE('BS &amp; FCF'!Q11:T11),0)</f>
        <v>0</v>
      </c>
      <c r="V29" s="430">
        <f>IFERROR((1-V28/AVERAGE('BS &amp; FCF'!U11:V11))^4-1,0)</f>
        <v>0</v>
      </c>
      <c r="W29" s="430">
        <f>IFERROR((1-W28/AVERAGE('BS &amp; FCF'!V11:W11))^4-1,0)</f>
        <v>0</v>
      </c>
      <c r="X29" s="430">
        <f>IFERROR((1-X28/AVERAGE('BS &amp; FCF'!W11:X11))^4-1,0)</f>
        <v>0</v>
      </c>
      <c r="Y29" s="430">
        <f>IFERROR((1-Y28/AVERAGE('BS &amp; FCF'!X11:Y11))^4-1,0)</f>
        <v>0</v>
      </c>
      <c r="Z29" s="220">
        <f>IFERROR(-Z28/AVERAGE('BS &amp; FCF'!V11:Y11),0)</f>
        <v>0</v>
      </c>
      <c r="AA29" s="430">
        <f>IFERROR((1-AA28/AVERAGE('BS &amp; FCF'!Z11:AA11))^4-1,0)</f>
        <v>0</v>
      </c>
      <c r="AB29" s="430">
        <f>IFERROR((1-AB28/AVERAGE('BS &amp; FCF'!AA11:AB11))^4-1,0)</f>
        <v>0</v>
      </c>
      <c r="AC29" s="430">
        <f>IFERROR((1-AC28/AVERAGE('BS &amp; FCF'!AB11:AC11))^4-1,0)</f>
        <v>0</v>
      </c>
      <c r="AD29" s="430">
        <f>IFERROR((1-AD28/AVERAGE('BS &amp; FCF'!AC11:AD11))^4-1,0)</f>
        <v>0</v>
      </c>
      <c r="AE29" s="220">
        <f>IFERROR(-AE28/AVERAGE('BS &amp; FCF'!AA11:AD11),0)</f>
        <v>0</v>
      </c>
      <c r="AF29" s="430">
        <f>IFERROR((1-AF28/AVERAGE('BS &amp; FCF'!AE11:AF11))^4-1,0)</f>
        <v>0</v>
      </c>
      <c r="AG29" s="430">
        <f>IFERROR((1-AG28/AVERAGE('BS &amp; FCF'!AF11:AG11))^4-1,0)</f>
        <v>0</v>
      </c>
      <c r="AH29" s="430">
        <f>IFERROR((1-AH28/AVERAGE('BS &amp; FCF'!AG11:AH11))^4-1,0)</f>
        <v>0</v>
      </c>
      <c r="AI29" s="430">
        <f>IFERROR((1-AI28/AVERAGE('BS &amp; FCF'!AH11:AI11))^4-1,0)</f>
        <v>0</v>
      </c>
      <c r="AJ29" s="220">
        <f>IFERROR(-AJ28/AVERAGE('BS &amp; FCF'!AF11:AI11),0)</f>
        <v>0</v>
      </c>
      <c r="AK29" s="430">
        <f>IFERROR((1-AK28/AVERAGE('BS &amp; FCF'!AJ11:AK11))^4-1,0)</f>
        <v>0</v>
      </c>
      <c r="AL29" s="430">
        <f>IFERROR((1-AL28/AVERAGE('BS &amp; FCF'!AK11:AL11))^4-1,0)</f>
        <v>0</v>
      </c>
      <c r="AM29" s="430">
        <f>IFERROR((1-AM28/AVERAGE('BS &amp; FCF'!AL11:AM11))^4-1,0)</f>
        <v>0</v>
      </c>
      <c r="AN29" s="430">
        <f>IFERROR((1-AN28/AVERAGE('BS &amp; FCF'!AM11:AN11))^4-1,0)</f>
        <v>0</v>
      </c>
      <c r="AO29" s="220">
        <f>IFERROR(-AO28/AVERAGE('BS &amp; FCF'!AK11:AN11),0)</f>
        <v>0</v>
      </c>
      <c r="AP29" s="430">
        <f>IFERROR((1-AP28/AVERAGE('BS &amp; FCF'!AO11:AP11))^4-1,0)</f>
        <v>0</v>
      </c>
      <c r="AQ29" s="430">
        <f>IFERROR((1-AQ28/AVERAGE('BS &amp; FCF'!AP11:AQ11))^4-1,0)</f>
        <v>0</v>
      </c>
      <c r="AR29" s="430">
        <f>IFERROR((1-AR28/AVERAGE('BS &amp; FCF'!AQ11:AR11))^4-1,0)</f>
        <v>0</v>
      </c>
      <c r="AS29" s="430">
        <f>IFERROR((1-AS28/AVERAGE('BS &amp; FCF'!AR11:AS11))^4-1,0)</f>
        <v>0</v>
      </c>
      <c r="AT29" s="220">
        <f>IFERROR(-AT28/AVERAGE('BS &amp; FCF'!AP11:AS11),0)</f>
        <v>0</v>
      </c>
      <c r="AU29" s="430">
        <f>IFERROR((1-AU28/AVERAGE('BS &amp; FCF'!AT11:AU11))^4-1,0)</f>
        <v>0</v>
      </c>
      <c r="AV29" s="430">
        <f>IFERROR((1-AV28/AVERAGE('BS &amp; FCF'!AU11:AV11))^4-1,0)</f>
        <v>0</v>
      </c>
      <c r="AW29" s="430">
        <f>IFERROR((1-AW28/AVERAGE('BS &amp; FCF'!AV11:AW11))^4-1,0)</f>
        <v>0</v>
      </c>
      <c r="AX29" s="430">
        <f>IFERROR((1-AX28/AVERAGE('BS &amp; FCF'!AW11:AX11))^4-1,0)</f>
        <v>0</v>
      </c>
      <c r="AY29" s="220">
        <f>IFERROR(-AY28/AVERAGE('BS &amp; FCF'!AU11:AX11),0)</f>
        <v>0</v>
      </c>
      <c r="AZ29" s="430">
        <f>IFERROR((1-AZ28/AVERAGE('BS &amp; FCF'!AY11:AZ11))^4-1,0)</f>
        <v>0</v>
      </c>
      <c r="BA29" s="430">
        <f>IFERROR((1-BA28/AVERAGE('BS &amp; FCF'!AZ11:BA11))^4-1,0)</f>
        <v>0</v>
      </c>
      <c r="BB29" s="430">
        <f>IFERROR((1-BB28/AVERAGE('BS &amp; FCF'!BA11:BB11))^4-1,0)</f>
        <v>0</v>
      </c>
      <c r="BC29" s="430">
        <f>IFERROR((1-BC28/AVERAGE('BS &amp; FCF'!BB11:BC11))^4-1,0)</f>
        <v>0</v>
      </c>
      <c r="BD29" s="220">
        <f>IFERROR(-BD28/AVERAGE('BS &amp; FCF'!AZ11:BC11),0)</f>
        <v>0</v>
      </c>
      <c r="BE29" s="430">
        <f>IFERROR((1-BE28/AVERAGE('BS &amp; FCF'!BD11:BE11))^4-1,0)</f>
        <v>0</v>
      </c>
      <c r="BF29" s="430">
        <f>IFERROR((1-BF28/AVERAGE('BS &amp; FCF'!BE11:BF11))^4-1,0)</f>
        <v>0</v>
      </c>
      <c r="BG29" s="430">
        <f>IFERROR((1-BG28/AVERAGE('BS &amp; FCF'!BF11:BG11))^4-1,0)</f>
        <v>0</v>
      </c>
      <c r="BH29" s="430">
        <f>IFERROR((1-BH28/AVERAGE('BS &amp; FCF'!BG11:BH11))^4-1,0)</f>
        <v>0</v>
      </c>
      <c r="BI29" s="220">
        <f>IFERROR(-BI28/AVERAGE('BS &amp; FCF'!BE11:BH11),0)</f>
        <v>0</v>
      </c>
      <c r="BJ29" s="430">
        <f>IFERROR((1-BJ28/AVERAGE('BS &amp; FCF'!BI11:BJ11))^4-1,0)</f>
        <v>0</v>
      </c>
      <c r="BK29" s="430">
        <f>IFERROR((1-BK28/AVERAGE('BS &amp; FCF'!BJ11:BK11))^4-1,0)</f>
        <v>0</v>
      </c>
      <c r="BL29" s="430">
        <f>IFERROR((1-BL28/AVERAGE('BS &amp; FCF'!BK11:BL11))^4-1,0)</f>
        <v>0</v>
      </c>
      <c r="BM29" s="430">
        <f>IFERROR((1-BM28/AVERAGE('BS &amp; FCF'!BL11:BM11))^4-1,0)</f>
        <v>0</v>
      </c>
      <c r="BN29" s="220">
        <f>IFERROR(-BN28/AVERAGE('BS &amp; FCF'!BJ11:BM11),0)</f>
        <v>0</v>
      </c>
      <c r="BO29" s="430">
        <f>IFERROR((1-BO28/AVERAGE('BS &amp; FCF'!BN11:BO11))^4-1,0)</f>
        <v>0</v>
      </c>
      <c r="BP29" s="430">
        <f>IFERROR((1-BP28/AVERAGE('BS &amp; FCF'!BO11:BP11))^4-1,0)</f>
        <v>0</v>
      </c>
      <c r="BQ29" s="430">
        <f>IFERROR((1-BQ28/AVERAGE('BS &amp; FCF'!BP11:BQ11))^4-1,0)</f>
        <v>0</v>
      </c>
      <c r="BR29" s="430">
        <f>IFERROR((1-BR28/AVERAGE('BS &amp; FCF'!BQ11:BR11))^4-1,0)</f>
        <v>0</v>
      </c>
      <c r="BS29" s="220">
        <f>IFERROR(-BS28/AVERAGE('BS &amp; FCF'!BO11:BR11),0)</f>
        <v>0</v>
      </c>
      <c r="BT29" s="430">
        <f>IFERROR((1-BT28/AVERAGE('BS &amp; FCF'!BS11:BT11))^4-1,0)</f>
        <v>0</v>
      </c>
      <c r="BU29" s="430">
        <f>IFERROR((1-BU28/AVERAGE('BS &amp; FCF'!BT11:BU11))^4-1,0)</f>
        <v>0</v>
      </c>
      <c r="BV29" s="430">
        <f>IFERROR((1-BV28/AVERAGE('BS &amp; FCF'!BU11:BV11))^4-1,0)</f>
        <v>0</v>
      </c>
      <c r="BW29" s="430">
        <f>IFERROR((1-BW28/AVERAGE('BS &amp; FCF'!BV11:BW11))^4-1,0)</f>
        <v>0</v>
      </c>
      <c r="BX29" s="220">
        <f>IFERROR(-BX28/AVERAGE('BS &amp; FCF'!BT11:BW11),0)</f>
        <v>0</v>
      </c>
      <c r="BY29" s="430">
        <f>IFERROR((1+BY28/AVERAGE('BS &amp; FCF'!BX11:BY11))^4-1,0)</f>
        <v>0</v>
      </c>
      <c r="BZ29" s="430">
        <f>IFERROR((1-BZ28/AVERAGE('BS &amp; FCF'!BY11:BZ11))^4-1,0)</f>
        <v>0</v>
      </c>
      <c r="CA29" s="430">
        <f>IFERROR((1-CA28/AVERAGE('BS &amp; FCF'!BZ11:CA11))^4-1,0)</f>
        <v>0</v>
      </c>
      <c r="CB29" s="430">
        <f>IFERROR((1-CB28/AVERAGE('BS &amp; FCF'!CA11:CB11))^4-1,0)</f>
        <v>0</v>
      </c>
      <c r="CC29" s="220">
        <f>IFERROR(CC28/AVERAGE('BS &amp; FCF'!BY11:CB11),0)</f>
        <v>0</v>
      </c>
      <c r="CD29" s="430">
        <f>IFERROR((1+CD28/AVERAGE('BS &amp; FCF'!CC11:CD11))^4-1,0)</f>
        <v>0</v>
      </c>
      <c r="CE29" s="430">
        <f>IFERROR((1-CE28/AVERAGE('BS &amp; FCF'!CD11:CE11))^4-1,0)</f>
        <v>0</v>
      </c>
      <c r="CF29" s="426">
        <f t="shared" ref="CF29:CG29" si="197">CE29</f>
        <v>0</v>
      </c>
      <c r="CG29" s="426">
        <f t="shared" si="197"/>
        <v>0</v>
      </c>
      <c r="CH29" s="220">
        <f>IFERROR(CH28/AVERAGE('BS &amp; FCF'!CD11:CG11),0)</f>
        <v>0</v>
      </c>
      <c r="CI29" s="426">
        <f t="shared" ref="CI29" si="198">CG29</f>
        <v>0</v>
      </c>
      <c r="CJ29" s="426">
        <f t="shared" ref="CJ29:DA29" si="199">CI29</f>
        <v>0</v>
      </c>
      <c r="CK29" s="426">
        <f t="shared" si="199"/>
        <v>0</v>
      </c>
      <c r="CL29" s="426">
        <f t="shared" si="199"/>
        <v>0</v>
      </c>
      <c r="CM29" s="220">
        <f>IFERROR(CM28/AVERAGE('BS &amp; FCF'!CI11:CL11),0)</f>
        <v>0</v>
      </c>
      <c r="CN29" s="426">
        <f t="shared" ref="CN29" si="200">CL29</f>
        <v>0</v>
      </c>
      <c r="CO29" s="426">
        <f t="shared" ref="CO29" si="201">CN29</f>
        <v>0</v>
      </c>
      <c r="CP29" s="426">
        <f t="shared" si="199"/>
        <v>0</v>
      </c>
      <c r="CQ29" s="426">
        <f t="shared" si="199"/>
        <v>0</v>
      </c>
      <c r="CR29" s="220">
        <f>IFERROR(CR28/AVERAGE('BS &amp; FCF'!CN11:CQ11),0)</f>
        <v>0</v>
      </c>
      <c r="CS29" s="426">
        <f t="shared" ref="CS29" si="202">CQ29</f>
        <v>0</v>
      </c>
      <c r="CT29" s="426">
        <f t="shared" ref="CT29" si="203">CS29</f>
        <v>0</v>
      </c>
      <c r="CU29" s="426">
        <f t="shared" si="199"/>
        <v>0</v>
      </c>
      <c r="CV29" s="426">
        <f t="shared" si="199"/>
        <v>0</v>
      </c>
      <c r="CW29" s="220">
        <f>IFERROR(CW28/AVERAGE('BS &amp; FCF'!CS11:CV11),0)</f>
        <v>0</v>
      </c>
      <c r="CX29" s="426">
        <f t="shared" ref="CX29" si="204">CV29</f>
        <v>0</v>
      </c>
      <c r="CY29" s="426">
        <f t="shared" ref="CY29" si="205">CX29</f>
        <v>0</v>
      </c>
      <c r="CZ29" s="426">
        <f t="shared" si="199"/>
        <v>0</v>
      </c>
      <c r="DA29" s="426">
        <f t="shared" si="199"/>
        <v>0</v>
      </c>
      <c r="DB29" s="220">
        <f>IFERROR(DB28/AVERAGE('BS &amp; FCF'!CX11:DA11),0)</f>
        <v>0</v>
      </c>
    </row>
    <row r="30" spans="1:106" ht="11.25" customHeight="1" x14ac:dyDescent="0.35">
      <c r="A30" s="16" t="s">
        <v>5</v>
      </c>
      <c r="B30" s="147">
        <f t="shared" ref="B30:E30" si="206">B31+B32+B33</f>
        <v>0</v>
      </c>
      <c r="C30" s="147">
        <f t="shared" si="206"/>
        <v>0</v>
      </c>
      <c r="D30" s="147">
        <f t="shared" si="206"/>
        <v>0</v>
      </c>
      <c r="E30" s="147">
        <f t="shared" si="206"/>
        <v>0</v>
      </c>
      <c r="F30" s="18">
        <f t="shared" ref="F30:F38" si="207">SUM(B30:E30)</f>
        <v>0</v>
      </c>
      <c r="G30" s="147">
        <f t="shared" ref="G30:J30" si="208">G31+G32+G33</f>
        <v>0</v>
      </c>
      <c r="H30" s="147">
        <f t="shared" si="208"/>
        <v>0</v>
      </c>
      <c r="I30" s="147">
        <f t="shared" si="208"/>
        <v>0</v>
      </c>
      <c r="J30" s="147">
        <f t="shared" si="208"/>
        <v>0</v>
      </c>
      <c r="K30" s="18">
        <f t="shared" ref="K30:K38" si="209">SUM(G30:J30)</f>
        <v>0</v>
      </c>
      <c r="L30" s="147">
        <f t="shared" ref="L30:O30" si="210">L31+L32+L33</f>
        <v>0</v>
      </c>
      <c r="M30" s="147">
        <f t="shared" si="210"/>
        <v>0</v>
      </c>
      <c r="N30" s="147">
        <f t="shared" si="210"/>
        <v>0</v>
      </c>
      <c r="O30" s="147">
        <f t="shared" si="210"/>
        <v>0</v>
      </c>
      <c r="P30" s="18">
        <f t="shared" ref="P30:P38" si="211">SUM(L30:O30)</f>
        <v>0</v>
      </c>
      <c r="Q30" s="147">
        <f t="shared" ref="Q30:T30" si="212">Q31+Q32+Q33</f>
        <v>0</v>
      </c>
      <c r="R30" s="147">
        <f t="shared" si="212"/>
        <v>0</v>
      </c>
      <c r="S30" s="147">
        <f t="shared" si="212"/>
        <v>0</v>
      </c>
      <c r="T30" s="147">
        <f t="shared" si="212"/>
        <v>0</v>
      </c>
      <c r="U30" s="18">
        <f t="shared" ref="U30:U38" si="213">SUM(Q30:T30)</f>
        <v>0</v>
      </c>
      <c r="V30" s="147">
        <f t="shared" ref="V30:Y30" si="214">V31+V32+V33</f>
        <v>0</v>
      </c>
      <c r="W30" s="147">
        <f t="shared" si="214"/>
        <v>0</v>
      </c>
      <c r="X30" s="147">
        <f t="shared" si="214"/>
        <v>0</v>
      </c>
      <c r="Y30" s="147">
        <f t="shared" si="214"/>
        <v>0</v>
      </c>
      <c r="Z30" s="18">
        <f t="shared" ref="Z30:Z38" si="215">SUM(V30:Y30)</f>
        <v>0</v>
      </c>
      <c r="AA30" s="147">
        <f t="shared" ref="AA30:AD30" si="216">AA31+AA32+AA33</f>
        <v>0</v>
      </c>
      <c r="AB30" s="147">
        <f t="shared" si="216"/>
        <v>0</v>
      </c>
      <c r="AC30" s="147">
        <f t="shared" si="216"/>
        <v>0</v>
      </c>
      <c r="AD30" s="147">
        <f t="shared" si="216"/>
        <v>0</v>
      </c>
      <c r="AE30" s="18">
        <f t="shared" ref="AE30:AE38" si="217">SUM(AA30:AD30)</f>
        <v>0</v>
      </c>
      <c r="AF30" s="147">
        <f>AF31+AF32+AF33</f>
        <v>0</v>
      </c>
      <c r="AG30" s="147">
        <f>AG31+AG32+AG33</f>
        <v>0</v>
      </c>
      <c r="AH30" s="147">
        <f>AH31+AH32+AH33</f>
        <v>0</v>
      </c>
      <c r="AI30" s="147">
        <f>AI31+AI32+AI33</f>
        <v>0</v>
      </c>
      <c r="AJ30" s="18">
        <f t="shared" ref="AJ30:AJ38" si="218">SUM(AF30:AI30)</f>
        <v>0</v>
      </c>
      <c r="AK30" s="147">
        <f>AK31+AK32+AK33</f>
        <v>1897.5509999999999</v>
      </c>
      <c r="AL30" s="147">
        <f>AL31+AL32+AL33</f>
        <v>879.2170000000001</v>
      </c>
      <c r="AM30" s="147">
        <f>AM31+AM32+AM33</f>
        <v>10691.398999999999</v>
      </c>
      <c r="AN30" s="147">
        <f>AN31+AN32+AN33</f>
        <v>15799.157000000001</v>
      </c>
      <c r="AO30" s="18">
        <f t="shared" ref="AO30:AO38" si="219">SUM(AK30:AN30)</f>
        <v>29267.324000000001</v>
      </c>
      <c r="AP30" s="147">
        <f>AP31+AP32+AP33</f>
        <v>3254.54</v>
      </c>
      <c r="AQ30" s="147">
        <f>AQ31+AQ32+AQ33</f>
        <v>1197.3360000000002</v>
      </c>
      <c r="AR30" s="147">
        <f>AR31+AR32+AR33</f>
        <v>1677.1880000000001</v>
      </c>
      <c r="AS30" s="147">
        <f>AS31+AS32+AS33</f>
        <v>3306.1839999999993</v>
      </c>
      <c r="AT30" s="18">
        <f t="shared" ref="AT30:AT38" si="220">SUM(AP30:AS30)</f>
        <v>9435.2479999999996</v>
      </c>
      <c r="AU30" s="147">
        <f>AU31+AU32+AU33</f>
        <v>12268</v>
      </c>
      <c r="AV30" s="147">
        <f>AV31+AV32+AV33</f>
        <v>26623</v>
      </c>
      <c r="AW30" s="147">
        <f>AW31+AW32+AW33</f>
        <v>18961</v>
      </c>
      <c r="AX30" s="147">
        <f>AX31+AX32+AX33</f>
        <v>18642</v>
      </c>
      <c r="AY30" s="18">
        <f t="shared" ref="AY30:AY37" si="221">SUM(AU30:AX30)</f>
        <v>76494</v>
      </c>
      <c r="AZ30" s="147">
        <f>AZ31+AZ32+AZ33</f>
        <v>-6104</v>
      </c>
      <c r="BA30" s="147">
        <f>BA31+BA32+BA33</f>
        <v>2058</v>
      </c>
      <c r="BB30" s="147">
        <f>BB31+BB32+BB33</f>
        <v>-3669</v>
      </c>
      <c r="BC30" s="147">
        <f>BC31+BC32+BC33</f>
        <v>124</v>
      </c>
      <c r="BD30" s="18">
        <f t="shared" ref="BD30:BD37" si="222">SUM(AZ30:BC30)</f>
        <v>-7591</v>
      </c>
      <c r="BE30" s="147">
        <f>BE31+BE32+BE33</f>
        <v>-6859</v>
      </c>
      <c r="BF30" s="147">
        <f>BF31+BF32+BF33</f>
        <v>-11260</v>
      </c>
      <c r="BG30" s="147">
        <f>BG31+BG32+BG33</f>
        <v>-9272</v>
      </c>
      <c r="BH30" s="147">
        <f>BH31+BH32+BH33</f>
        <v>23413</v>
      </c>
      <c r="BI30" s="18">
        <f t="shared" ref="BI30:BI37" si="223">SUM(BE30:BH30)</f>
        <v>-3978</v>
      </c>
      <c r="BJ30" s="147">
        <f>BJ31+BJ32+BJ33</f>
        <v>-19752</v>
      </c>
      <c r="BK30" s="147">
        <f>BK31+BK32+BK33</f>
        <v>-15841</v>
      </c>
      <c r="BL30" s="147">
        <f>BL31+BL32+BL33</f>
        <v>-11872</v>
      </c>
      <c r="BM30" s="147">
        <f>BM31+BM32+BM33</f>
        <v>-13461</v>
      </c>
      <c r="BN30" s="18">
        <f t="shared" ref="BN30:BN37" si="224">SUM(BJ30:BM30)</f>
        <v>-60926</v>
      </c>
      <c r="BO30" s="147">
        <f>BO31+BO32+BO33</f>
        <v>-13586</v>
      </c>
      <c r="BP30" s="147">
        <f>BP31+BP32+BP33</f>
        <v>-19289</v>
      </c>
      <c r="BQ30" s="147">
        <f>BQ31+BQ32+BQ33</f>
        <v>-13499</v>
      </c>
      <c r="BR30" s="147">
        <f>BR31+BR32+BR33</f>
        <v>-20648</v>
      </c>
      <c r="BS30" s="18">
        <f t="shared" ref="BS30:BS37" si="225">SUM(BO30:BR30)</f>
        <v>-67022</v>
      </c>
      <c r="BT30" s="147">
        <f>BT31+BT32+BT33</f>
        <v>-21874</v>
      </c>
      <c r="BU30" s="147">
        <f>BU31+BU32+BU33</f>
        <v>-23978</v>
      </c>
      <c r="BV30" s="147">
        <f>BV31+BV32+BV33</f>
        <v>-20472</v>
      </c>
      <c r="BW30" s="147">
        <f>BW31+BW32+BW33</f>
        <v>-21847</v>
      </c>
      <c r="BX30" s="18">
        <f t="shared" ref="BX30:BX37" si="226">SUM(BT30:BW30)</f>
        <v>-88171</v>
      </c>
      <c r="BY30" s="147">
        <f>BY31+BY32+BY33</f>
        <v>-39942</v>
      </c>
      <c r="BZ30" s="147">
        <f>BZ31+BZ32+BZ33</f>
        <v>-30720</v>
      </c>
      <c r="CA30" s="147">
        <f>CA31+CA32+CA33</f>
        <v>-39423</v>
      </c>
      <c r="CB30" s="147">
        <f>CB31+CB32+CB33</f>
        <v>-42467</v>
      </c>
      <c r="CC30" s="18">
        <f t="shared" ref="CC30:CC38" si="227">SUM(BY30:CB30)</f>
        <v>-152552</v>
      </c>
      <c r="CD30" s="147">
        <f>CD31+CD32+CD33</f>
        <v>-45003</v>
      </c>
      <c r="CE30" s="147">
        <f>CE31+CE32+CE33</f>
        <v>-45995</v>
      </c>
      <c r="CF30" s="147">
        <f>CF31+CF32+CF33</f>
        <v>-57819.701712999733</v>
      </c>
      <c r="CG30" s="147">
        <f>CG31+CG32+CG33</f>
        <v>-58627.922175166859</v>
      </c>
      <c r="CH30" s="18">
        <f t="shared" ref="CH30:CH38" si="228">SUM(CD30:CG30)</f>
        <v>-207445.62388816659</v>
      </c>
      <c r="CI30" s="147">
        <f>CI31+CI32+CI33</f>
        <v>-61508.436755959687</v>
      </c>
      <c r="CJ30" s="147">
        <f>CJ31+CJ32+CJ33</f>
        <v>-68799.661566140785</v>
      </c>
      <c r="CK30" s="147">
        <f>CK31+CK32+CK33</f>
        <v>-69486.733010615106</v>
      </c>
      <c r="CL30" s="147">
        <f>CL31+CL32+CL33</f>
        <v>-66443.566268167822</v>
      </c>
      <c r="CM30" s="18">
        <f t="shared" ref="CM30:CM38" si="229">SUM(CI30:CL30)</f>
        <v>-266238.39760088339</v>
      </c>
      <c r="CN30" s="147">
        <f>CN31+CN32+CN33</f>
        <v>-60951.24932388922</v>
      </c>
      <c r="CO30" s="147">
        <f>CO31+CO32+CO33</f>
        <v>-65747.312234502577</v>
      </c>
      <c r="CP30" s="147">
        <f>CP31+CP32+CP33</f>
        <v>-66385.40385242831</v>
      </c>
      <c r="CQ30" s="147">
        <f>CQ31+CQ32+CQ33</f>
        <v>-64831.951041263324</v>
      </c>
      <c r="CR30" s="18">
        <f t="shared" ref="CR30:CR38" si="230">SUM(CN30:CQ30)</f>
        <v>-257915.91645208342</v>
      </c>
      <c r="CS30" s="147">
        <f>CS31+CS32+CS33</f>
        <v>-67075.956573375952</v>
      </c>
      <c r="CT30" s="147">
        <f>CT31+CT32+CT33</f>
        <v>-71428.820654425828</v>
      </c>
      <c r="CU30" s="147">
        <f>CU31+CU32+CU33</f>
        <v>-71610.622349961093</v>
      </c>
      <c r="CV30" s="147">
        <f>CV31+CV32+CV33</f>
        <v>-69618.984725596791</v>
      </c>
      <c r="CW30" s="18">
        <f t="shared" ref="CW30:CW38" si="231">SUM(CS30:CV30)</f>
        <v>-279734.38430335966</v>
      </c>
      <c r="CX30" s="147">
        <f>CX31+CX32+CX33</f>
        <v>-71649.01217660855</v>
      </c>
      <c r="CY30" s="147">
        <f>CY31+CY32+CY33</f>
        <v>-75925.253104223317</v>
      </c>
      <c r="CZ30" s="147">
        <f>CZ31+CZ32+CZ33</f>
        <v>-75906.209155615201</v>
      </c>
      <c r="DA30" s="147">
        <f>DA31+DA32+DA33</f>
        <v>-73659.121075960298</v>
      </c>
      <c r="DB30" s="18">
        <f t="shared" ref="DB30:DB38" si="232">SUM(CX30:DA30)</f>
        <v>-297139.59551240737</v>
      </c>
    </row>
    <row r="31" spans="1:106" ht="11.25" customHeight="1" x14ac:dyDescent="0.35">
      <c r="A31" s="149" t="s">
        <v>52</v>
      </c>
      <c r="B31" s="421"/>
      <c r="C31" s="421"/>
      <c r="D31" s="421"/>
      <c r="E31" s="421"/>
      <c r="F31" s="20">
        <f t="shared" si="207"/>
        <v>0</v>
      </c>
      <c r="G31" s="421"/>
      <c r="H31" s="421"/>
      <c r="I31" s="421"/>
      <c r="J31" s="421"/>
      <c r="K31" s="20">
        <f t="shared" si="209"/>
        <v>0</v>
      </c>
      <c r="L31" s="421"/>
      <c r="M31" s="421"/>
      <c r="N31" s="421"/>
      <c r="O31" s="421"/>
      <c r="P31" s="20">
        <f t="shared" si="211"/>
        <v>0</v>
      </c>
      <c r="Q31" s="421"/>
      <c r="R31" s="421"/>
      <c r="S31" s="421"/>
      <c r="T31" s="421"/>
      <c r="U31" s="20">
        <f t="shared" si="213"/>
        <v>0</v>
      </c>
      <c r="V31" s="421"/>
      <c r="W31" s="421"/>
      <c r="X31" s="421"/>
      <c r="Y31" s="421"/>
      <c r="Z31" s="20">
        <f t="shared" si="215"/>
        <v>0</v>
      </c>
      <c r="AA31" s="421"/>
      <c r="AB31" s="421"/>
      <c r="AC31" s="421"/>
      <c r="AD31" s="421"/>
      <c r="AE31" s="20">
        <f t="shared" si="217"/>
        <v>0</v>
      </c>
      <c r="AF31" s="421"/>
      <c r="AG31" s="421"/>
      <c r="AH31" s="421"/>
      <c r="AI31" s="421"/>
      <c r="AJ31" s="20">
        <f t="shared" si="218"/>
        <v>0</v>
      </c>
      <c r="AK31" s="421">
        <v>1897.5509999999999</v>
      </c>
      <c r="AL31" s="421">
        <v>879.2170000000001</v>
      </c>
      <c r="AM31" s="421">
        <v>10691.398999999999</v>
      </c>
      <c r="AN31" s="421">
        <v>15799.157000000001</v>
      </c>
      <c r="AO31" s="20">
        <f t="shared" si="219"/>
        <v>29267.324000000001</v>
      </c>
      <c r="AP31" s="421">
        <v>3254.54</v>
      </c>
      <c r="AQ31" s="421">
        <v>1197.3360000000002</v>
      </c>
      <c r="AR31" s="421">
        <v>1677.1880000000001</v>
      </c>
      <c r="AS31" s="421">
        <v>3306.1839999999993</v>
      </c>
      <c r="AT31" s="20">
        <f t="shared" si="220"/>
        <v>9435.2479999999996</v>
      </c>
      <c r="AU31" s="421">
        <f>23718-9596</f>
        <v>14122</v>
      </c>
      <c r="AV31" s="421">
        <f>28892-2090</f>
        <v>26802</v>
      </c>
      <c r="AW31" s="421">
        <f>20410-1050</f>
        <v>19360</v>
      </c>
      <c r="AX31" s="421">
        <f>120320-42671-SUM(AU31:AW31)</f>
        <v>17365</v>
      </c>
      <c r="AY31" s="20">
        <f t="shared" ref="AY31" si="233">SUM(AU31:AX31)</f>
        <v>77649</v>
      </c>
      <c r="AZ31" s="421">
        <f>1328-4507</f>
        <v>-3179</v>
      </c>
      <c r="BA31" s="421">
        <f>9179-6814</f>
        <v>2365</v>
      </c>
      <c r="BB31" s="421">
        <f>2943-6247</f>
        <v>-3304</v>
      </c>
      <c r="BC31" s="421">
        <f>11840-17872-SUM(AZ31:BB31)</f>
        <v>-1914</v>
      </c>
      <c r="BD31" s="20">
        <f t="shared" ref="BD31" si="234">SUM(AZ31:BC31)</f>
        <v>-6032</v>
      </c>
      <c r="BE31" s="421">
        <f>0-6524</f>
        <v>-6524</v>
      </c>
      <c r="BF31" s="421">
        <f>0-10905</f>
        <v>-10905</v>
      </c>
      <c r="BG31" s="421">
        <v>-8907</v>
      </c>
      <c r="BH31" s="421">
        <f>40444-42984-SUM(BE31:BG31)</f>
        <v>23796</v>
      </c>
      <c r="BI31" s="20">
        <f t="shared" ref="BI31" si="235">SUM(BE31:BH31)</f>
        <v>-2540</v>
      </c>
      <c r="BJ31" s="421">
        <f>0-19298</f>
        <v>-19298</v>
      </c>
      <c r="BK31" s="421">
        <f>0-15382</f>
        <v>-15382</v>
      </c>
      <c r="BL31" s="421">
        <v>-11456</v>
      </c>
      <c r="BM31" s="421">
        <f>2756-61830-SUM(BJ31:BL31)</f>
        <v>-12938</v>
      </c>
      <c r="BN31" s="20">
        <f t="shared" ref="BN31" si="236">SUM(BJ31:BM31)</f>
        <v>-59074</v>
      </c>
      <c r="BO31" s="421">
        <f>-12810</f>
        <v>-12810</v>
      </c>
      <c r="BP31" s="421">
        <f>0-18568</f>
        <v>-18568</v>
      </c>
      <c r="BQ31" s="421">
        <v>-12803</v>
      </c>
      <c r="BR31" s="421">
        <f>0-64047-SUM(BO31:BQ31)</f>
        <v>-19866</v>
      </c>
      <c r="BS31" s="20">
        <f t="shared" ref="BS31" si="237">SUM(BO31:BR31)</f>
        <v>-64047</v>
      </c>
      <c r="BT31" s="421">
        <v>-21345</v>
      </c>
      <c r="BU31" s="421">
        <f>0-23250</f>
        <v>-23250</v>
      </c>
      <c r="BV31" s="421">
        <v>-19747</v>
      </c>
      <c r="BW31" s="421">
        <f>2965-88463-SUM(BT31:BV31)</f>
        <v>-21156</v>
      </c>
      <c r="BX31" s="20">
        <f t="shared" ref="BX31" si="238">SUM(BT31:BW31)</f>
        <v>-85498</v>
      </c>
      <c r="BY31" s="421">
        <v>-39738</v>
      </c>
      <c r="BZ31" s="421">
        <f>-30494</f>
        <v>-30494</v>
      </c>
      <c r="CA31" s="421">
        <v>-39204</v>
      </c>
      <c r="CB31" s="421">
        <f>-151687-SUM(BY31:CA31)</f>
        <v>-42251</v>
      </c>
      <c r="CC31" s="20">
        <f t="shared" si="227"/>
        <v>-151687</v>
      </c>
      <c r="CD31" s="421">
        <v>-44791</v>
      </c>
      <c r="CE31" s="421">
        <v>-45797</v>
      </c>
      <c r="CF31" s="642">
        <f t="shared" ref="CF31:CG31" si="239">-2.75%*CF5-(90000*75%/8)</f>
        <v>-57601.33939009632</v>
      </c>
      <c r="CG31" s="642">
        <f t="shared" si="239"/>
        <v>-58409.466617536484</v>
      </c>
      <c r="CH31" s="20">
        <f t="shared" si="228"/>
        <v>-206598.80600763281</v>
      </c>
      <c r="CI31" s="642">
        <f>-2.75%*CI5-(90000*75%/8)</f>
        <v>-61289.887923793671</v>
      </c>
      <c r="CJ31" s="642">
        <f t="shared" ref="CJ31:CL31" si="240">-2.75%*CJ5-(90000*75%/8)</f>
        <v>-68581.019419613469</v>
      </c>
      <c r="CK31" s="642">
        <f t="shared" si="240"/>
        <v>-69267.997509883804</v>
      </c>
      <c r="CL31" s="642">
        <f t="shared" si="240"/>
        <v>-66224.737373372845</v>
      </c>
      <c r="CM31" s="20">
        <f t="shared" si="229"/>
        <v>-265363.64222666377</v>
      </c>
      <c r="CN31" s="427">
        <f t="shared" ref="CN31" si="241">-2.75%*CN5</f>
        <v>-60732.326995153875</v>
      </c>
      <c r="CO31" s="427">
        <f t="shared" ref="CO31:DA31" si="242">-2.75%*CO5</f>
        <v>-65528.296431933122</v>
      </c>
      <c r="CP31" s="427">
        <f t="shared" si="242"/>
        <v>-66166.294536113986</v>
      </c>
      <c r="CQ31" s="427">
        <f t="shared" si="242"/>
        <v>-64612.748171276326</v>
      </c>
      <c r="CR31" s="20">
        <f t="shared" si="230"/>
        <v>-257039.66613447733</v>
      </c>
      <c r="CS31" s="427">
        <f t="shared" ref="CS31" si="243">-2.75%*CS5</f>
        <v>-66856.66010977143</v>
      </c>
      <c r="CT31" s="427">
        <f t="shared" si="242"/>
        <v>-71209.430557241867</v>
      </c>
      <c r="CU31" s="427">
        <f t="shared" si="242"/>
        <v>-71391.138579218721</v>
      </c>
      <c r="CV31" s="427">
        <f t="shared" si="242"/>
        <v>-69399.407241299952</v>
      </c>
      <c r="CW31" s="20">
        <f t="shared" si="231"/>
        <v>-278856.63648753194</v>
      </c>
      <c r="CX31" s="427">
        <f t="shared" ref="CX31" si="244">-2.75%*CX5</f>
        <v>-71429.34093874415</v>
      </c>
      <c r="CY31" s="427">
        <f t="shared" si="242"/>
        <v>-75705.488072761131</v>
      </c>
      <c r="CZ31" s="427">
        <f t="shared" si="242"/>
        <v>-75686.350290507951</v>
      </c>
      <c r="DA31" s="427">
        <f t="shared" si="242"/>
        <v>-73439.168337143579</v>
      </c>
      <c r="DB31" s="20">
        <f t="shared" si="232"/>
        <v>-296260.34763915685</v>
      </c>
    </row>
    <row r="32" spans="1:106" ht="11.25" customHeight="1" x14ac:dyDescent="0.35">
      <c r="A32" s="149" t="s">
        <v>78</v>
      </c>
      <c r="B32" s="68"/>
      <c r="C32" s="68"/>
      <c r="D32" s="68"/>
      <c r="E32" s="68"/>
      <c r="F32" s="28">
        <f t="shared" si="207"/>
        <v>0</v>
      </c>
      <c r="G32" s="421"/>
      <c r="H32" s="421"/>
      <c r="I32" s="421"/>
      <c r="J32" s="421"/>
      <c r="K32" s="28">
        <f t="shared" si="209"/>
        <v>0</v>
      </c>
      <c r="L32" s="421"/>
      <c r="M32" s="421"/>
      <c r="N32" s="421"/>
      <c r="O32" s="421"/>
      <c r="P32" s="28">
        <f t="shared" si="211"/>
        <v>0</v>
      </c>
      <c r="Q32" s="421"/>
      <c r="R32" s="421"/>
      <c r="S32" s="421"/>
      <c r="T32" s="421"/>
      <c r="U32" s="28">
        <f t="shared" si="213"/>
        <v>0</v>
      </c>
      <c r="V32" s="421"/>
      <c r="W32" s="421"/>
      <c r="X32" s="421"/>
      <c r="Y32" s="421"/>
      <c r="Z32" s="28">
        <f t="shared" si="215"/>
        <v>0</v>
      </c>
      <c r="AA32" s="421"/>
      <c r="AB32" s="421"/>
      <c r="AC32" s="421"/>
      <c r="AD32" s="421"/>
      <c r="AE32" s="28">
        <f t="shared" si="217"/>
        <v>0</v>
      </c>
      <c r="AF32" s="421"/>
      <c r="AG32" s="421"/>
      <c r="AH32" s="421"/>
      <c r="AI32" s="421"/>
      <c r="AJ32" s="28">
        <f>SUM(AF32:AI32)</f>
        <v>0</v>
      </c>
      <c r="AK32" s="421"/>
      <c r="AL32" s="421"/>
      <c r="AM32" s="421"/>
      <c r="AN32" s="421"/>
      <c r="AO32" s="28">
        <f>SUM(AK32:AN32)</f>
        <v>0</v>
      </c>
      <c r="AP32" s="421"/>
      <c r="AQ32" s="421"/>
      <c r="AR32" s="421"/>
      <c r="AS32" s="421"/>
      <c r="AT32" s="28">
        <f>SUM(AP32:AS32)</f>
        <v>0</v>
      </c>
      <c r="AU32" s="421">
        <v>-1854</v>
      </c>
      <c r="AV32" s="421">
        <v>-179</v>
      </c>
      <c r="AW32" s="421">
        <v>-399</v>
      </c>
      <c r="AX32" s="421">
        <f>-1155-SUM(AU32:AW32)</f>
        <v>1277</v>
      </c>
      <c r="AY32" s="28">
        <f t="shared" ref="AY32" si="245">SUM(AU32:AX32)</f>
        <v>-1155</v>
      </c>
      <c r="AZ32" s="421">
        <v>-2925</v>
      </c>
      <c r="BA32" s="421">
        <v>-307</v>
      </c>
      <c r="BB32" s="421">
        <v>-365</v>
      </c>
      <c r="BC32" s="421">
        <f>-1559-SUM(AZ32:BB32)</f>
        <v>2038</v>
      </c>
      <c r="BD32" s="28">
        <f t="shared" ref="BD32" si="246">SUM(AZ32:BC32)</f>
        <v>-1559</v>
      </c>
      <c r="BE32" s="421">
        <v>-335</v>
      </c>
      <c r="BF32" s="421">
        <v>-355</v>
      </c>
      <c r="BG32" s="421">
        <v>-365</v>
      </c>
      <c r="BH32" s="421">
        <f>-1438-SUM(BE32:BG32)</f>
        <v>-383</v>
      </c>
      <c r="BI32" s="28">
        <f t="shared" ref="BI32" si="247">SUM(BE32:BH32)</f>
        <v>-1438</v>
      </c>
      <c r="BJ32" s="421">
        <v>-454</v>
      </c>
      <c r="BK32" s="421">
        <v>-459</v>
      </c>
      <c r="BL32" s="421">
        <v>-416</v>
      </c>
      <c r="BM32" s="421">
        <f>-1852-SUM(BJ32:BL32)</f>
        <v>-523</v>
      </c>
      <c r="BN32" s="28">
        <f t="shared" ref="BN32" si="248">SUM(BJ32:BM32)</f>
        <v>-1852</v>
      </c>
      <c r="BO32" s="421">
        <v>-776</v>
      </c>
      <c r="BP32" s="421">
        <v>-721</v>
      </c>
      <c r="BQ32" s="421">
        <v>-696</v>
      </c>
      <c r="BR32" s="421">
        <f>-2975-SUM(BO32:BQ32)</f>
        <v>-782</v>
      </c>
      <c r="BS32" s="28">
        <f t="shared" ref="BS32" si="249">SUM(BO32:BR32)</f>
        <v>-2975</v>
      </c>
      <c r="BT32" s="421">
        <v>-529</v>
      </c>
      <c r="BU32" s="421">
        <v>-728</v>
      </c>
      <c r="BV32" s="421">
        <v>-725</v>
      </c>
      <c r="BW32" s="421">
        <f>-2673-SUM(BT32:BV32)</f>
        <v>-691</v>
      </c>
      <c r="BX32" s="28">
        <f t="shared" ref="BX32" si="250">SUM(BT32:BW32)</f>
        <v>-2673</v>
      </c>
      <c r="BY32" s="421">
        <v>-204</v>
      </c>
      <c r="BZ32" s="421">
        <v>-226</v>
      </c>
      <c r="CA32" s="421">
        <v>-219</v>
      </c>
      <c r="CB32" s="421">
        <f>-865-SUM(BY32:CA32)</f>
        <v>-216</v>
      </c>
      <c r="CC32" s="20">
        <f>SUM(BY32:CB32)</f>
        <v>-865</v>
      </c>
      <c r="CD32" s="421">
        <v>-212</v>
      </c>
      <c r="CE32" s="421">
        <v>-198</v>
      </c>
      <c r="CF32" s="148">
        <f>CE32*CF64/CE64</f>
        <v>-218.36232290341363</v>
      </c>
      <c r="CG32" s="148">
        <f>CF32*CG64/CF64</f>
        <v>-218.45555763037734</v>
      </c>
      <c r="CH32" s="20">
        <f>SUM(CD32:CG32)</f>
        <v>-846.81788053379103</v>
      </c>
      <c r="CI32" s="148">
        <f>CH32*CI64/CH64</f>
        <v>-218.54883216601405</v>
      </c>
      <c r="CJ32" s="148">
        <f>CI32*CJ64/CI64</f>
        <v>-218.64214652732099</v>
      </c>
      <c r="CK32" s="148">
        <f>CJ32*CK64/CJ64</f>
        <v>-218.73550073130264</v>
      </c>
      <c r="CL32" s="148">
        <f>CK32*CL64/CK64</f>
        <v>-218.82889479497075</v>
      </c>
      <c r="CM32" s="20">
        <f>SUM(CI32:CL32)</f>
        <v>-874.75537421960848</v>
      </c>
      <c r="CN32" s="148">
        <f>CM32*CN64/CM64</f>
        <v>-218.92232873534425</v>
      </c>
      <c r="CO32" s="148">
        <f>CN32*CO64/CN64</f>
        <v>-219.01580256944945</v>
      </c>
      <c r="CP32" s="148">
        <f>CO32*CP64/CO64</f>
        <v>-219.10931631431987</v>
      </c>
      <c r="CQ32" s="148">
        <f>CP32*CQ64/CP64</f>
        <v>-219.20286998699626</v>
      </c>
      <c r="CR32" s="20">
        <f>SUM(CN32:CQ32)</f>
        <v>-876.25031760610989</v>
      </c>
      <c r="CS32" s="148">
        <f>CR32*CS64/CR64</f>
        <v>-219.29646360452679</v>
      </c>
      <c r="CT32" s="148">
        <f>CS32*CT64/CS64</f>
        <v>-219.39009718396673</v>
      </c>
      <c r="CU32" s="148">
        <f>CT32*CU64/CT64</f>
        <v>-219.48377074237879</v>
      </c>
      <c r="CV32" s="148">
        <f>CU32*CV64/CU64</f>
        <v>-219.57748429683289</v>
      </c>
      <c r="CW32" s="20">
        <f>SUM(CS32:CV32)</f>
        <v>-877.74781582770515</v>
      </c>
      <c r="CX32" s="148">
        <f>CW32*CX64/CW64</f>
        <v>-219.67123786440618</v>
      </c>
      <c r="CY32" s="148">
        <f>CX32*CY64/CX64</f>
        <v>-219.76503146218323</v>
      </c>
      <c r="CZ32" s="148">
        <f>CY32*CZ64/CY64</f>
        <v>-219.85886510725581</v>
      </c>
      <c r="DA32" s="148">
        <f>CZ32*DA64/CZ64</f>
        <v>-219.95273881672301</v>
      </c>
      <c r="DB32" s="20">
        <f>SUM(CX32:DA32)</f>
        <v>-879.2478732505682</v>
      </c>
    </row>
    <row r="33" spans="1:106" ht="11.25" customHeight="1" x14ac:dyDescent="0.35">
      <c r="A33" s="149" t="s">
        <v>47</v>
      </c>
      <c r="B33" s="148"/>
      <c r="C33" s="148"/>
      <c r="D33" s="148"/>
      <c r="E33" s="148"/>
      <c r="F33" s="20">
        <f t="shared" si="207"/>
        <v>0</v>
      </c>
      <c r="G33" s="421"/>
      <c r="H33" s="421"/>
      <c r="I33" s="421"/>
      <c r="J33" s="421"/>
      <c r="K33" s="20">
        <f t="shared" si="209"/>
        <v>0</v>
      </c>
      <c r="L33" s="421"/>
      <c r="M33" s="421"/>
      <c r="N33" s="421"/>
      <c r="O33" s="421"/>
      <c r="P33" s="20">
        <f t="shared" si="211"/>
        <v>0</v>
      </c>
      <c r="Q33" s="421"/>
      <c r="R33" s="421"/>
      <c r="S33" s="421"/>
      <c r="T33" s="421"/>
      <c r="U33" s="20">
        <f t="shared" si="213"/>
        <v>0</v>
      </c>
      <c r="V33" s="421"/>
      <c r="W33" s="421"/>
      <c r="X33" s="421"/>
      <c r="Y33" s="421"/>
      <c r="Z33" s="20">
        <f t="shared" si="215"/>
        <v>0</v>
      </c>
      <c r="AA33" s="421"/>
      <c r="AB33" s="421"/>
      <c r="AC33" s="421"/>
      <c r="AD33" s="421"/>
      <c r="AE33" s="20">
        <f t="shared" si="217"/>
        <v>0</v>
      </c>
      <c r="AF33" s="421"/>
      <c r="AG33" s="421"/>
      <c r="AH33" s="421"/>
      <c r="AI33" s="421"/>
      <c r="AJ33" s="20">
        <f t="shared" si="218"/>
        <v>0</v>
      </c>
      <c r="AK33" s="421"/>
      <c r="AL33" s="421"/>
      <c r="AM33" s="421"/>
      <c r="AN33" s="421"/>
      <c r="AO33" s="20">
        <f t="shared" si="219"/>
        <v>0</v>
      </c>
      <c r="AP33" s="421"/>
      <c r="AQ33" s="421"/>
      <c r="AR33" s="421"/>
      <c r="AS33" s="421"/>
      <c r="AT33" s="20">
        <f t="shared" si="220"/>
        <v>0</v>
      </c>
      <c r="AU33" s="421">
        <v>0</v>
      </c>
      <c r="AV33" s="421">
        <v>0</v>
      </c>
      <c r="AW33" s="421">
        <v>0</v>
      </c>
      <c r="AX33" s="421">
        <v>0</v>
      </c>
      <c r="AY33" s="20">
        <f t="shared" ref="AY33" si="251">SUM(AU33:AX33)</f>
        <v>0</v>
      </c>
      <c r="AZ33" s="421">
        <v>0</v>
      </c>
      <c r="BA33" s="421">
        <v>0</v>
      </c>
      <c r="BB33" s="421">
        <v>0</v>
      </c>
      <c r="BC33" s="421">
        <v>0</v>
      </c>
      <c r="BD33" s="20">
        <f t="shared" ref="BD33" si="252">SUM(AZ33:BC33)</f>
        <v>0</v>
      </c>
      <c r="BE33" s="421">
        <v>0</v>
      </c>
      <c r="BF33" s="421">
        <v>0</v>
      </c>
      <c r="BG33" s="421">
        <v>0</v>
      </c>
      <c r="BH33" s="421">
        <v>0</v>
      </c>
      <c r="BI33" s="20">
        <f t="shared" ref="BI33" si="253">SUM(BE33:BH33)</f>
        <v>0</v>
      </c>
      <c r="BJ33" s="421">
        <v>0</v>
      </c>
      <c r="BK33" s="421">
        <v>0</v>
      </c>
      <c r="BL33" s="421">
        <v>0</v>
      </c>
      <c r="BM33" s="421">
        <v>0</v>
      </c>
      <c r="BN33" s="20">
        <f t="shared" ref="BN33" si="254">SUM(BJ33:BM33)</f>
        <v>0</v>
      </c>
      <c r="BO33" s="421">
        <v>0</v>
      </c>
      <c r="BP33" s="421">
        <v>0</v>
      </c>
      <c r="BQ33" s="421">
        <v>0</v>
      </c>
      <c r="BR33" s="421">
        <v>0</v>
      </c>
      <c r="BS33" s="20">
        <f t="shared" ref="BS33" si="255">SUM(BO33:BR33)</f>
        <v>0</v>
      </c>
      <c r="BT33" s="421">
        <v>0</v>
      </c>
      <c r="BU33" s="421">
        <v>0</v>
      </c>
      <c r="BV33" s="421">
        <v>0</v>
      </c>
      <c r="BW33" s="421">
        <v>0</v>
      </c>
      <c r="BX33" s="20">
        <f t="shared" ref="BX33" si="256">SUM(BT33:BW33)</f>
        <v>0</v>
      </c>
      <c r="BY33" s="421">
        <v>0</v>
      </c>
      <c r="BZ33" s="421">
        <v>0</v>
      </c>
      <c r="CA33" s="421">
        <v>0</v>
      </c>
      <c r="CB33" s="421">
        <v>0</v>
      </c>
      <c r="CC33" s="20">
        <f t="shared" si="227"/>
        <v>0</v>
      </c>
      <c r="CD33" s="421">
        <v>0</v>
      </c>
      <c r="CE33" s="421">
        <v>0</v>
      </c>
      <c r="CF33" s="427">
        <v>0</v>
      </c>
      <c r="CG33" s="427">
        <v>0</v>
      </c>
      <c r="CH33" s="20">
        <f t="shared" si="228"/>
        <v>0</v>
      </c>
      <c r="CI33" s="427">
        <v>0</v>
      </c>
      <c r="CJ33" s="427">
        <v>0</v>
      </c>
      <c r="CK33" s="427">
        <v>0</v>
      </c>
      <c r="CL33" s="427">
        <v>0</v>
      </c>
      <c r="CM33" s="20">
        <f t="shared" si="229"/>
        <v>0</v>
      </c>
      <c r="CN33" s="427">
        <v>0</v>
      </c>
      <c r="CO33" s="427">
        <v>0</v>
      </c>
      <c r="CP33" s="427">
        <v>0</v>
      </c>
      <c r="CQ33" s="427">
        <v>0</v>
      </c>
      <c r="CR33" s="20">
        <f t="shared" si="230"/>
        <v>0</v>
      </c>
      <c r="CS33" s="427">
        <v>0</v>
      </c>
      <c r="CT33" s="427">
        <v>0</v>
      </c>
      <c r="CU33" s="427">
        <v>0</v>
      </c>
      <c r="CV33" s="427">
        <v>0</v>
      </c>
      <c r="CW33" s="20">
        <f t="shared" si="231"/>
        <v>0</v>
      </c>
      <c r="CX33" s="427">
        <v>0</v>
      </c>
      <c r="CY33" s="427">
        <v>0</v>
      </c>
      <c r="CZ33" s="427">
        <v>0</v>
      </c>
      <c r="DA33" s="427">
        <v>0</v>
      </c>
      <c r="DB33" s="20">
        <f t="shared" si="232"/>
        <v>0</v>
      </c>
    </row>
    <row r="34" spans="1:106" ht="11.25" customHeight="1" x14ac:dyDescent="0.35">
      <c r="A34" s="160" t="s">
        <v>6</v>
      </c>
      <c r="B34" s="428"/>
      <c r="C34" s="428"/>
      <c r="D34" s="428"/>
      <c r="E34" s="428"/>
      <c r="F34" s="161">
        <f t="shared" si="207"/>
        <v>0</v>
      </c>
      <c r="G34" s="428"/>
      <c r="H34" s="428"/>
      <c r="I34" s="428"/>
      <c r="J34" s="428"/>
      <c r="K34" s="161">
        <f t="shared" si="209"/>
        <v>0</v>
      </c>
      <c r="L34" s="428"/>
      <c r="M34" s="428"/>
      <c r="N34" s="428"/>
      <c r="O34" s="428"/>
      <c r="P34" s="161">
        <f t="shared" si="211"/>
        <v>0</v>
      </c>
      <c r="Q34" s="428"/>
      <c r="R34" s="428"/>
      <c r="S34" s="428"/>
      <c r="T34" s="428"/>
      <c r="U34" s="161">
        <f t="shared" si="213"/>
        <v>0</v>
      </c>
      <c r="V34" s="428"/>
      <c r="W34" s="428"/>
      <c r="X34" s="428"/>
      <c r="Y34" s="428"/>
      <c r="Z34" s="161">
        <f t="shared" si="215"/>
        <v>0</v>
      </c>
      <c r="AA34" s="428"/>
      <c r="AB34" s="428"/>
      <c r="AC34" s="428"/>
      <c r="AD34" s="428"/>
      <c r="AE34" s="161">
        <f t="shared" si="217"/>
        <v>0</v>
      </c>
      <c r="AF34" s="428"/>
      <c r="AG34" s="428"/>
      <c r="AH34" s="428"/>
      <c r="AI34" s="428"/>
      <c r="AJ34" s="161">
        <f t="shared" si="218"/>
        <v>0</v>
      </c>
      <c r="AK34" s="428">
        <v>-5.3710000000000004</v>
      </c>
      <c r="AL34" s="428">
        <v>-88.245000000000005</v>
      </c>
      <c r="AM34" s="428">
        <v>469.95799999999997</v>
      </c>
      <c r="AN34" s="428">
        <v>665.8370000000001</v>
      </c>
      <c r="AO34" s="161">
        <f t="shared" si="219"/>
        <v>1042.1790000000001</v>
      </c>
      <c r="AP34" s="428">
        <v>350.71199999999999</v>
      </c>
      <c r="AQ34" s="428">
        <v>3178.105</v>
      </c>
      <c r="AR34" s="428">
        <v>-3157.2020000000002</v>
      </c>
      <c r="AS34" s="428">
        <v>-869.85799999999995</v>
      </c>
      <c r="AT34" s="161">
        <f t="shared" si="220"/>
        <v>-498.24300000000017</v>
      </c>
      <c r="AU34" s="428">
        <v>-359</v>
      </c>
      <c r="AV34" s="428">
        <v>-1062</v>
      </c>
      <c r="AW34" s="428">
        <v>849</v>
      </c>
      <c r="AX34" s="428">
        <f>1486-SUM(AU34:AW34)</f>
        <v>2058</v>
      </c>
      <c r="AY34" s="161">
        <f t="shared" ref="AY34" si="257">SUM(AU34:AX34)</f>
        <v>1486</v>
      </c>
      <c r="AZ34" s="428">
        <v>791</v>
      </c>
      <c r="BA34" s="428">
        <v>195</v>
      </c>
      <c r="BB34" s="428">
        <v>336</v>
      </c>
      <c r="BC34" s="428">
        <f>2360-SUM(AZ34:BB34)</f>
        <v>1038</v>
      </c>
      <c r="BD34" s="161">
        <f t="shared" ref="BD34" si="258">SUM(AZ34:BC34)</f>
        <v>2360</v>
      </c>
      <c r="BE34" s="428">
        <v>1138</v>
      </c>
      <c r="BF34" s="428">
        <v>1726</v>
      </c>
      <c r="BG34" s="428">
        <v>-946</v>
      </c>
      <c r="BH34" s="428">
        <f>927-SUM(BE34:BG34)</f>
        <v>-991</v>
      </c>
      <c r="BI34" s="161">
        <f t="shared" ref="BI34" si="259">SUM(BE34:BH34)</f>
        <v>927</v>
      </c>
      <c r="BJ34" s="428">
        <v>-311</v>
      </c>
      <c r="BK34" s="428">
        <v>-141</v>
      </c>
      <c r="BL34" s="428">
        <v>976</v>
      </c>
      <c r="BM34" s="428">
        <f>379-SUM(BJ34:BL34)</f>
        <v>-145</v>
      </c>
      <c r="BN34" s="161">
        <f t="shared" ref="BN34" si="260">SUM(BJ34:BM34)</f>
        <v>379</v>
      </c>
      <c r="BO34" s="428">
        <v>-110</v>
      </c>
      <c r="BP34" s="428">
        <v>696</v>
      </c>
      <c r="BQ34" s="428">
        <v>-295</v>
      </c>
      <c r="BR34" s="428">
        <f>1647-SUM(BO34:BQ34)</f>
        <v>1356</v>
      </c>
      <c r="BS34" s="161">
        <f t="shared" ref="BS34" si="261">SUM(BO34:BR34)</f>
        <v>1647</v>
      </c>
      <c r="BT34" s="428">
        <v>1299</v>
      </c>
      <c r="BU34" s="428">
        <v>2806</v>
      </c>
      <c r="BV34" s="428">
        <v>3390</v>
      </c>
      <c r="BW34" s="428">
        <f>8539-SUM(BT34:BV34)</f>
        <v>1044</v>
      </c>
      <c r="BX34" s="161">
        <f t="shared" ref="BX34" si="262">SUM(BT34:BW34)</f>
        <v>8539</v>
      </c>
      <c r="BY34" s="428">
        <v>688</v>
      </c>
      <c r="BZ34" s="428">
        <v>1091</v>
      </c>
      <c r="CA34" s="428">
        <v>2474</v>
      </c>
      <c r="CB34" s="428">
        <f>7390-SUM(BY34:CA34)</f>
        <v>3137</v>
      </c>
      <c r="CC34" s="161">
        <f t="shared" si="227"/>
        <v>7390</v>
      </c>
      <c r="CD34" s="428">
        <v>2282</v>
      </c>
      <c r="CE34" s="428">
        <v>1014</v>
      </c>
      <c r="CF34" s="429">
        <f>'BS &amp; FCF'!CF21*10%/4</f>
        <v>771.25258988636301</v>
      </c>
      <c r="CG34" s="429">
        <f>'BS &amp; FCF'!CG21*10%/4</f>
        <v>779.28350539895791</v>
      </c>
      <c r="CH34" s="161">
        <f t="shared" si="228"/>
        <v>4846.5360952853207</v>
      </c>
      <c r="CI34" s="429">
        <f>'BS &amp; FCF'!CI21*10%/4</f>
        <v>833.88023109718711</v>
      </c>
      <c r="CJ34" s="429">
        <f>'BS &amp; FCF'!CJ21*10%/4</f>
        <v>874.54796388973773</v>
      </c>
      <c r="CK34" s="429">
        <f>'BS &amp; FCF'!CK21*10%/4</f>
        <v>894.26501380295747</v>
      </c>
      <c r="CL34" s="429">
        <f>'BS &amp; FCF'!CL21*10%/4</f>
        <v>909.47125272685378</v>
      </c>
      <c r="CM34" s="161">
        <f t="shared" si="229"/>
        <v>3512.1644615167361</v>
      </c>
      <c r="CN34" s="429">
        <f>'BS &amp; FCF'!CN21*10%/4</f>
        <v>957.0362263251742</v>
      </c>
      <c r="CO34" s="429">
        <f>'BS &amp; FCF'!CO21*10%/4</f>
        <v>978.94700173076671</v>
      </c>
      <c r="CP34" s="429">
        <f>'BS &amp; FCF'!CP21*10%/4</f>
        <v>981.66975538872873</v>
      </c>
      <c r="CQ34" s="429">
        <f>'BS &amp; FCF'!CQ21*10%/4</f>
        <v>993.91158725549531</v>
      </c>
      <c r="CR34" s="161">
        <f t="shared" si="230"/>
        <v>3911.5645707001649</v>
      </c>
      <c r="CS34" s="429">
        <f>'BS &amp; FCF'!CS21*10%/4</f>
        <v>1034.1950416858017</v>
      </c>
      <c r="CT34" s="429">
        <f>'BS &amp; FCF'!CT21*10%/4</f>
        <v>1054.8700055303848</v>
      </c>
      <c r="CU34" s="429">
        <f>'BS &amp; FCF'!CU21*10%/4</f>
        <v>1055.3506152341629</v>
      </c>
      <c r="CV34" s="429">
        <f>'BS &amp; FCF'!CV21*10%/4</f>
        <v>1060.9873635509227</v>
      </c>
      <c r="CW34" s="161">
        <f t="shared" si="231"/>
        <v>4205.4030260012723</v>
      </c>
      <c r="CX34" s="429">
        <f>'BS &amp; FCF'!CX21*10%/4</f>
        <v>1097.4912135562058</v>
      </c>
      <c r="CY34" s="429">
        <f>'BS &amp; FCF'!CY21*10%/4</f>
        <v>1109.4365871465588</v>
      </c>
      <c r="CZ34" s="429">
        <f>'BS &amp; FCF'!CZ21*10%/4</f>
        <v>1096.5199941978981</v>
      </c>
      <c r="DA34" s="429">
        <f>'BS &amp; FCF'!DA21*10%/4</f>
        <v>1086.2048345180492</v>
      </c>
      <c r="DB34" s="161">
        <f t="shared" si="232"/>
        <v>4389.6526294187115</v>
      </c>
    </row>
    <row r="35" spans="1:106" ht="11.25" customHeight="1" x14ac:dyDescent="0.35">
      <c r="A35" s="16" t="s">
        <v>83</v>
      </c>
      <c r="B35" s="147">
        <f t="shared" ref="B35:E35" si="263">B16+B17</f>
        <v>0</v>
      </c>
      <c r="C35" s="147">
        <f t="shared" si="263"/>
        <v>0</v>
      </c>
      <c r="D35" s="147">
        <f t="shared" si="263"/>
        <v>0</v>
      </c>
      <c r="E35" s="147">
        <f t="shared" si="263"/>
        <v>0</v>
      </c>
      <c r="F35" s="18">
        <f t="shared" si="207"/>
        <v>0</v>
      </c>
      <c r="G35" s="147">
        <f t="shared" ref="G35:J35" si="264">G16+G17</f>
        <v>0</v>
      </c>
      <c r="H35" s="147">
        <f t="shared" si="264"/>
        <v>0</v>
      </c>
      <c r="I35" s="147">
        <f t="shared" si="264"/>
        <v>0</v>
      </c>
      <c r="J35" s="147">
        <f t="shared" si="264"/>
        <v>0</v>
      </c>
      <c r="K35" s="18">
        <f t="shared" si="209"/>
        <v>0</v>
      </c>
      <c r="L35" s="147">
        <f t="shared" ref="L35:O35" si="265">L16+L17</f>
        <v>0</v>
      </c>
      <c r="M35" s="147">
        <f t="shared" si="265"/>
        <v>0</v>
      </c>
      <c r="N35" s="147">
        <f t="shared" si="265"/>
        <v>0</v>
      </c>
      <c r="O35" s="147">
        <f t="shared" si="265"/>
        <v>0</v>
      </c>
      <c r="P35" s="18">
        <f t="shared" si="211"/>
        <v>0</v>
      </c>
      <c r="Q35" s="147">
        <f t="shared" ref="Q35:T35" si="266">Q16+Q17</f>
        <v>0</v>
      </c>
      <c r="R35" s="147">
        <f t="shared" si="266"/>
        <v>0</v>
      </c>
      <c r="S35" s="147">
        <f t="shared" si="266"/>
        <v>0</v>
      </c>
      <c r="T35" s="147">
        <f t="shared" si="266"/>
        <v>0</v>
      </c>
      <c r="U35" s="18">
        <f t="shared" si="213"/>
        <v>0</v>
      </c>
      <c r="V35" s="147">
        <f t="shared" ref="V35:Y35" si="267">V16+V17</f>
        <v>0</v>
      </c>
      <c r="W35" s="147">
        <f t="shared" si="267"/>
        <v>0</v>
      </c>
      <c r="X35" s="147">
        <f t="shared" si="267"/>
        <v>0</v>
      </c>
      <c r="Y35" s="147">
        <f t="shared" si="267"/>
        <v>0</v>
      </c>
      <c r="Z35" s="18">
        <f t="shared" si="215"/>
        <v>0</v>
      </c>
      <c r="AA35" s="147">
        <f t="shared" ref="AA35:AD35" si="268">AA16+AA17</f>
        <v>0</v>
      </c>
      <c r="AB35" s="147">
        <f t="shared" si="268"/>
        <v>0</v>
      </c>
      <c r="AC35" s="147">
        <f t="shared" si="268"/>
        <v>0</v>
      </c>
      <c r="AD35" s="147">
        <f t="shared" si="268"/>
        <v>0</v>
      </c>
      <c r="AE35" s="18">
        <f t="shared" si="217"/>
        <v>0</v>
      </c>
      <c r="AF35" s="147">
        <f>AF16+AF17</f>
        <v>0</v>
      </c>
      <c r="AG35" s="147">
        <f>AG16+AG17</f>
        <v>0</v>
      </c>
      <c r="AH35" s="147">
        <f>AH16+AH17</f>
        <v>0</v>
      </c>
      <c r="AI35" s="147">
        <f>AI16+AI17</f>
        <v>0</v>
      </c>
      <c r="AJ35" s="18">
        <f t="shared" si="218"/>
        <v>0</v>
      </c>
      <c r="AK35" s="147">
        <f>AK16+AK17</f>
        <v>16465.068000000014</v>
      </c>
      <c r="AL35" s="147">
        <f>AL16+AL17</f>
        <v>20086.781999999963</v>
      </c>
      <c r="AM35" s="147">
        <f>AM16+AM17</f>
        <v>49874.739000000031</v>
      </c>
      <c r="AN35" s="147">
        <f>AN16+AN17</f>
        <v>56168.820000000058</v>
      </c>
      <c r="AO35" s="18">
        <f t="shared" si="219"/>
        <v>142595.40900000007</v>
      </c>
      <c r="AP35" s="147">
        <f>AP16+AP17</f>
        <v>23596.92</v>
      </c>
      <c r="AQ35" s="147">
        <f>AQ16+AQ17</f>
        <v>44619.943999999989</v>
      </c>
      <c r="AR35" s="147">
        <f>AR16+AR17</f>
        <v>58830.786000000058</v>
      </c>
      <c r="AS35" s="147">
        <f>AS16+AS17</f>
        <v>67413.998999999982</v>
      </c>
      <c r="AT35" s="18">
        <f t="shared" si="220"/>
        <v>194461.64900000003</v>
      </c>
      <c r="AU35" s="147">
        <f>AU16+AU17</f>
        <v>28257</v>
      </c>
      <c r="AV35" s="147">
        <f>AV16+AV17</f>
        <v>79268</v>
      </c>
      <c r="AW35" s="147">
        <f>AW16+AW17</f>
        <v>45183</v>
      </c>
      <c r="AX35" s="147">
        <f>AX16+AX17</f>
        <v>73387</v>
      </c>
      <c r="AY35" s="18">
        <f t="shared" si="221"/>
        <v>226095</v>
      </c>
      <c r="AZ35" s="147">
        <f>AZ16+AZ17</f>
        <v>23155</v>
      </c>
      <c r="BA35" s="147">
        <f>BA16+BA17</f>
        <v>45884</v>
      </c>
      <c r="BB35" s="147">
        <f>BB16+BB17</f>
        <v>66118</v>
      </c>
      <c r="BC35" s="147">
        <f>BC16+BC17</f>
        <v>81055</v>
      </c>
      <c r="BD35" s="18">
        <f t="shared" si="222"/>
        <v>216212</v>
      </c>
      <c r="BE35" s="147">
        <f>BE16+BE17</f>
        <v>58947</v>
      </c>
      <c r="BF35" s="147">
        <f>BF16+BF17</f>
        <v>85365</v>
      </c>
      <c r="BG35" s="147">
        <f>BG16+BG17</f>
        <v>84976</v>
      </c>
      <c r="BH35" s="147">
        <f>BH16+BH17</f>
        <v>122353</v>
      </c>
      <c r="BI35" s="18">
        <f t="shared" si="223"/>
        <v>351641</v>
      </c>
      <c r="BJ35" s="147">
        <f>BJ16+BJ17</f>
        <v>74988</v>
      </c>
      <c r="BK35" s="147">
        <f>BK16+BK17</f>
        <v>107387</v>
      </c>
      <c r="BL35" s="147">
        <f>BL16+BL17</f>
        <v>110405</v>
      </c>
      <c r="BM35" s="147">
        <f>BM16+BM17</f>
        <v>112224</v>
      </c>
      <c r="BN35" s="18">
        <f t="shared" si="224"/>
        <v>405004</v>
      </c>
      <c r="BO35" s="147">
        <f>BO16+BO17</f>
        <v>109392</v>
      </c>
      <c r="BP35" s="147">
        <f>BP16+BP17</f>
        <v>142265</v>
      </c>
      <c r="BQ35" s="147">
        <f>BQ16+BQ17</f>
        <v>132019</v>
      </c>
      <c r="BR35" s="147">
        <f>BR16+BR17</f>
        <v>184353</v>
      </c>
      <c r="BS35" s="18">
        <f t="shared" si="225"/>
        <v>568029</v>
      </c>
      <c r="BT35" s="147">
        <f>BT16+BT17</f>
        <v>174256</v>
      </c>
      <c r="BU35" s="147">
        <f>BU16+BU17</f>
        <v>196190</v>
      </c>
      <c r="BV35" s="147">
        <f>BV16+BV17</f>
        <v>203590</v>
      </c>
      <c r="BW35" s="147">
        <f>BW16+BW17</f>
        <v>214560</v>
      </c>
      <c r="BX35" s="18">
        <f t="shared" si="226"/>
        <v>788596</v>
      </c>
      <c r="BY35" s="147">
        <f>BY16+BY17</f>
        <v>264667</v>
      </c>
      <c r="BZ35" s="147">
        <f>BZ16+BZ17</f>
        <v>298596</v>
      </c>
      <c r="CA35" s="147">
        <f>CA16+CA17</f>
        <v>319973</v>
      </c>
      <c r="CB35" s="147">
        <f>CB16+CB17</f>
        <v>337010</v>
      </c>
      <c r="CC35" s="18">
        <f t="shared" si="227"/>
        <v>1220246</v>
      </c>
      <c r="CD35" s="147">
        <f>CD16+CD17</f>
        <v>392436</v>
      </c>
      <c r="CE35" s="147">
        <f>CE16+CE17</f>
        <v>356305</v>
      </c>
      <c r="CF35" s="147">
        <f ca="1">CF16+CF17</f>
        <v>391658.24520499329</v>
      </c>
      <c r="CG35" s="147">
        <f ca="1">CG16+CG17</f>
        <v>424120.48408245941</v>
      </c>
      <c r="CH35" s="18">
        <f t="shared" ca="1" si="228"/>
        <v>1564519.7292874528</v>
      </c>
      <c r="CI35" s="147">
        <f ca="1">CI16+CI17</f>
        <v>441745.23899452953</v>
      </c>
      <c r="CJ35" s="147">
        <f ca="1">CJ16+CJ17</f>
        <v>481254.47186562541</v>
      </c>
      <c r="CK35" s="147">
        <f ca="1">CK16+CK17</f>
        <v>517996.28002472461</v>
      </c>
      <c r="CL35" s="147">
        <f ca="1">CL16+CL17</f>
        <v>504784.4689712511</v>
      </c>
      <c r="CM35" s="18">
        <f t="shared" ca="1" si="229"/>
        <v>1945780.4598561306</v>
      </c>
      <c r="CN35" s="147">
        <f ca="1">CN16+CN17</f>
        <v>544537.6166807746</v>
      </c>
      <c r="CO35" s="147">
        <f ca="1">CO16+CO17</f>
        <v>537382.11434783158</v>
      </c>
      <c r="CP35" s="147">
        <f ca="1">CP16+CP17</f>
        <v>559820.10694721784</v>
      </c>
      <c r="CQ35" s="147">
        <f ca="1">CQ16+CQ17</f>
        <v>561727.84859683504</v>
      </c>
      <c r="CR35" s="18">
        <f t="shared" ca="1" si="230"/>
        <v>2203467.6865726588</v>
      </c>
      <c r="CS35" s="147">
        <f ca="1">CS16+CS17</f>
        <v>589577.10983300395</v>
      </c>
      <c r="CT35" s="147">
        <f ca="1">CT16+CT17</f>
        <v>572917.03726755502</v>
      </c>
      <c r="CU35" s="147">
        <f ca="1">CU16+CU17</f>
        <v>590008.09346909495</v>
      </c>
      <c r="CV35" s="147">
        <f ca="1">CV16+CV17</f>
        <v>588635.26046769426</v>
      </c>
      <c r="CW35" s="18">
        <f t="shared" ca="1" si="231"/>
        <v>2341137.5010373481</v>
      </c>
      <c r="CX35" s="147">
        <f ca="1">CX16+CX17</f>
        <v>625214.97163459798</v>
      </c>
      <c r="CY35" s="147">
        <f ca="1">CY16+CY17</f>
        <v>606011.13050288521</v>
      </c>
      <c r="CZ35" s="147">
        <f ca="1">CZ16+CZ17</f>
        <v>621725.20846532099</v>
      </c>
      <c r="DA35" s="147">
        <f ca="1">DA16+DA17</f>
        <v>618523.38330257556</v>
      </c>
      <c r="DB35" s="18">
        <f t="shared" ca="1" si="232"/>
        <v>2471474.6939053796</v>
      </c>
    </row>
    <row r="36" spans="1:106" ht="11.25" customHeight="1" x14ac:dyDescent="0.35">
      <c r="A36" s="19" t="s">
        <v>91</v>
      </c>
      <c r="B36" s="403"/>
      <c r="C36" s="403"/>
      <c r="D36" s="403"/>
      <c r="E36" s="403"/>
      <c r="F36" s="20">
        <f t="shared" si="207"/>
        <v>0</v>
      </c>
      <c r="G36" s="403"/>
      <c r="H36" s="403"/>
      <c r="I36" s="403"/>
      <c r="J36" s="403"/>
      <c r="K36" s="20">
        <f t="shared" si="209"/>
        <v>0</v>
      </c>
      <c r="L36" s="403"/>
      <c r="M36" s="403"/>
      <c r="N36" s="403"/>
      <c r="O36" s="403"/>
      <c r="P36" s="20">
        <f t="shared" si="211"/>
        <v>0</v>
      </c>
      <c r="Q36" s="403"/>
      <c r="R36" s="403"/>
      <c r="S36" s="403"/>
      <c r="T36" s="403"/>
      <c r="U36" s="20">
        <f t="shared" si="213"/>
        <v>0</v>
      </c>
      <c r="V36" s="403"/>
      <c r="W36" s="403"/>
      <c r="X36" s="403"/>
      <c r="Y36" s="403"/>
      <c r="Z36" s="20">
        <f t="shared" si="215"/>
        <v>0</v>
      </c>
      <c r="AA36" s="403"/>
      <c r="AB36" s="403"/>
      <c r="AC36" s="403"/>
      <c r="AD36" s="403"/>
      <c r="AE36" s="20">
        <f t="shared" si="217"/>
        <v>0</v>
      </c>
      <c r="AF36" s="403"/>
      <c r="AG36" s="403"/>
      <c r="AH36" s="403"/>
      <c r="AI36" s="403"/>
      <c r="AJ36" s="20">
        <f t="shared" si="218"/>
        <v>0</v>
      </c>
      <c r="AK36" s="403">
        <v>0</v>
      </c>
      <c r="AL36" s="403">
        <v>0</v>
      </c>
      <c r="AM36" s="403">
        <v>0</v>
      </c>
      <c r="AN36" s="403">
        <v>0</v>
      </c>
      <c r="AO36" s="20">
        <f t="shared" si="219"/>
        <v>0</v>
      </c>
      <c r="AP36" s="403">
        <v>0</v>
      </c>
      <c r="AQ36" s="403">
        <v>0</v>
      </c>
      <c r="AR36" s="403">
        <v>0</v>
      </c>
      <c r="AS36" s="403">
        <v>0</v>
      </c>
      <c r="AT36" s="20">
        <f t="shared" si="220"/>
        <v>0</v>
      </c>
      <c r="AU36" s="403">
        <v>0</v>
      </c>
      <c r="AV36" s="403">
        <v>0</v>
      </c>
      <c r="AW36" s="403">
        <v>0</v>
      </c>
      <c r="AX36" s="403">
        <v>0</v>
      </c>
      <c r="AY36" s="20">
        <f t="shared" si="221"/>
        <v>0</v>
      </c>
      <c r="AZ36" s="403">
        <v>0</v>
      </c>
      <c r="BA36" s="403">
        <v>0</v>
      </c>
      <c r="BB36" s="403">
        <v>0</v>
      </c>
      <c r="BC36" s="403">
        <v>0</v>
      </c>
      <c r="BD36" s="20">
        <f t="shared" si="222"/>
        <v>0</v>
      </c>
      <c r="BE36" s="403">
        <v>0</v>
      </c>
      <c r="BF36" s="403">
        <v>0</v>
      </c>
      <c r="BG36" s="403">
        <v>0</v>
      </c>
      <c r="BH36" s="403">
        <v>0</v>
      </c>
      <c r="BI36" s="20">
        <f t="shared" si="223"/>
        <v>0</v>
      </c>
      <c r="BJ36" s="403">
        <v>0</v>
      </c>
      <c r="BK36" s="403">
        <v>0</v>
      </c>
      <c r="BL36" s="403">
        <v>0</v>
      </c>
      <c r="BM36" s="403">
        <v>0</v>
      </c>
      <c r="BN36" s="20">
        <f t="shared" si="224"/>
        <v>0</v>
      </c>
      <c r="BO36" s="403">
        <v>0</v>
      </c>
      <c r="BP36" s="403">
        <v>0</v>
      </c>
      <c r="BQ36" s="403">
        <v>0</v>
      </c>
      <c r="BR36" s="403">
        <v>0</v>
      </c>
      <c r="BS36" s="20">
        <f t="shared" si="225"/>
        <v>0</v>
      </c>
      <c r="BT36" s="403">
        <v>0</v>
      </c>
      <c r="BU36" s="403">
        <v>0</v>
      </c>
      <c r="BV36" s="403">
        <v>0</v>
      </c>
      <c r="BW36" s="403">
        <v>0</v>
      </c>
      <c r="BX36" s="20">
        <f t="shared" si="226"/>
        <v>0</v>
      </c>
      <c r="BY36" s="403">
        <v>0</v>
      </c>
      <c r="BZ36" s="403">
        <v>0</v>
      </c>
      <c r="CA36" s="403">
        <v>0</v>
      </c>
      <c r="CB36" s="403">
        <v>0</v>
      </c>
      <c r="CC36" s="20">
        <f t="shared" si="227"/>
        <v>0</v>
      </c>
      <c r="CD36" s="403">
        <v>0</v>
      </c>
      <c r="CE36" s="403">
        <v>0</v>
      </c>
      <c r="CF36" s="187">
        <v>0</v>
      </c>
      <c r="CG36" s="187">
        <v>0</v>
      </c>
      <c r="CH36" s="20">
        <f t="shared" si="228"/>
        <v>0</v>
      </c>
      <c r="CI36" s="187">
        <v>0</v>
      </c>
      <c r="CJ36" s="187">
        <v>0</v>
      </c>
      <c r="CK36" s="187">
        <v>0</v>
      </c>
      <c r="CL36" s="187">
        <v>0</v>
      </c>
      <c r="CM36" s="20">
        <f t="shared" si="229"/>
        <v>0</v>
      </c>
      <c r="CN36" s="187">
        <v>0</v>
      </c>
      <c r="CO36" s="187">
        <v>0</v>
      </c>
      <c r="CP36" s="187">
        <v>0</v>
      </c>
      <c r="CQ36" s="187">
        <v>0</v>
      </c>
      <c r="CR36" s="20">
        <f t="shared" si="230"/>
        <v>0</v>
      </c>
      <c r="CS36" s="187">
        <v>0</v>
      </c>
      <c r="CT36" s="187">
        <v>0</v>
      </c>
      <c r="CU36" s="187">
        <v>0</v>
      </c>
      <c r="CV36" s="187">
        <v>0</v>
      </c>
      <c r="CW36" s="20">
        <f t="shared" si="231"/>
        <v>0</v>
      </c>
      <c r="CX36" s="187">
        <v>0</v>
      </c>
      <c r="CY36" s="187">
        <v>0</v>
      </c>
      <c r="CZ36" s="187">
        <v>0</v>
      </c>
      <c r="DA36" s="187">
        <v>0</v>
      </c>
      <c r="DB36" s="20">
        <f t="shared" si="232"/>
        <v>0</v>
      </c>
    </row>
    <row r="37" spans="1:106" ht="11.25" customHeight="1" x14ac:dyDescent="0.35">
      <c r="A37" s="16" t="s">
        <v>84</v>
      </c>
      <c r="B37" s="17">
        <f t="shared" ref="B37:E37" si="269">B35+B36</f>
        <v>0</v>
      </c>
      <c r="C37" s="17">
        <f t="shared" si="269"/>
        <v>0</v>
      </c>
      <c r="D37" s="17">
        <f t="shared" si="269"/>
        <v>0</v>
      </c>
      <c r="E37" s="17">
        <f t="shared" si="269"/>
        <v>0</v>
      </c>
      <c r="F37" s="18">
        <f t="shared" si="207"/>
        <v>0</v>
      </c>
      <c r="G37" s="17">
        <f t="shared" ref="G37:J37" si="270">G35+G36</f>
        <v>0</v>
      </c>
      <c r="H37" s="17">
        <f t="shared" si="270"/>
        <v>0</v>
      </c>
      <c r="I37" s="17">
        <f t="shared" si="270"/>
        <v>0</v>
      </c>
      <c r="J37" s="17">
        <f t="shared" si="270"/>
        <v>0</v>
      </c>
      <c r="K37" s="18">
        <f t="shared" si="209"/>
        <v>0</v>
      </c>
      <c r="L37" s="17">
        <f t="shared" ref="L37:O37" si="271">L35+L36</f>
        <v>0</v>
      </c>
      <c r="M37" s="17">
        <f t="shared" si="271"/>
        <v>0</v>
      </c>
      <c r="N37" s="17">
        <f t="shared" si="271"/>
        <v>0</v>
      </c>
      <c r="O37" s="17">
        <f t="shared" si="271"/>
        <v>0</v>
      </c>
      <c r="P37" s="18">
        <f t="shared" si="211"/>
        <v>0</v>
      </c>
      <c r="Q37" s="17">
        <f t="shared" ref="Q37:T37" si="272">Q35+Q36</f>
        <v>0</v>
      </c>
      <c r="R37" s="17">
        <f t="shared" si="272"/>
        <v>0</v>
      </c>
      <c r="S37" s="17">
        <f t="shared" si="272"/>
        <v>0</v>
      </c>
      <c r="T37" s="17">
        <f t="shared" si="272"/>
        <v>0</v>
      </c>
      <c r="U37" s="18">
        <f t="shared" si="213"/>
        <v>0</v>
      </c>
      <c r="V37" s="17">
        <f t="shared" ref="V37:Y37" si="273">V35+V36</f>
        <v>0</v>
      </c>
      <c r="W37" s="17">
        <f t="shared" si="273"/>
        <v>0</v>
      </c>
      <c r="X37" s="17">
        <f t="shared" si="273"/>
        <v>0</v>
      </c>
      <c r="Y37" s="17">
        <f t="shared" si="273"/>
        <v>0</v>
      </c>
      <c r="Z37" s="18">
        <f t="shared" si="215"/>
        <v>0</v>
      </c>
      <c r="AA37" s="17">
        <f t="shared" ref="AA37:AD37" si="274">AA35+AA36</f>
        <v>0</v>
      </c>
      <c r="AB37" s="17">
        <f t="shared" si="274"/>
        <v>0</v>
      </c>
      <c r="AC37" s="17">
        <f t="shared" si="274"/>
        <v>0</v>
      </c>
      <c r="AD37" s="17">
        <f t="shared" si="274"/>
        <v>0</v>
      </c>
      <c r="AE37" s="18">
        <f t="shared" si="217"/>
        <v>0</v>
      </c>
      <c r="AF37" s="17">
        <f>AF35+AF36</f>
        <v>0</v>
      </c>
      <c r="AG37" s="17">
        <f>AG35+AG36</f>
        <v>0</v>
      </c>
      <c r="AH37" s="17">
        <f>AH35+AH36</f>
        <v>0</v>
      </c>
      <c r="AI37" s="17">
        <f>AI35+AI36</f>
        <v>0</v>
      </c>
      <c r="AJ37" s="18">
        <f t="shared" si="218"/>
        <v>0</v>
      </c>
      <c r="AK37" s="17">
        <f>AK35+AK36</f>
        <v>16465.068000000014</v>
      </c>
      <c r="AL37" s="17">
        <f>AL35+AL36</f>
        <v>20086.781999999963</v>
      </c>
      <c r="AM37" s="17">
        <f>AM35+AM36</f>
        <v>49874.739000000031</v>
      </c>
      <c r="AN37" s="17">
        <f>AN35+AN36</f>
        <v>56168.820000000058</v>
      </c>
      <c r="AO37" s="18">
        <f t="shared" si="219"/>
        <v>142595.40900000007</v>
      </c>
      <c r="AP37" s="17">
        <f>AP35+AP36</f>
        <v>23596.92</v>
      </c>
      <c r="AQ37" s="17">
        <f>AQ35+AQ36</f>
        <v>44619.943999999989</v>
      </c>
      <c r="AR37" s="17">
        <f>AR35+AR36</f>
        <v>58830.786000000058</v>
      </c>
      <c r="AS37" s="17">
        <f>AS35+AS36</f>
        <v>67413.998999999982</v>
      </c>
      <c r="AT37" s="18">
        <f t="shared" si="220"/>
        <v>194461.64900000003</v>
      </c>
      <c r="AU37" s="17">
        <f>AU35+AU36</f>
        <v>28257</v>
      </c>
      <c r="AV37" s="17">
        <f>AV35+AV36</f>
        <v>79268</v>
      </c>
      <c r="AW37" s="17">
        <f>AW35+AW36</f>
        <v>45183</v>
      </c>
      <c r="AX37" s="17">
        <f>AX35+AX36</f>
        <v>73387</v>
      </c>
      <c r="AY37" s="18">
        <f t="shared" si="221"/>
        <v>226095</v>
      </c>
      <c r="AZ37" s="17">
        <f>AZ35+AZ36</f>
        <v>23155</v>
      </c>
      <c r="BA37" s="17">
        <f>BA35+BA36</f>
        <v>45884</v>
      </c>
      <c r="BB37" s="17">
        <f>BB35+BB36</f>
        <v>66118</v>
      </c>
      <c r="BC37" s="17">
        <f>BC35+BC36</f>
        <v>81055</v>
      </c>
      <c r="BD37" s="18">
        <f t="shared" si="222"/>
        <v>216212</v>
      </c>
      <c r="BE37" s="17">
        <f>BE35+BE36</f>
        <v>58947</v>
      </c>
      <c r="BF37" s="17">
        <f>BF35+BF36</f>
        <v>85365</v>
      </c>
      <c r="BG37" s="17">
        <f>BG35+BG36</f>
        <v>84976</v>
      </c>
      <c r="BH37" s="17">
        <f>BH35+BH36</f>
        <v>122353</v>
      </c>
      <c r="BI37" s="18">
        <f t="shared" si="223"/>
        <v>351641</v>
      </c>
      <c r="BJ37" s="17">
        <f>BJ35+BJ36</f>
        <v>74988</v>
      </c>
      <c r="BK37" s="17">
        <f>BK35+BK36</f>
        <v>107387</v>
      </c>
      <c r="BL37" s="17">
        <f>BL35+BL36</f>
        <v>110405</v>
      </c>
      <c r="BM37" s="17">
        <f>BM35+BM36</f>
        <v>112224</v>
      </c>
      <c r="BN37" s="18">
        <f t="shared" si="224"/>
        <v>405004</v>
      </c>
      <c r="BO37" s="17">
        <f>BO35+BO36</f>
        <v>109392</v>
      </c>
      <c r="BP37" s="17">
        <f>BP35+BP36</f>
        <v>142265</v>
      </c>
      <c r="BQ37" s="17">
        <f>BQ35+BQ36</f>
        <v>132019</v>
      </c>
      <c r="BR37" s="17">
        <f>BR35+BR36</f>
        <v>184353</v>
      </c>
      <c r="BS37" s="18">
        <f t="shared" si="225"/>
        <v>568029</v>
      </c>
      <c r="BT37" s="17">
        <f>BT35+BT36</f>
        <v>174256</v>
      </c>
      <c r="BU37" s="17">
        <f>BU35+BU36</f>
        <v>196190</v>
      </c>
      <c r="BV37" s="17">
        <f>BV35+BV36</f>
        <v>203590</v>
      </c>
      <c r="BW37" s="17">
        <f>BW35+BW36</f>
        <v>214560</v>
      </c>
      <c r="BX37" s="18">
        <f t="shared" si="226"/>
        <v>788596</v>
      </c>
      <c r="BY37" s="17">
        <f>BY35+BY36</f>
        <v>264667</v>
      </c>
      <c r="BZ37" s="17">
        <f>BZ35+BZ36</f>
        <v>298596</v>
      </c>
      <c r="CA37" s="17">
        <f>CA35+CA36</f>
        <v>319973</v>
      </c>
      <c r="CB37" s="17">
        <f>CB35+CB36</f>
        <v>337010</v>
      </c>
      <c r="CC37" s="18">
        <f t="shared" si="227"/>
        <v>1220246</v>
      </c>
      <c r="CD37" s="17">
        <f>CD35+CD36</f>
        <v>392436</v>
      </c>
      <c r="CE37" s="17">
        <f>CE35+CE36</f>
        <v>356305</v>
      </c>
      <c r="CF37" s="17">
        <f ca="1">CF35+CF36</f>
        <v>391658.24520499329</v>
      </c>
      <c r="CG37" s="17">
        <f ca="1">CG35+CG36</f>
        <v>424120.48408245941</v>
      </c>
      <c r="CH37" s="18">
        <f t="shared" ca="1" si="228"/>
        <v>1564519.7292874528</v>
      </c>
      <c r="CI37" s="17">
        <f ca="1">CI35+CI36</f>
        <v>441745.23899452953</v>
      </c>
      <c r="CJ37" s="17">
        <f ca="1">CJ35+CJ36</f>
        <v>481254.47186562541</v>
      </c>
      <c r="CK37" s="17">
        <f ca="1">CK35+CK36</f>
        <v>517996.28002472461</v>
      </c>
      <c r="CL37" s="17">
        <f ca="1">CL35+CL36</f>
        <v>504784.4689712511</v>
      </c>
      <c r="CM37" s="18">
        <f t="shared" ca="1" si="229"/>
        <v>1945780.4598561306</v>
      </c>
      <c r="CN37" s="17">
        <f ca="1">CN35+CN36</f>
        <v>544537.6166807746</v>
      </c>
      <c r="CO37" s="17">
        <f ca="1">CO35+CO36</f>
        <v>537382.11434783158</v>
      </c>
      <c r="CP37" s="17">
        <f ca="1">CP35+CP36</f>
        <v>559820.10694721784</v>
      </c>
      <c r="CQ37" s="17">
        <f ca="1">CQ35+CQ36</f>
        <v>561727.84859683504</v>
      </c>
      <c r="CR37" s="18">
        <f t="shared" ca="1" si="230"/>
        <v>2203467.6865726588</v>
      </c>
      <c r="CS37" s="17">
        <f ca="1">CS35+CS36</f>
        <v>589577.10983300395</v>
      </c>
      <c r="CT37" s="17">
        <f ca="1">CT35+CT36</f>
        <v>572917.03726755502</v>
      </c>
      <c r="CU37" s="17">
        <f ca="1">CU35+CU36</f>
        <v>590008.09346909495</v>
      </c>
      <c r="CV37" s="17">
        <f ca="1">CV35+CV36</f>
        <v>588635.26046769426</v>
      </c>
      <c r="CW37" s="18">
        <f t="shared" ca="1" si="231"/>
        <v>2341137.5010373481</v>
      </c>
      <c r="CX37" s="17">
        <f ca="1">CX35+CX36</f>
        <v>625214.97163459798</v>
      </c>
      <c r="CY37" s="17">
        <f ca="1">CY35+CY36</f>
        <v>606011.13050288521</v>
      </c>
      <c r="CZ37" s="17">
        <f ca="1">CZ35+CZ36</f>
        <v>621725.20846532099</v>
      </c>
      <c r="DA37" s="17">
        <f ca="1">DA35+DA36</f>
        <v>618523.38330257556</v>
      </c>
      <c r="DB37" s="18">
        <f t="shared" ca="1" si="232"/>
        <v>2471474.6939053796</v>
      </c>
    </row>
    <row r="38" spans="1:106" ht="11.25" customHeight="1" x14ac:dyDescent="0.35">
      <c r="A38" s="16" t="s">
        <v>85</v>
      </c>
      <c r="B38" s="17"/>
      <c r="C38" s="17"/>
      <c r="D38" s="17"/>
      <c r="E38" s="17"/>
      <c r="F38" s="18">
        <f t="shared" si="207"/>
        <v>0</v>
      </c>
      <c r="G38" s="401"/>
      <c r="H38" s="401"/>
      <c r="I38" s="401"/>
      <c r="J38" s="401"/>
      <c r="K38" s="18">
        <f t="shared" si="209"/>
        <v>0</v>
      </c>
      <c r="L38" s="401"/>
      <c r="M38" s="401"/>
      <c r="N38" s="401"/>
      <c r="O38" s="401"/>
      <c r="P38" s="18">
        <f t="shared" si="211"/>
        <v>0</v>
      </c>
      <c r="Q38" s="401"/>
      <c r="R38" s="401"/>
      <c r="S38" s="401"/>
      <c r="T38" s="401"/>
      <c r="U38" s="18">
        <f t="shared" si="213"/>
        <v>0</v>
      </c>
      <c r="V38" s="401"/>
      <c r="W38" s="401"/>
      <c r="X38" s="401"/>
      <c r="Y38" s="401"/>
      <c r="Z38" s="18">
        <f t="shared" si="215"/>
        <v>0</v>
      </c>
      <c r="AA38" s="401"/>
      <c r="AB38" s="401"/>
      <c r="AC38" s="401"/>
      <c r="AD38" s="401"/>
      <c r="AE38" s="18">
        <f t="shared" si="217"/>
        <v>0</v>
      </c>
      <c r="AF38" s="401"/>
      <c r="AG38" s="401"/>
      <c r="AH38" s="401"/>
      <c r="AI38" s="401"/>
      <c r="AJ38" s="18">
        <f t="shared" si="218"/>
        <v>0</v>
      </c>
      <c r="AK38" s="401">
        <v>-2531.3939999999998</v>
      </c>
      <c r="AL38" s="401">
        <v>-1974.1320000000001</v>
      </c>
      <c r="AM38" s="401">
        <v>-3848.1929999999993</v>
      </c>
      <c r="AN38" s="401">
        <v>-5466.1830000000009</v>
      </c>
      <c r="AO38" s="18">
        <f t="shared" si="219"/>
        <v>-13819.902</v>
      </c>
      <c r="AP38" s="401">
        <v>-2836.9920000000002</v>
      </c>
      <c r="AQ38" s="401">
        <v>-4774.8620000000001</v>
      </c>
      <c r="AR38" s="401">
        <v>-5401.951</v>
      </c>
      <c r="AS38" s="401">
        <v>-5436.5540000000001</v>
      </c>
      <c r="AT38" s="18">
        <f t="shared" si="220"/>
        <v>-18450.359</v>
      </c>
      <c r="AU38" s="401">
        <v>-4567</v>
      </c>
      <c r="AV38" s="401">
        <v>-5053</v>
      </c>
      <c r="AW38" s="401">
        <v>-5661</v>
      </c>
      <c r="AX38" s="401">
        <f>-21283-SUM(AU38:AW38)</f>
        <v>-6002</v>
      </c>
      <c r="AY38" s="18">
        <f t="shared" ref="AY38" si="275">SUM(AU38:AX38)</f>
        <v>-21283</v>
      </c>
      <c r="AZ38" s="401">
        <v>-7071</v>
      </c>
      <c r="BA38" s="401">
        <v>-5058</v>
      </c>
      <c r="BB38" s="401">
        <v>-5901</v>
      </c>
      <c r="BC38" s="401">
        <f>-24650-SUM(AZ38:BB38)</f>
        <v>-6620</v>
      </c>
      <c r="BD38" s="18">
        <f t="shared" ref="BD38" si="276">SUM(AZ38:BC38)</f>
        <v>-24650</v>
      </c>
      <c r="BE38" s="401">
        <v>-5387</v>
      </c>
      <c r="BF38" s="401">
        <v>-6221</v>
      </c>
      <c r="BG38" s="401">
        <v>-9486</v>
      </c>
      <c r="BH38" s="401">
        <f>-31893-SUM(BE38:BG38)</f>
        <v>-10799</v>
      </c>
      <c r="BI38" s="18">
        <f t="shared" ref="BI38" si="277">SUM(BE38:BH38)</f>
        <v>-31893</v>
      </c>
      <c r="BJ38" s="401">
        <v>-9507</v>
      </c>
      <c r="BK38" s="401">
        <v>-12324</v>
      </c>
      <c r="BL38" s="401">
        <v>-13899</v>
      </c>
      <c r="BM38" s="401">
        <f>-50756-SUM(BJ38:BL38)</f>
        <v>-15026</v>
      </c>
      <c r="BN38" s="18">
        <f t="shared" ref="BN38" si="278">SUM(BJ38:BM38)</f>
        <v>-50756</v>
      </c>
      <c r="BO38" s="401">
        <v>-13709</v>
      </c>
      <c r="BP38" s="401">
        <v>-15906</v>
      </c>
      <c r="BQ38" s="401">
        <v>-18328</v>
      </c>
      <c r="BR38" s="401">
        <f>-67835-SUM(BO38:BQ38)</f>
        <v>-19892</v>
      </c>
      <c r="BS38" s="18">
        <f t="shared" ref="BS38" si="279">SUM(BO38:BR38)</f>
        <v>-67835</v>
      </c>
      <c r="BT38" s="401">
        <v>-17229</v>
      </c>
      <c r="BU38" s="401">
        <v>-19957</v>
      </c>
      <c r="BV38" s="401">
        <v>-21440</v>
      </c>
      <c r="BW38" s="401">
        <f>-86551-SUM(BT38:BV38)</f>
        <v>-27925</v>
      </c>
      <c r="BX38" s="18">
        <f t="shared" ref="BX38" si="280">SUM(BT38:BW38)</f>
        <v>-86551</v>
      </c>
      <c r="BY38" s="401">
        <v>-22310</v>
      </c>
      <c r="BZ38" s="401">
        <v>-28545</v>
      </c>
      <c r="CA38" s="401">
        <v>-37023</v>
      </c>
      <c r="CB38" s="401">
        <f>-127835-SUM(BY38:CA38)</f>
        <v>-39957</v>
      </c>
      <c r="CC38" s="18">
        <f t="shared" si="227"/>
        <v>-127835</v>
      </c>
      <c r="CD38" s="401">
        <v>-37247</v>
      </c>
      <c r="CE38" s="401">
        <v>-42103</v>
      </c>
      <c r="CF38" s="46">
        <f>-CF39*(CF4+'BS &amp; FCF'!CF96)</f>
        <v>-47760.410380576075</v>
      </c>
      <c r="CG38" s="46">
        <f>-CG39*(CG4+'BS &amp; FCF'!CG96)</f>
        <v>-47677.753762798573</v>
      </c>
      <c r="CH38" s="18">
        <f t="shared" si="228"/>
        <v>-174788.16414337466</v>
      </c>
      <c r="CI38" s="46">
        <f>-CI39*(CI4+'BS &amp; FCF'!CI96)</f>
        <v>-47800.435936111979</v>
      </c>
      <c r="CJ38" s="46">
        <f>-CJ39*(CJ4+'BS &amp; FCF'!CJ96)</f>
        <v>-54202.698845447798</v>
      </c>
      <c r="CK38" s="46">
        <f>-CK39*(CK4+'BS &amp; FCF'!CK96)</f>
        <v>-55289.111383987991</v>
      </c>
      <c r="CL38" s="46">
        <f>-CL39*(CL4+'BS &amp; FCF'!CL96)</f>
        <v>-53841.637832982306</v>
      </c>
      <c r="CM38" s="18">
        <f t="shared" si="229"/>
        <v>-211133.8839985301</v>
      </c>
      <c r="CN38" s="46">
        <f>-CN39*(CN4+'BS &amp; FCF'!CN96)</f>
        <v>-40164.308383449425</v>
      </c>
      <c r="CO38" s="46">
        <f>-CO39*(CO4+'BS &amp; FCF'!CO96)</f>
        <v>-44226.788167636456</v>
      </c>
      <c r="CP38" s="46">
        <f>-CP39*(CP4+'BS &amp; FCF'!CP96)</f>
        <v>-44686.365218726249</v>
      </c>
      <c r="CQ38" s="46">
        <f>-CQ39*(CQ4+'BS &amp; FCF'!CQ96)</f>
        <v>-43175.701787136291</v>
      </c>
      <c r="CR38" s="18">
        <f t="shared" si="230"/>
        <v>-172253.16355694842</v>
      </c>
      <c r="CS38" s="46">
        <f>-CS39*(CS4+'BS &amp; FCF'!CS96)</f>
        <v>-44943.212155440655</v>
      </c>
      <c r="CT38" s="46">
        <f>-CT39*(CT4+'BS &amp; FCF'!CT96)</f>
        <v>-48109.850472465114</v>
      </c>
      <c r="CU38" s="46">
        <f>-CU39*(CU4+'BS &amp; FCF'!CU96)</f>
        <v>-48367.132518369501</v>
      </c>
      <c r="CV38" s="46">
        <f>-CV39*(CV4+'BS &amp; FCF'!CV96)</f>
        <v>-47101.297369680891</v>
      </c>
      <c r="CW38" s="18">
        <f t="shared" si="231"/>
        <v>-188521.49251595617</v>
      </c>
      <c r="CX38" s="46">
        <f>-CX39*(CX4+'BS &amp; FCF'!CX96)</f>
        <v>-48580.156216680771</v>
      </c>
      <c r="CY38" s="46">
        <f>-CY39*(CY4+'BS &amp; FCF'!CY96)</f>
        <v>-51588.538466065096</v>
      </c>
      <c r="CZ38" s="46">
        <f>-CZ39*(CZ4+'BS &amp; FCF'!CZ96)</f>
        <v>-51632.560289198111</v>
      </c>
      <c r="DA38" s="46">
        <f>-DA39*(DA4+'BS &amp; FCF'!DA96)</f>
        <v>-50136.104009075192</v>
      </c>
      <c r="DB38" s="18">
        <f t="shared" si="232"/>
        <v>-201937.35898101918</v>
      </c>
    </row>
    <row r="39" spans="1:106" ht="11.25" customHeight="1" outlineLevel="1" x14ac:dyDescent="0.35">
      <c r="A39" s="150" t="s">
        <v>93</v>
      </c>
      <c r="B39" s="431" t="e">
        <f>-B38/(B4+'BS &amp; FCF'!B96)</f>
        <v>#VALUE!</v>
      </c>
      <c r="C39" s="431" t="e">
        <f>-C38/(C4+'BS &amp; FCF'!C96)</f>
        <v>#DIV/0!</v>
      </c>
      <c r="D39" s="431" t="e">
        <f>-D38/(D4+'BS &amp; FCF'!D96)</f>
        <v>#DIV/0!</v>
      </c>
      <c r="E39" s="431" t="e">
        <f>-E38/(E4+'BS &amp; FCF'!E96)</f>
        <v>#DIV/0!</v>
      </c>
      <c r="F39" s="425" t="e">
        <f>-F38/(F4+'BS &amp; FCF'!F96)</f>
        <v>#VALUE!</v>
      </c>
      <c r="G39" s="431" t="e">
        <f>-G38/(G4+'BS &amp; FCF'!G96)</f>
        <v>#DIV/0!</v>
      </c>
      <c r="H39" s="431" t="e">
        <f>-H38/(H4+'BS &amp; FCF'!H96)</f>
        <v>#DIV/0!</v>
      </c>
      <c r="I39" s="431" t="e">
        <f>-I38/(I4+'BS &amp; FCF'!I96)</f>
        <v>#DIV/0!</v>
      </c>
      <c r="J39" s="431" t="e">
        <f>-J38/(J4+'BS &amp; FCF'!J96)</f>
        <v>#DIV/0!</v>
      </c>
      <c r="K39" s="425" t="e">
        <f>-K38/(K4+'BS &amp; FCF'!K96)</f>
        <v>#DIV/0!</v>
      </c>
      <c r="L39" s="431" t="e">
        <f>-L38/(L4+'BS &amp; FCF'!L96)</f>
        <v>#DIV/0!</v>
      </c>
      <c r="M39" s="431" t="e">
        <f>-M38/(M4+'BS &amp; FCF'!M96)</f>
        <v>#DIV/0!</v>
      </c>
      <c r="N39" s="431" t="e">
        <f>-N38/(N4+'BS &amp; FCF'!N96)</f>
        <v>#DIV/0!</v>
      </c>
      <c r="O39" s="431" t="e">
        <f>-O38/(O4+'BS &amp; FCF'!O96)</f>
        <v>#DIV/0!</v>
      </c>
      <c r="P39" s="425" t="e">
        <f>-P38/(P4+'BS &amp; FCF'!P96)</f>
        <v>#DIV/0!</v>
      </c>
      <c r="Q39" s="431" t="e">
        <f>-Q38/(Q4+'BS &amp; FCF'!Q96)</f>
        <v>#DIV/0!</v>
      </c>
      <c r="R39" s="431" t="e">
        <f>-R38/(R4+'BS &amp; FCF'!R96)</f>
        <v>#DIV/0!</v>
      </c>
      <c r="S39" s="431" t="e">
        <f>-S38/(S4+'BS &amp; FCF'!S96)</f>
        <v>#DIV/0!</v>
      </c>
      <c r="T39" s="431" t="e">
        <f>-T38/(T4+'BS &amp; FCF'!T96)</f>
        <v>#DIV/0!</v>
      </c>
      <c r="U39" s="425" t="e">
        <f>-U38/(U4+'BS &amp; FCF'!U96)</f>
        <v>#DIV/0!</v>
      </c>
      <c r="V39" s="431" t="e">
        <f>-V38/(V4+'BS &amp; FCF'!V96)</f>
        <v>#DIV/0!</v>
      </c>
      <c r="W39" s="431" t="e">
        <f>-W38/(W4+'BS &amp; FCF'!W96)</f>
        <v>#DIV/0!</v>
      </c>
      <c r="X39" s="431" t="e">
        <f>-X38/(X4+'BS &amp; FCF'!X96)</f>
        <v>#DIV/0!</v>
      </c>
      <c r="Y39" s="431" t="e">
        <f>-Y38/(Y4+'BS &amp; FCF'!Y96)</f>
        <v>#DIV/0!</v>
      </c>
      <c r="Z39" s="425" t="e">
        <f>-Z38/(Z4+'BS &amp; FCF'!Z96)</f>
        <v>#DIV/0!</v>
      </c>
      <c r="AA39" s="431" t="e">
        <f>-AA38/(AA4+'BS &amp; FCF'!AA96)</f>
        <v>#DIV/0!</v>
      </c>
      <c r="AB39" s="431" t="e">
        <f>-AB38/(AB4+'BS &amp; FCF'!AB96)</f>
        <v>#DIV/0!</v>
      </c>
      <c r="AC39" s="431" t="e">
        <f>-AC38/(AC4+'BS &amp; FCF'!AC96)</f>
        <v>#DIV/0!</v>
      </c>
      <c r="AD39" s="431" t="e">
        <f>-AD38/(AD4+'BS &amp; FCF'!AD96)</f>
        <v>#DIV/0!</v>
      </c>
      <c r="AE39" s="425" t="e">
        <f>-AE38/(AE4+'BS &amp; FCF'!AE96)</f>
        <v>#DIV/0!</v>
      </c>
      <c r="AF39" s="431" t="e">
        <f>-AF38/(AF4+'BS &amp; FCF'!AF96)</f>
        <v>#DIV/0!</v>
      </c>
      <c r="AG39" s="431" t="e">
        <f>-AG38/(AG4+'BS &amp; FCF'!AG96)</f>
        <v>#DIV/0!</v>
      </c>
      <c r="AH39" s="431" t="e">
        <f>-AH38/(AH4+'BS &amp; FCF'!AH96)</f>
        <v>#DIV/0!</v>
      </c>
      <c r="AI39" s="431" t="e">
        <f>-AI38/(AI4+'BS &amp; FCF'!AI96)</f>
        <v>#DIV/0!</v>
      </c>
      <c r="AJ39" s="425" t="e">
        <f>-AJ38/(AJ4+'BS &amp; FCF'!AJ96)</f>
        <v>#DIV/0!</v>
      </c>
      <c r="AK39" s="431">
        <f>-AK38/(AK4+'BS &amp; FCF'!AK96)</f>
        <v>-3.9986873307605803E-3</v>
      </c>
      <c r="AL39" s="431">
        <f>-AL38/(AL4+'BS &amp; FCF'!AL96)</f>
        <v>1.0395665258691072E-2</v>
      </c>
      <c r="AM39" s="431">
        <f>-AM38/(AM4+'BS &amp; FCF'!AM96)</f>
        <v>2.354542561461799E-2</v>
      </c>
      <c r="AN39" s="431">
        <f>-AN38/(AN4+'BS &amp; FCF'!AN96)</f>
        <v>1.5793411900557709E-2</v>
      </c>
      <c r="AO39" s="425">
        <f>-AO38/(AO4+'BS &amp; FCF'!AO96)</f>
        <v>0.20817645104050903</v>
      </c>
      <c r="AP39" s="431">
        <f>-AP38/(AP4+'BS &amp; FCF'!AP96)</f>
        <v>1.2018841653944829E-2</v>
      </c>
      <c r="AQ39" s="431">
        <f>-AQ38/(AQ4+'BS &amp; FCF'!AQ96)</f>
        <v>3.0317795745813229E-2</v>
      </c>
      <c r="AR39" s="431">
        <f>-AR38/(AR4+'BS &amp; FCF'!AR96)</f>
        <v>1.8366554360043492E-2</v>
      </c>
      <c r="AS39" s="431">
        <f>-AS38/(AS4+'BS &amp; FCF'!AS96)</f>
        <v>1.1808933641981174E-2</v>
      </c>
      <c r="AT39" s="425">
        <f>-AT38/(AT4+'BS &amp; FCF'!AT96)</f>
        <v>1.6071260210036381E-2</v>
      </c>
      <c r="AU39" s="431">
        <f>-AU38/(AU4+'BS &amp; FCF'!AU96)</f>
        <v>2.2099634656795143E-2</v>
      </c>
      <c r="AV39" s="431">
        <f>-AV38/(AV4+'BS &amp; FCF'!AV96)</f>
        <v>2.2504988242000999E-2</v>
      </c>
      <c r="AW39" s="431">
        <f>-AW38/(AW4+'BS &amp; FCF'!AW96)</f>
        <v>3.2314410480349345E-2</v>
      </c>
      <c r="AX39" s="431">
        <f>-AX38/(AX4+'BS &amp; FCF'!AX96)</f>
        <v>1.790845265836986E-2</v>
      </c>
      <c r="AY39" s="425">
        <f>-AY38/(AY4+'BS &amp; FCF'!AY96)</f>
        <v>2.2605008725280585E-2</v>
      </c>
      <c r="AZ39" s="431">
        <f>-AZ38/(AZ4+'BS &amp; FCF'!AZ96)</f>
        <v>2.4639433547402424E-2</v>
      </c>
      <c r="BA39" s="431">
        <f>-BA38/(BA4+'BS &amp; FCF'!BA96)</f>
        <v>2.9366853427003802E-2</v>
      </c>
      <c r="BB39" s="431">
        <f>-BB38/(BB4+'BS &amp; FCF'!BB96)</f>
        <v>3.120175123199594E-2</v>
      </c>
      <c r="BC39" s="431">
        <f>-BC38/(BC4+'BS &amp; FCF'!BC96)</f>
        <v>1.7206156789154402E-2</v>
      </c>
      <c r="BD39" s="425">
        <f>-BD38/(BD4+'BS &amp; FCF'!BD96)</f>
        <v>2.386059604059302E-2</v>
      </c>
      <c r="BE39" s="431">
        <f>-BE38/(BE4+'BS &amp; FCF'!BE96)</f>
        <v>2.5863600355282425E-2</v>
      </c>
      <c r="BF39" s="431">
        <f>-BF38/(BF4+'BS &amp; FCF'!BF96)</f>
        <v>1.7725515225251665E-2</v>
      </c>
      <c r="BG39" s="431">
        <f>-BG38/(BG4+'BS &amp; FCF'!BG96)</f>
        <v>2.3162685758098149E-2</v>
      </c>
      <c r="BH39" s="431">
        <f>-BH38/(BH4+'BS &amp; FCF'!BH96)</f>
        <v>3.2621336934095774E-2</v>
      </c>
      <c r="BI39" s="425">
        <f>-BI38/(BI4+'BS &amp; FCF'!BI96)</f>
        <v>2.4536342143993008E-2</v>
      </c>
      <c r="BJ39" s="431">
        <f>-BJ38/(BJ4+'BS &amp; FCF'!BJ96)</f>
        <v>9.0322641939651893E-2</v>
      </c>
      <c r="BK39" s="431">
        <f>-BK38/(BK4+'BS &amp; FCF'!BK96)</f>
        <v>1.7855849225000508E-2</v>
      </c>
      <c r="BL39" s="431">
        <f>-BL38/(BL4+'BS &amp; FCF'!BL96)</f>
        <v>1.7427601287979856E-2</v>
      </c>
      <c r="BM39" s="431">
        <f>-BM38/(BM4+'BS &amp; FCF'!BM96)</f>
        <v>1.8462634851202909E-2</v>
      </c>
      <c r="BN39" s="425">
        <f>-BN38/(BN4+'BS &amp; FCF'!BN96)</f>
        <v>2.1088249396095625E-2</v>
      </c>
      <c r="BO39" s="431">
        <f>-BO38/(BO4+'BS &amp; FCF'!BO96)</f>
        <v>1.8625118708129485E-2</v>
      </c>
      <c r="BP39" s="431">
        <f>-BP38/(BP4+'BS &amp; FCF'!BP96)</f>
        <v>2.2456617897243961E-2</v>
      </c>
      <c r="BQ39" s="431">
        <f>-BQ38/(BQ4+'BS &amp; FCF'!BQ96)</f>
        <v>2.3696333196716542E-2</v>
      </c>
      <c r="BR39" s="431">
        <f>-BR38/(BR4+'BS &amp; FCF'!BR96)</f>
        <v>2.4298095069411788E-2</v>
      </c>
      <c r="BS39" s="425">
        <f>-BS38/(BS4+'BS &amp; FCF'!BS96)</f>
        <v>2.2340115120669884E-2</v>
      </c>
      <c r="BT39" s="431">
        <f>-BT38/(BT4+'BS &amp; FCF'!BT96)</f>
        <v>2.6084073409051684E-2</v>
      </c>
      <c r="BU39" s="431">
        <f>-BU38/(BU4+'BS &amp; FCF'!BU96)</f>
        <v>2.1602412559859369E-2</v>
      </c>
      <c r="BV39" s="431">
        <f>-BV38/(BV4+'BS &amp; FCF'!BV96)</f>
        <v>2.1368032466652316E-2</v>
      </c>
      <c r="BW39" s="431">
        <f>-BW38/(BW4+'BS &amp; FCF'!BW96)</f>
        <v>2.6013792666579102E-2</v>
      </c>
      <c r="BX39" s="425">
        <f>-BX38/(BX4+'BS &amp; FCF'!BX96)</f>
        <v>2.3640147307416967E-2</v>
      </c>
      <c r="BY39" s="431">
        <f>-BY38/(BY4+'BS &amp; FCF'!BY96)</f>
        <v>2.8422699430272022E-2</v>
      </c>
      <c r="BZ39" s="431">
        <f>-BZ38/(BZ4+'BS &amp; FCF'!BZ96)</f>
        <v>2.5072728039294223E-2</v>
      </c>
      <c r="CA39" s="431">
        <f>-CA38/(CA4+'BS &amp; FCF'!CA96)</f>
        <v>2.6743959258857947E-2</v>
      </c>
      <c r="CB39" s="431">
        <f>-CB38/(CB4+'BS &amp; FCF'!CB96)</f>
        <v>2.6733259514737515E-2</v>
      </c>
      <c r="CC39" s="425">
        <f>-CC38/(CC4+'BS &amp; FCF'!CC96)</f>
        <v>2.6618821433903553E-2</v>
      </c>
      <c r="CD39" s="431">
        <f>-CD38/(CD4+'BS &amp; FCF'!CD96)</f>
        <v>2.9725379218650368E-2</v>
      </c>
      <c r="CE39" s="431">
        <f>-CE38/(CE4+'BS &amp; FCF'!CE96)</f>
        <v>2.7114350003928402E-2</v>
      </c>
      <c r="CF39" s="400">
        <f t="shared" ref="CF39:CG41" si="281">CE39</f>
        <v>2.7114350003928402E-2</v>
      </c>
      <c r="CG39" s="400">
        <f t="shared" si="281"/>
        <v>2.7114350003928402E-2</v>
      </c>
      <c r="CH39" s="425">
        <f>-CH38/(CH4+'BS &amp; FCF'!CH96)</f>
        <v>2.7631562548931538E-2</v>
      </c>
      <c r="CI39" s="400">
        <f>CG39</f>
        <v>2.7114350003928402E-2</v>
      </c>
      <c r="CJ39" s="400">
        <f>CI39</f>
        <v>2.7114350003928402E-2</v>
      </c>
      <c r="CK39" s="400">
        <f t="shared" ref="CK39:CL39" si="282">CJ39</f>
        <v>2.7114350003928402E-2</v>
      </c>
      <c r="CL39" s="400">
        <f t="shared" si="282"/>
        <v>2.7114350003928402E-2</v>
      </c>
      <c r="CM39" s="425">
        <f>-CM38/(CM4+'BS &amp; FCF'!CM96)</f>
        <v>2.7114350003928405E-2</v>
      </c>
      <c r="CN39" s="180">
        <v>1.9199999999999998E-2</v>
      </c>
      <c r="CO39" s="180">
        <v>1.9199999999999998E-2</v>
      </c>
      <c r="CP39" s="180">
        <v>1.9199999999999998E-2</v>
      </c>
      <c r="CQ39" s="180">
        <v>1.9199999999999998E-2</v>
      </c>
      <c r="CR39" s="425">
        <f>-CR38/(CR4+'BS &amp; FCF'!CR96)</f>
        <v>1.9199999999999995E-2</v>
      </c>
      <c r="CS39" s="180">
        <v>1.9199999999999998E-2</v>
      </c>
      <c r="CT39" s="180">
        <v>1.9199999999999998E-2</v>
      </c>
      <c r="CU39" s="180">
        <v>1.9199999999999998E-2</v>
      </c>
      <c r="CV39" s="180">
        <v>1.9199999999999998E-2</v>
      </c>
      <c r="CW39" s="425">
        <f>-CW38/(CW4+'BS &amp; FCF'!CW96)</f>
        <v>1.9199999999999998E-2</v>
      </c>
      <c r="CX39" s="180">
        <v>1.9199999999999998E-2</v>
      </c>
      <c r="CY39" s="180">
        <v>1.9199999999999998E-2</v>
      </c>
      <c r="CZ39" s="180">
        <v>1.9199999999999998E-2</v>
      </c>
      <c r="DA39" s="180">
        <v>1.9199999999999998E-2</v>
      </c>
      <c r="DB39" s="425">
        <f>-DB38/(DB4+'BS &amp; FCF'!DB96)</f>
        <v>1.9199999999999998E-2</v>
      </c>
    </row>
    <row r="40" spans="1:106" ht="11.25" customHeight="1" x14ac:dyDescent="0.35">
      <c r="A40" s="16" t="s">
        <v>86</v>
      </c>
      <c r="B40" s="17"/>
      <c r="C40" s="17"/>
      <c r="D40" s="17"/>
      <c r="E40" s="17"/>
      <c r="F40" s="18">
        <f t="shared" ref="F40" si="283">SUM(B40:E40)</f>
        <v>0</v>
      </c>
      <c r="G40" s="401"/>
      <c r="H40" s="401"/>
      <c r="I40" s="401"/>
      <c r="J40" s="401"/>
      <c r="K40" s="18">
        <f t="shared" ref="K40" si="284">SUM(G40:J40)</f>
        <v>0</v>
      </c>
      <c r="L40" s="401"/>
      <c r="M40" s="401"/>
      <c r="N40" s="401"/>
      <c r="O40" s="401"/>
      <c r="P40" s="18">
        <f t="shared" ref="P40" si="285">SUM(L40:O40)</f>
        <v>0</v>
      </c>
      <c r="Q40" s="401"/>
      <c r="R40" s="401"/>
      <c r="S40" s="401"/>
      <c r="T40" s="401"/>
      <c r="U40" s="18">
        <f t="shared" ref="U40" si="286">SUM(Q40:T40)</f>
        <v>0</v>
      </c>
      <c r="V40" s="401"/>
      <c r="W40" s="401"/>
      <c r="X40" s="401"/>
      <c r="Y40" s="401"/>
      <c r="Z40" s="18">
        <f t="shared" ref="Z40" si="287">SUM(V40:Y40)</f>
        <v>0</v>
      </c>
      <c r="AA40" s="401"/>
      <c r="AB40" s="401"/>
      <c r="AC40" s="401"/>
      <c r="AD40" s="401"/>
      <c r="AE40" s="18">
        <f t="shared" ref="AE40" si="288">SUM(AA40:AD40)</f>
        <v>0</v>
      </c>
      <c r="AF40" s="401"/>
      <c r="AG40" s="401"/>
      <c r="AH40" s="401"/>
      <c r="AI40" s="401"/>
      <c r="AJ40" s="18">
        <f>SUM(AF40:AI40)</f>
        <v>0</v>
      </c>
      <c r="AK40" s="401">
        <v>0</v>
      </c>
      <c r="AL40" s="401">
        <v>0</v>
      </c>
      <c r="AM40" s="401">
        <v>0</v>
      </c>
      <c r="AN40" s="401">
        <v>0</v>
      </c>
      <c r="AO40" s="18">
        <f>SUM(AK40:AN40)</f>
        <v>0</v>
      </c>
      <c r="AP40" s="401">
        <v>0</v>
      </c>
      <c r="AQ40" s="401">
        <v>0</v>
      </c>
      <c r="AR40" s="401">
        <v>0</v>
      </c>
      <c r="AS40" s="401">
        <v>0</v>
      </c>
      <c r="AT40" s="18">
        <f>SUM(AP40:AS40)</f>
        <v>0</v>
      </c>
      <c r="AU40" s="401">
        <v>-184</v>
      </c>
      <c r="AV40" s="401">
        <v>-481</v>
      </c>
      <c r="AW40" s="401">
        <v>782</v>
      </c>
      <c r="AX40" s="401">
        <f>-756-SUM(AU40:AW40)</f>
        <v>-873</v>
      </c>
      <c r="AY40" s="18">
        <f t="shared" ref="AY40" si="289">SUM(AU40:AX40)</f>
        <v>-756</v>
      </c>
      <c r="AZ40" s="401">
        <v>-666</v>
      </c>
      <c r="BA40" s="401">
        <v>186</v>
      </c>
      <c r="BB40" s="401">
        <v>-1002</v>
      </c>
      <c r="BC40" s="401">
        <f>-1564-SUM(AZ40:BB40)</f>
        <v>-82</v>
      </c>
      <c r="BD40" s="18">
        <f t="shared" ref="BD40" si="290">SUM(AZ40:BC40)</f>
        <v>-1564</v>
      </c>
      <c r="BE40" s="401">
        <v>-1492</v>
      </c>
      <c r="BF40" s="401">
        <v>-2193</v>
      </c>
      <c r="BG40" s="401">
        <v>-843</v>
      </c>
      <c r="BH40" s="401">
        <f>-4439-SUM(BE40:BG40)</f>
        <v>89</v>
      </c>
      <c r="BI40" s="18">
        <f t="shared" ref="BI40" si="291">SUM(BE40:BH40)</f>
        <v>-4439</v>
      </c>
      <c r="BJ40" s="401">
        <v>-2130</v>
      </c>
      <c r="BK40" s="401">
        <v>-2124</v>
      </c>
      <c r="BL40" s="401">
        <v>-1635</v>
      </c>
      <c r="BM40" s="401">
        <f>-5808-SUM(BJ40:BL40)</f>
        <v>81</v>
      </c>
      <c r="BN40" s="18">
        <f t="shared" ref="BN40" si="292">SUM(BJ40:BM40)</f>
        <v>-5808</v>
      </c>
      <c r="BO40" s="401">
        <v>-1627</v>
      </c>
      <c r="BP40" s="401">
        <v>-2289</v>
      </c>
      <c r="BQ40" s="401">
        <v>-800</v>
      </c>
      <c r="BR40" s="401">
        <f>-4583-SUM(BO40:BQ40)</f>
        <v>133</v>
      </c>
      <c r="BS40" s="18">
        <f t="shared" ref="BS40" si="293">SUM(BO40:BR40)</f>
        <v>-4583</v>
      </c>
      <c r="BT40" s="401">
        <v>-2957</v>
      </c>
      <c r="BU40" s="401">
        <v>-951</v>
      </c>
      <c r="BV40" s="401">
        <v>-1562</v>
      </c>
      <c r="BW40" s="401">
        <f>-3233-SUM(BT40:BV40)</f>
        <v>2237</v>
      </c>
      <c r="BX40" s="18">
        <f t="shared" ref="BX40" si="294">SUM(BT40:BW40)</f>
        <v>-3233</v>
      </c>
      <c r="BY40" s="401">
        <v>-8693</v>
      </c>
      <c r="BZ40" s="401">
        <v>-2894</v>
      </c>
      <c r="CA40" s="401">
        <v>260</v>
      </c>
      <c r="CB40" s="401">
        <f>-11191-SUM(BY40:CA40)</f>
        <v>136</v>
      </c>
      <c r="CC40" s="18">
        <f>SUM(BY40:CB40)</f>
        <v>-11191</v>
      </c>
      <c r="CD40" s="401">
        <v>-4003</v>
      </c>
      <c r="CE40" s="401">
        <v>-3011</v>
      </c>
      <c r="CF40" s="46">
        <f>-CF41*CF9-CF38</f>
        <v>1030.36475545133</v>
      </c>
      <c r="CG40" s="46">
        <f>-CG41*CG9-CG38</f>
        <v>179.58622779728466</v>
      </c>
      <c r="CH40" s="18">
        <f>SUM(CD40:CG40)</f>
        <v>-5804.0490167513854</v>
      </c>
      <c r="CI40" s="46">
        <f>-CI41*CI9-CI38</f>
        <v>-2435.5612869444376</v>
      </c>
      <c r="CJ40" s="46">
        <f>-CJ41*CJ9-CJ38</f>
        <v>-2963.4916189256764</v>
      </c>
      <c r="CK40" s="46">
        <f>-CK41*CK9-CK38</f>
        <v>-2530.0491880915288</v>
      </c>
      <c r="CL40" s="46">
        <f>-CL41*CL9-CL38</f>
        <v>-1084.9153513811107</v>
      </c>
      <c r="CM40" s="18">
        <f>SUM(CI40:CL40)</f>
        <v>-9014.0174453427535</v>
      </c>
      <c r="CN40" s="46">
        <f>-CN41*CN9-CN38</f>
        <v>-1369.2893507662375</v>
      </c>
      <c r="CO40" s="46">
        <f>-CO41*CO9-CO38</f>
        <v>-586.67508776493196</v>
      </c>
      <c r="CP40" s="46">
        <f>-CP41*CP9-CP38</f>
        <v>-563.41190649202326</v>
      </c>
      <c r="CQ40" s="46">
        <f>-CQ41*CQ9-CQ38</f>
        <v>-1011.6367164930343</v>
      </c>
      <c r="CR40" s="18">
        <f>SUM(CN40:CQ40)</f>
        <v>-3531.013061516227</v>
      </c>
      <c r="CS40" s="46">
        <f>-CS41*CS9-CS38</f>
        <v>-778.69188215704344</v>
      </c>
      <c r="CT40" s="46">
        <f>-CT41*CT9-CT38</f>
        <v>-588.82435162071488</v>
      </c>
      <c r="CU40" s="46">
        <f>-CU41*CU9-CU38</f>
        <v>-455.80870984191279</v>
      </c>
      <c r="CV40" s="46">
        <f>-CV41*CV9-CV38</f>
        <v>-359.53948551102076</v>
      </c>
      <c r="CW40" s="18">
        <f>SUM(CS40:CV40)</f>
        <v>-2182.8644291306919</v>
      </c>
      <c r="CX40" s="46">
        <f>-CX41*CX9-CX38</f>
        <v>-268.91082477593591</v>
      </c>
      <c r="CY40" s="46">
        <f>-CY41*CY9-CY38</f>
        <v>-184.89824314288126</v>
      </c>
      <c r="CZ40" s="46">
        <f>-CZ41*CZ9-CZ38</f>
        <v>-127.78848169175762</v>
      </c>
      <c r="DA40" s="46">
        <f>-DA41*DA9-DA38</f>
        <v>-87.442931480196421</v>
      </c>
      <c r="DB40" s="18">
        <f>SUM(CX40:DA40)</f>
        <v>-669.04048109077121</v>
      </c>
    </row>
    <row r="41" spans="1:106" ht="11.25" customHeight="1" outlineLevel="1" x14ac:dyDescent="0.35">
      <c r="A41" s="150" t="s">
        <v>92</v>
      </c>
      <c r="B41" s="400" t="e">
        <f t="shared" ref="B41:AE41" si="295">-(B38+B40)/B9</f>
        <v>#DIV/0!</v>
      </c>
      <c r="C41" s="400" t="e">
        <f t="shared" si="295"/>
        <v>#DIV/0!</v>
      </c>
      <c r="D41" s="400" t="e">
        <f t="shared" si="295"/>
        <v>#DIV/0!</v>
      </c>
      <c r="E41" s="400" t="e">
        <f t="shared" si="295"/>
        <v>#DIV/0!</v>
      </c>
      <c r="F41" s="24" t="e">
        <f t="shared" si="295"/>
        <v>#DIV/0!</v>
      </c>
      <c r="G41" s="400" t="e">
        <f t="shared" si="295"/>
        <v>#DIV/0!</v>
      </c>
      <c r="H41" s="400" t="e">
        <f t="shared" si="295"/>
        <v>#DIV/0!</v>
      </c>
      <c r="I41" s="400" t="e">
        <f t="shared" si="295"/>
        <v>#DIV/0!</v>
      </c>
      <c r="J41" s="400" t="e">
        <f t="shared" si="295"/>
        <v>#DIV/0!</v>
      </c>
      <c r="K41" s="24" t="e">
        <f t="shared" si="295"/>
        <v>#DIV/0!</v>
      </c>
      <c r="L41" s="400" t="e">
        <f t="shared" si="295"/>
        <v>#DIV/0!</v>
      </c>
      <c r="M41" s="400" t="e">
        <f t="shared" si="295"/>
        <v>#DIV/0!</v>
      </c>
      <c r="N41" s="400" t="e">
        <f t="shared" si="295"/>
        <v>#DIV/0!</v>
      </c>
      <c r="O41" s="400" t="e">
        <f t="shared" si="295"/>
        <v>#DIV/0!</v>
      </c>
      <c r="P41" s="24" t="e">
        <f t="shared" si="295"/>
        <v>#DIV/0!</v>
      </c>
      <c r="Q41" s="400" t="e">
        <f t="shared" si="295"/>
        <v>#DIV/0!</v>
      </c>
      <c r="R41" s="400" t="e">
        <f t="shared" si="295"/>
        <v>#DIV/0!</v>
      </c>
      <c r="S41" s="400" t="e">
        <f t="shared" si="295"/>
        <v>#DIV/0!</v>
      </c>
      <c r="T41" s="400" t="e">
        <f t="shared" si="295"/>
        <v>#DIV/0!</v>
      </c>
      <c r="U41" s="24" t="e">
        <f t="shared" si="295"/>
        <v>#DIV/0!</v>
      </c>
      <c r="V41" s="400" t="e">
        <f t="shared" si="295"/>
        <v>#DIV/0!</v>
      </c>
      <c r="W41" s="400" t="e">
        <f t="shared" si="295"/>
        <v>#DIV/0!</v>
      </c>
      <c r="X41" s="400" t="e">
        <f t="shared" si="295"/>
        <v>#DIV/0!</v>
      </c>
      <c r="Y41" s="400" t="e">
        <f t="shared" si="295"/>
        <v>#DIV/0!</v>
      </c>
      <c r="Z41" s="24" t="e">
        <f t="shared" si="295"/>
        <v>#DIV/0!</v>
      </c>
      <c r="AA41" s="400" t="e">
        <f t="shared" si="295"/>
        <v>#DIV/0!</v>
      </c>
      <c r="AB41" s="400" t="e">
        <f t="shared" si="295"/>
        <v>#DIV/0!</v>
      </c>
      <c r="AC41" s="400" t="e">
        <f t="shared" si="295"/>
        <v>#DIV/0!</v>
      </c>
      <c r="AD41" s="400" t="e">
        <f t="shared" si="295"/>
        <v>#DIV/0!</v>
      </c>
      <c r="AE41" s="24" t="e">
        <f t="shared" si="295"/>
        <v>#DIV/0!</v>
      </c>
      <c r="AF41" s="400" t="e">
        <f t="shared" ref="AF41:AG41" si="296">-(AF38+AF40)/AF9</f>
        <v>#DIV/0!</v>
      </c>
      <c r="AG41" s="400" t="e">
        <f t="shared" si="296"/>
        <v>#DIV/0!</v>
      </c>
      <c r="AH41" s="400" t="e">
        <f t="shared" ref="AH41:BM41" si="297">-(AH38+AH40)/AH9</f>
        <v>#DIV/0!</v>
      </c>
      <c r="AI41" s="400" t="e">
        <f t="shared" si="297"/>
        <v>#DIV/0!</v>
      </c>
      <c r="AJ41" s="24" t="e">
        <f t="shared" si="297"/>
        <v>#DIV/0!</v>
      </c>
      <c r="AK41" s="400">
        <f t="shared" si="297"/>
        <v>1.5222906601828338E-2</v>
      </c>
      <c r="AL41" s="400">
        <f t="shared" si="297"/>
        <v>9.4837759968516358E-3</v>
      </c>
      <c r="AM41" s="400">
        <f t="shared" si="297"/>
        <v>1.7746702171634071E-2</v>
      </c>
      <c r="AN41" s="400">
        <f t="shared" si="297"/>
        <v>2.4501344189464983E-2</v>
      </c>
      <c r="AO41" s="24">
        <f t="shared" si="297"/>
        <v>1.6969750712459222E-2</v>
      </c>
      <c r="AP41" s="400">
        <f t="shared" si="297"/>
        <v>1.9121475388893288E-2</v>
      </c>
      <c r="AQ41" s="400">
        <f t="shared" si="297"/>
        <v>2.058411651334649E-2</v>
      </c>
      <c r="AR41" s="400">
        <f t="shared" si="297"/>
        <v>2.0515652968057616E-2</v>
      </c>
      <c r="AS41" s="400">
        <f t="shared" si="297"/>
        <v>1.9654243907608237E-2</v>
      </c>
      <c r="AT41" s="24">
        <f t="shared" si="297"/>
        <v>2.0049213700569304E-2</v>
      </c>
      <c r="AU41" s="400">
        <f t="shared" si="297"/>
        <v>2.5221638265116527E-2</v>
      </c>
      <c r="AV41" s="400">
        <f t="shared" si="297"/>
        <v>2.0669846451502057E-2</v>
      </c>
      <c r="AW41" s="400">
        <f t="shared" si="297"/>
        <v>1.8656031568804392E-2</v>
      </c>
      <c r="AX41" s="400">
        <f t="shared" si="297"/>
        <v>2.2791314437261727E-2</v>
      </c>
      <c r="AY41" s="24">
        <f t="shared" si="297"/>
        <v>2.1622189061462193E-2</v>
      </c>
      <c r="AZ41" s="400">
        <f t="shared" si="297"/>
        <v>3.4035570844752575E-2</v>
      </c>
      <c r="BA41" s="400">
        <f t="shared" si="297"/>
        <v>1.9788468099624701E-2</v>
      </c>
      <c r="BB41" s="400">
        <f t="shared" si="297"/>
        <v>2.1181538952491124E-2</v>
      </c>
      <c r="BC41" s="400">
        <f t="shared" si="297"/>
        <v>1.9411458031628338E-2</v>
      </c>
      <c r="BD41" s="24">
        <f t="shared" si="297"/>
        <v>2.2900683333886618E-2</v>
      </c>
      <c r="BE41" s="400">
        <f t="shared" si="297"/>
        <v>2.0274930294795542E-2</v>
      </c>
      <c r="BF41" s="400">
        <f t="shared" si="297"/>
        <v>1.8642389168182533E-2</v>
      </c>
      <c r="BG41" s="400">
        <f t="shared" si="297"/>
        <v>2.2629034130866758E-2</v>
      </c>
      <c r="BH41" s="400">
        <f t="shared" si="297"/>
        <v>2.1802725035269113E-2</v>
      </c>
      <c r="BI41" s="24">
        <f t="shared" si="297"/>
        <v>2.0900940289191421E-2</v>
      </c>
      <c r="BJ41" s="400">
        <f t="shared" si="297"/>
        <v>2.6011793264695757E-2</v>
      </c>
      <c r="BK41" s="400">
        <f t="shared" si="297"/>
        <v>2.396882460188824E-2</v>
      </c>
      <c r="BL41" s="400">
        <f t="shared" si="297"/>
        <v>2.4788601137141573E-2</v>
      </c>
      <c r="BM41" s="400">
        <f t="shared" si="297"/>
        <v>2.5746023105096143E-2</v>
      </c>
      <c r="BN41" s="24">
        <f t="shared" ref="BN41:BY41" si="298">-(BN38+BN40)/BN9</f>
        <v>2.5058322044004901E-2</v>
      </c>
      <c r="BO41" s="400">
        <f t="shared" si="298"/>
        <v>2.5776696091811831E-2</v>
      </c>
      <c r="BP41" s="400">
        <f t="shared" si="298"/>
        <v>2.5001855042830878E-2</v>
      </c>
      <c r="BQ41" s="400">
        <f t="shared" si="298"/>
        <v>2.5440432838480916E-2</v>
      </c>
      <c r="BR41" s="400">
        <f t="shared" si="298"/>
        <v>2.4345856805602788E-2</v>
      </c>
      <c r="BS41" s="24">
        <f t="shared" si="298"/>
        <v>2.5091366696094342E-2</v>
      </c>
      <c r="BT41" s="400">
        <f t="shared" si="298"/>
        <v>2.4106083006322086E-2</v>
      </c>
      <c r="BU41" s="400">
        <f t="shared" si="298"/>
        <v>2.0948115641453383E-2</v>
      </c>
      <c r="BV41" s="400">
        <f t="shared" si="298"/>
        <v>2.1784837556067402E-2</v>
      </c>
      <c r="BW41" s="400">
        <f t="shared" si="298"/>
        <v>2.4820019111646607E-2</v>
      </c>
      <c r="BX41" s="24">
        <f t="shared" si="298"/>
        <v>2.2867272324396188E-2</v>
      </c>
      <c r="BY41" s="400">
        <f t="shared" si="298"/>
        <v>2.5492030811127265E-2</v>
      </c>
      <c r="BZ41" s="400">
        <f t="shared" ref="BZ41:CB41" si="299">-(BZ38+BZ40)/BZ9</f>
        <v>2.3346965206420024E-2</v>
      </c>
      <c r="CA41" s="400">
        <f t="shared" si="299"/>
        <v>2.594560336954788E-2</v>
      </c>
      <c r="CB41" s="400">
        <f t="shared" si="299"/>
        <v>2.8048587216448373E-2</v>
      </c>
      <c r="CC41" s="24">
        <f>-(CC38+CC40)/CC9</f>
        <v>2.5748302041106608E-2</v>
      </c>
      <c r="CD41" s="400">
        <f t="shared" ref="CD41:CE41" si="300">-(CD38+CD40)/CD9</f>
        <v>2.5580269023813527E-2</v>
      </c>
      <c r="CE41" s="400">
        <f t="shared" si="300"/>
        <v>2.6685295227594562E-2</v>
      </c>
      <c r="CF41" s="400">
        <f t="shared" si="281"/>
        <v>2.6685295227594562E-2</v>
      </c>
      <c r="CG41" s="400">
        <f t="shared" si="281"/>
        <v>2.6685295227594562E-2</v>
      </c>
      <c r="CH41" s="24">
        <f>-(CH38+CH40)/CH9</f>
        <v>2.6424559730029648E-2</v>
      </c>
      <c r="CI41" s="400">
        <f>CG41</f>
        <v>2.6685295227594562E-2</v>
      </c>
      <c r="CJ41" s="400">
        <f>CI41</f>
        <v>2.6685295227594562E-2</v>
      </c>
      <c r="CK41" s="400">
        <f t="shared" ref="CK41:CL41" si="301">CJ41</f>
        <v>2.6685295227594562E-2</v>
      </c>
      <c r="CL41" s="400">
        <f t="shared" si="301"/>
        <v>2.6685295227594562E-2</v>
      </c>
      <c r="CM41" s="24">
        <f>-(CM38+CM40)/CM9</f>
        <v>2.6685295227594566E-2</v>
      </c>
      <c r="CN41" s="180">
        <v>1.9199999999999998E-2</v>
      </c>
      <c r="CO41" s="180">
        <v>1.9199999999999998E-2</v>
      </c>
      <c r="CP41" s="180">
        <v>1.9199999999999998E-2</v>
      </c>
      <c r="CQ41" s="180">
        <v>1.9199999999999998E-2</v>
      </c>
      <c r="CR41" s="24">
        <f>-(CR38+CR40)/CR9</f>
        <v>1.9199999999999998E-2</v>
      </c>
      <c r="CS41" s="180">
        <v>1.9199999999999998E-2</v>
      </c>
      <c r="CT41" s="180">
        <v>1.9199999999999998E-2</v>
      </c>
      <c r="CU41" s="180">
        <v>1.9199999999999998E-2</v>
      </c>
      <c r="CV41" s="180">
        <v>1.9199999999999998E-2</v>
      </c>
      <c r="CW41" s="24">
        <f>-(CW38+CW40)/CW9</f>
        <v>1.9199999999999998E-2</v>
      </c>
      <c r="CX41" s="180">
        <v>1.9199999999999998E-2</v>
      </c>
      <c r="CY41" s="180">
        <v>1.9199999999999998E-2</v>
      </c>
      <c r="CZ41" s="180">
        <v>1.9199999999999998E-2</v>
      </c>
      <c r="DA41" s="180">
        <v>1.9199999999999998E-2</v>
      </c>
      <c r="DB41" s="24">
        <f>-(DB38+DB40)/DB9</f>
        <v>1.9199999999999998E-2</v>
      </c>
    </row>
    <row r="42" spans="1:106" ht="11.25" customHeight="1" x14ac:dyDescent="0.35">
      <c r="A42" s="16" t="s">
        <v>90</v>
      </c>
      <c r="B42" s="17">
        <f t="shared" ref="B42:E42" si="302">B37+B38+B40</f>
        <v>0</v>
      </c>
      <c r="C42" s="17">
        <f t="shared" si="302"/>
        <v>0</v>
      </c>
      <c r="D42" s="17">
        <f t="shared" si="302"/>
        <v>0</v>
      </c>
      <c r="E42" s="17">
        <f t="shared" si="302"/>
        <v>0</v>
      </c>
      <c r="F42" s="18">
        <f t="shared" ref="F42:F43" si="303">SUM(B42:E42)</f>
        <v>0</v>
      </c>
      <c r="G42" s="17">
        <f t="shared" ref="G42:J42" si="304">G37+G38+G40</f>
        <v>0</v>
      </c>
      <c r="H42" s="17">
        <f t="shared" si="304"/>
        <v>0</v>
      </c>
      <c r="I42" s="17">
        <f t="shared" si="304"/>
        <v>0</v>
      </c>
      <c r="J42" s="17">
        <f t="shared" si="304"/>
        <v>0</v>
      </c>
      <c r="K42" s="18">
        <f t="shared" ref="K42:K43" si="305">SUM(G42:J42)</f>
        <v>0</v>
      </c>
      <c r="L42" s="17">
        <f t="shared" ref="L42:O42" si="306">L37+L38+L40</f>
        <v>0</v>
      </c>
      <c r="M42" s="17">
        <f t="shared" si="306"/>
        <v>0</v>
      </c>
      <c r="N42" s="17">
        <f t="shared" si="306"/>
        <v>0</v>
      </c>
      <c r="O42" s="17">
        <f t="shared" si="306"/>
        <v>0</v>
      </c>
      <c r="P42" s="18">
        <f t="shared" ref="P42:P43" si="307">SUM(L42:O42)</f>
        <v>0</v>
      </c>
      <c r="Q42" s="17">
        <f t="shared" ref="Q42:T42" si="308">Q37+Q38+Q40</f>
        <v>0</v>
      </c>
      <c r="R42" s="17">
        <f t="shared" si="308"/>
        <v>0</v>
      </c>
      <c r="S42" s="17">
        <f t="shared" si="308"/>
        <v>0</v>
      </c>
      <c r="T42" s="17">
        <f t="shared" si="308"/>
        <v>0</v>
      </c>
      <c r="U42" s="18">
        <f t="shared" ref="U42:U43" si="309">SUM(Q42:T42)</f>
        <v>0</v>
      </c>
      <c r="V42" s="17">
        <f t="shared" ref="V42:Y42" si="310">V37+V38+V40</f>
        <v>0</v>
      </c>
      <c r="W42" s="17">
        <f t="shared" si="310"/>
        <v>0</v>
      </c>
      <c r="X42" s="17">
        <f t="shared" si="310"/>
        <v>0</v>
      </c>
      <c r="Y42" s="17">
        <f t="shared" si="310"/>
        <v>0</v>
      </c>
      <c r="Z42" s="18">
        <f t="shared" ref="Z42:Z43" si="311">SUM(V42:Y42)</f>
        <v>0</v>
      </c>
      <c r="AA42" s="17">
        <f t="shared" ref="AA42:AD42" si="312">AA37+AA38+AA40</f>
        <v>0</v>
      </c>
      <c r="AB42" s="17">
        <f t="shared" si="312"/>
        <v>0</v>
      </c>
      <c r="AC42" s="17">
        <f t="shared" si="312"/>
        <v>0</v>
      </c>
      <c r="AD42" s="17">
        <f t="shared" si="312"/>
        <v>0</v>
      </c>
      <c r="AE42" s="18">
        <f t="shared" ref="AE42:AE43" si="313">SUM(AA42:AD42)</f>
        <v>0</v>
      </c>
      <c r="AF42" s="17">
        <f>AF37+AF38+AF40</f>
        <v>0</v>
      </c>
      <c r="AG42" s="17">
        <f>AG37+AG38+AG40</f>
        <v>0</v>
      </c>
      <c r="AH42" s="17">
        <f>AH37+AH38+AH40</f>
        <v>0</v>
      </c>
      <c r="AI42" s="17">
        <f>AI37+AI38+AI40</f>
        <v>0</v>
      </c>
      <c r="AJ42" s="18">
        <f>SUM(AF42:AI42)</f>
        <v>0</v>
      </c>
      <c r="AK42" s="17">
        <f>AK37+AK38+AK40</f>
        <v>13933.674000000014</v>
      </c>
      <c r="AL42" s="17">
        <f>AL37+AL38+AL40</f>
        <v>18112.649999999961</v>
      </c>
      <c r="AM42" s="17">
        <f>AM37+AM38+AM40</f>
        <v>46026.546000000031</v>
      </c>
      <c r="AN42" s="17">
        <f>AN37+AN38+AN40</f>
        <v>50702.637000000061</v>
      </c>
      <c r="AO42" s="18">
        <f>SUM(AK42:AN42)</f>
        <v>128775.50700000007</v>
      </c>
      <c r="AP42" s="17">
        <f>AP37+AP38+AP40</f>
        <v>20759.928</v>
      </c>
      <c r="AQ42" s="17">
        <f>AQ37+AQ38+AQ40</f>
        <v>39845.081999999988</v>
      </c>
      <c r="AR42" s="17">
        <f>AR37+AR38+AR40</f>
        <v>53428.835000000057</v>
      </c>
      <c r="AS42" s="17">
        <f>AS37+AS38+AS40</f>
        <v>61977.444999999978</v>
      </c>
      <c r="AT42" s="18">
        <f>SUM(AP42:AS42)</f>
        <v>176011.29000000004</v>
      </c>
      <c r="AU42" s="17">
        <f>AU37+AU38+AU40</f>
        <v>23506</v>
      </c>
      <c r="AV42" s="17">
        <f>AV37+AV38+AV40</f>
        <v>73734</v>
      </c>
      <c r="AW42" s="17">
        <f>AW37+AW38+AW40</f>
        <v>40304</v>
      </c>
      <c r="AX42" s="17">
        <f>AX37+AX38+AX40</f>
        <v>66512</v>
      </c>
      <c r="AY42" s="18">
        <f>SUM(AU42:AX42)</f>
        <v>204056</v>
      </c>
      <c r="AZ42" s="17">
        <f>AZ37+AZ38+AZ40</f>
        <v>15418</v>
      </c>
      <c r="BA42" s="17">
        <f>BA37+BA38+BA40</f>
        <v>41012</v>
      </c>
      <c r="BB42" s="17">
        <f>BB37+BB38+BB40</f>
        <v>59215</v>
      </c>
      <c r="BC42" s="17">
        <f>BC37+BC38+BC40</f>
        <v>74353</v>
      </c>
      <c r="BD42" s="18">
        <f>SUM(AZ42:BC42)</f>
        <v>189998</v>
      </c>
      <c r="BE42" s="17">
        <f>BE37+BE38+BE40</f>
        <v>52068</v>
      </c>
      <c r="BF42" s="17">
        <f>BF37+BF38+BF40</f>
        <v>76951</v>
      </c>
      <c r="BG42" s="17">
        <f>BG37+BG38+BG40</f>
        <v>74647</v>
      </c>
      <c r="BH42" s="17">
        <f>BH37+BH38+BH40</f>
        <v>111643</v>
      </c>
      <c r="BI42" s="18">
        <f>SUM(BE42:BH42)</f>
        <v>315309</v>
      </c>
      <c r="BJ42" s="17">
        <f>BJ37+BJ38+BJ40</f>
        <v>63351</v>
      </c>
      <c r="BK42" s="17">
        <f>BK37+BK38+BK40</f>
        <v>92939</v>
      </c>
      <c r="BL42" s="17">
        <f>BL37+BL38+BL40</f>
        <v>94871</v>
      </c>
      <c r="BM42" s="17">
        <f>BM37+BM38+BM40</f>
        <v>97279</v>
      </c>
      <c r="BN42" s="18">
        <f>SUM(BJ42:BM42)</f>
        <v>348440</v>
      </c>
      <c r="BO42" s="17">
        <f>BO37+BO38+BO40</f>
        <v>94056</v>
      </c>
      <c r="BP42" s="17">
        <f>BP37+BP38+BP40</f>
        <v>124070</v>
      </c>
      <c r="BQ42" s="17">
        <f>BQ37+BQ38+BQ40</f>
        <v>112891</v>
      </c>
      <c r="BR42" s="17">
        <f>BR37+BR38+BR40</f>
        <v>164594</v>
      </c>
      <c r="BS42" s="18">
        <f>SUM(BO42:BR42)</f>
        <v>495611</v>
      </c>
      <c r="BT42" s="17">
        <f>BT37+BT38+BT40</f>
        <v>154070</v>
      </c>
      <c r="BU42" s="17">
        <f>BU37+BU38+BU40</f>
        <v>175282</v>
      </c>
      <c r="BV42" s="17">
        <f>BV37+BV38+BV40</f>
        <v>180588</v>
      </c>
      <c r="BW42" s="17">
        <f>BW37+BW38+BW40</f>
        <v>188872</v>
      </c>
      <c r="BX42" s="18">
        <f>SUM(BT42:BW42)</f>
        <v>698812</v>
      </c>
      <c r="BY42" s="17">
        <f>BY37+BY38+BY40</f>
        <v>233664</v>
      </c>
      <c r="BZ42" s="17">
        <f>BZ37+BZ38+BZ40</f>
        <v>267157</v>
      </c>
      <c r="CA42" s="17">
        <f>CA37+CA38+CA40</f>
        <v>283210</v>
      </c>
      <c r="CB42" s="17">
        <f>CB37+CB38+CB40</f>
        <v>297189</v>
      </c>
      <c r="CC42" s="18">
        <f>SUM(BY42:CB42)</f>
        <v>1081220</v>
      </c>
      <c r="CD42" s="17">
        <f>CD37+CD38+CD40</f>
        <v>351186</v>
      </c>
      <c r="CE42" s="17">
        <f>CE37+CE38+CE40</f>
        <v>311191</v>
      </c>
      <c r="CF42" s="17">
        <f ca="1">CF37+CF38+CF40</f>
        <v>344928.19957986852</v>
      </c>
      <c r="CG42" s="17">
        <f ca="1">CG37+CG38+CG40</f>
        <v>376622.31654745812</v>
      </c>
      <c r="CH42" s="18">
        <f ca="1">SUM(CD42:CG42)</f>
        <v>1383927.5161273265</v>
      </c>
      <c r="CI42" s="17">
        <f ca="1">CI37+CI38+CI40</f>
        <v>391509.24177147314</v>
      </c>
      <c r="CJ42" s="17">
        <f ca="1">CJ37+CJ38+CJ40</f>
        <v>424088.28140125191</v>
      </c>
      <c r="CK42" s="17">
        <f ca="1">CK37+CK38+CK40</f>
        <v>460177.11945264507</v>
      </c>
      <c r="CL42" s="17">
        <f ca="1">CL37+CL38+CL40</f>
        <v>449857.91578688769</v>
      </c>
      <c r="CM42" s="18">
        <f ca="1">SUM(CI42:CL42)</f>
        <v>1725632.5584122578</v>
      </c>
      <c r="CN42" s="17">
        <f ca="1">CN37+CN38+CN40</f>
        <v>503004.01894655894</v>
      </c>
      <c r="CO42" s="17">
        <f ca="1">CO37+CO38+CO40</f>
        <v>492568.65109243023</v>
      </c>
      <c r="CP42" s="17">
        <f ca="1">CP37+CP38+CP40</f>
        <v>514570.32982199959</v>
      </c>
      <c r="CQ42" s="17">
        <f ca="1">CQ37+CQ38+CQ40</f>
        <v>517540.51009320572</v>
      </c>
      <c r="CR42" s="18">
        <f ca="1">SUM(CN42:CQ42)</f>
        <v>2027683.5099541945</v>
      </c>
      <c r="CS42" s="17">
        <f ca="1">CS37+CS38+CS40</f>
        <v>543855.20579540625</v>
      </c>
      <c r="CT42" s="17">
        <f ca="1">CT37+CT38+CT40</f>
        <v>524218.36244346912</v>
      </c>
      <c r="CU42" s="17">
        <f ca="1">CU37+CU38+CU40</f>
        <v>541185.15224088356</v>
      </c>
      <c r="CV42" s="17">
        <f ca="1">CV37+CV38+CV40</f>
        <v>541174.42361250229</v>
      </c>
      <c r="CW42" s="18">
        <f ca="1">SUM(CS42:CV42)</f>
        <v>2150433.1440922613</v>
      </c>
      <c r="CX42" s="17">
        <f ca="1">CX37+CX38+CX40</f>
        <v>576365.90459314128</v>
      </c>
      <c r="CY42" s="17">
        <f ca="1">CY37+CY38+CY40</f>
        <v>554237.69379367726</v>
      </c>
      <c r="CZ42" s="17">
        <f ca="1">CZ37+CZ38+CZ40</f>
        <v>569964.85969443119</v>
      </c>
      <c r="DA42" s="17">
        <f ca="1">DA37+DA38+DA40</f>
        <v>568299.83636202011</v>
      </c>
      <c r="DB42" s="18">
        <f ca="1">SUM(CX42:DA42)</f>
        <v>2268868.2944432697</v>
      </c>
    </row>
    <row r="43" spans="1:106" ht="11.25" customHeight="1" x14ac:dyDescent="0.35">
      <c r="A43" s="16" t="s">
        <v>87</v>
      </c>
      <c r="B43" s="401"/>
      <c r="C43" s="401"/>
      <c r="D43" s="401"/>
      <c r="E43" s="401"/>
      <c r="F43" s="18">
        <f t="shared" si="303"/>
        <v>0</v>
      </c>
      <c r="G43" s="401"/>
      <c r="H43" s="401"/>
      <c r="I43" s="401"/>
      <c r="J43" s="401"/>
      <c r="K43" s="18">
        <f t="shared" si="305"/>
        <v>0</v>
      </c>
      <c r="L43" s="401"/>
      <c r="M43" s="401"/>
      <c r="N43" s="401"/>
      <c r="O43" s="401"/>
      <c r="P43" s="18">
        <f t="shared" si="307"/>
        <v>0</v>
      </c>
      <c r="Q43" s="401"/>
      <c r="R43" s="401"/>
      <c r="S43" s="401"/>
      <c r="T43" s="401"/>
      <c r="U43" s="18">
        <f t="shared" si="309"/>
        <v>0</v>
      </c>
      <c r="V43" s="401"/>
      <c r="W43" s="401"/>
      <c r="X43" s="401"/>
      <c r="Y43" s="401"/>
      <c r="Z43" s="18">
        <f t="shared" si="311"/>
        <v>0</v>
      </c>
      <c r="AA43" s="401"/>
      <c r="AB43" s="401"/>
      <c r="AC43" s="401"/>
      <c r="AD43" s="401"/>
      <c r="AE43" s="18">
        <f t="shared" si="313"/>
        <v>0</v>
      </c>
      <c r="AF43" s="401"/>
      <c r="AG43" s="401"/>
      <c r="AH43" s="401"/>
      <c r="AI43" s="401"/>
      <c r="AJ43" s="18">
        <f>SUM(AF43:AI43)</f>
        <v>0</v>
      </c>
      <c r="AK43" s="401">
        <v>-1288.9079999999999</v>
      </c>
      <c r="AL43" s="401">
        <v>1501</v>
      </c>
      <c r="AM43" s="401">
        <v>-12400</v>
      </c>
      <c r="AN43" s="401">
        <v>-3753.424</v>
      </c>
      <c r="AO43" s="18">
        <f>SUM(AK43:AN43)</f>
        <v>-15941.331999999999</v>
      </c>
      <c r="AP43" s="401">
        <v>-652.35</v>
      </c>
      <c r="AQ43" s="401">
        <v>-8289.8289999999997</v>
      </c>
      <c r="AR43" s="401">
        <v>-17211.594000000001</v>
      </c>
      <c r="AS43" s="401">
        <v>-18858.055</v>
      </c>
      <c r="AT43" s="18">
        <f>SUM(AP43:AS43)</f>
        <v>-45011.828000000001</v>
      </c>
      <c r="AU43" s="401">
        <v>-5130</v>
      </c>
      <c r="AV43" s="401">
        <v>-12661</v>
      </c>
      <c r="AW43" s="401">
        <v>-9996</v>
      </c>
      <c r="AX43" s="401">
        <f>-43928-SUM(AU43:AW43)</f>
        <v>-16141</v>
      </c>
      <c r="AY43" s="18">
        <f t="shared" ref="AY43" si="314">SUM(AU43:AX43)</f>
        <v>-43928</v>
      </c>
      <c r="AZ43" s="401">
        <v>-8918</v>
      </c>
      <c r="BA43" s="401">
        <v>-4023</v>
      </c>
      <c r="BB43" s="401">
        <v>-9861</v>
      </c>
      <c r="BC43" s="401">
        <f>-29186-SUM(AZ43:BB43)</f>
        <v>-6384</v>
      </c>
      <c r="BD43" s="18">
        <f t="shared" ref="BD43" si="315">SUM(AZ43:BC43)</f>
        <v>-29186</v>
      </c>
      <c r="BE43" s="401">
        <v>-2075</v>
      </c>
      <c r="BF43" s="401">
        <v>1652</v>
      </c>
      <c r="BG43" s="401">
        <v>-7242</v>
      </c>
      <c r="BH43" s="401">
        <f>-15560-SUM(BE43:BG43)</f>
        <v>-7895</v>
      </c>
      <c r="BI43" s="18">
        <f t="shared" ref="BI43" si="316">SUM(BE43:BH43)</f>
        <v>-15560</v>
      </c>
      <c r="BJ43" s="401">
        <v>-1448</v>
      </c>
      <c r="BK43" s="401">
        <v>-6614</v>
      </c>
      <c r="BL43" s="401">
        <v>-4999</v>
      </c>
      <c r="BM43" s="401">
        <f>-18555-SUM(BJ43:BL43)</f>
        <v>-5494</v>
      </c>
      <c r="BN43" s="18">
        <f t="shared" ref="BN43" si="317">SUM(BJ43:BM43)</f>
        <v>-18555</v>
      </c>
      <c r="BO43" s="401">
        <v>-2207</v>
      </c>
      <c r="BP43" s="401">
        <v>-2697</v>
      </c>
      <c r="BQ43" s="401">
        <v>-4671</v>
      </c>
      <c r="BR43" s="401">
        <f>-13846-SUM(BO43:BQ43)</f>
        <v>-4271</v>
      </c>
      <c r="BS43" s="18">
        <f t="shared" ref="BS43" si="318">SUM(BO43:BR43)</f>
        <v>-13846</v>
      </c>
      <c r="BT43" s="401">
        <v>-12829</v>
      </c>
      <c r="BU43" s="401">
        <v>-3035</v>
      </c>
      <c r="BV43" s="401">
        <v>-10017</v>
      </c>
      <c r="BW43" s="401">
        <f>-48969-SUM(BT43:BV43)</f>
        <v>-23088</v>
      </c>
      <c r="BX43" s="18">
        <f t="shared" ref="BX43" si="319">SUM(BT43:BW43)</f>
        <v>-48969</v>
      </c>
      <c r="BY43" s="401">
        <v>-20189</v>
      </c>
      <c r="BZ43" s="401">
        <v>-30426</v>
      </c>
      <c r="CA43" s="401">
        <v>-27957</v>
      </c>
      <c r="CB43" s="401">
        <f>-105684-SUM(BY43:CA43)</f>
        <v>-27112</v>
      </c>
      <c r="CC43" s="18">
        <f>SUM(BY43:CB43)</f>
        <v>-105684</v>
      </c>
      <c r="CD43" s="401">
        <v>-48319</v>
      </c>
      <c r="CE43" s="401">
        <v>-40740</v>
      </c>
      <c r="CF43" s="432">
        <f>-40%/4*'BS &amp; FCF'!CE42</f>
        <v>-39381.700000000004</v>
      </c>
      <c r="CG43" s="432">
        <f>-40%/4*'BS &amp; FCF'!CF42</f>
        <v>-39871.665674415388</v>
      </c>
      <c r="CH43" s="18">
        <f>SUM(CD43:CG43)</f>
        <v>-168312.3656744154</v>
      </c>
      <c r="CI43" s="432">
        <f>-45%/4*'BS &amp; FCF'!CH42</f>
        <v>-45322.697486319994</v>
      </c>
      <c r="CJ43" s="432">
        <f>-45%/4*'BS &amp; FCF'!CI42</f>
        <v>-48498.012843851669</v>
      </c>
      <c r="CK43" s="432">
        <f>-45%/4*'BS &amp; FCF'!CJ42</f>
        <v>-50863.225681081749</v>
      </c>
      <c r="CL43" s="432">
        <f>-45%/4*'BS &amp; FCF'!CK42</f>
        <v>-52009.958394334833</v>
      </c>
      <c r="CM43" s="18">
        <f t="shared" ref="CM43" si="320">SUM(CI43:CL43)</f>
        <v>-196693.89440558822</v>
      </c>
      <c r="CN43" s="432">
        <f>-45%/4*'BS &amp; FCF'!CM42</f>
        <v>-52894.344836339165</v>
      </c>
      <c r="CO43" s="432">
        <f>-45%/4*'BS &amp; FCF'!CN42</f>
        <v>-55660.697382499908</v>
      </c>
      <c r="CP43" s="432">
        <f>-45%/4*'BS &amp; FCF'!CO42</f>
        <v>-56935.015956572592</v>
      </c>
      <c r="CQ43" s="432">
        <f>-45%/4*'BS &amp; FCF'!CP42</f>
        <v>-57093.369802784699</v>
      </c>
      <c r="CR43" s="18">
        <f t="shared" ref="CR43" si="321">SUM(CN43:CQ43)</f>
        <v>-222583.42797819636</v>
      </c>
      <c r="CS43" s="432">
        <f>-45%/4*'BS &amp; FCF'!CR42</f>
        <v>-57805.347970591305</v>
      </c>
      <c r="CT43" s="432">
        <f>-45%/4*'BS &amp; FCF'!CS42</f>
        <v>-60148.211390899458</v>
      </c>
      <c r="CU43" s="432">
        <f>-45%/4*'BS &amp; FCF'!CT42</f>
        <v>-61350.655848374416</v>
      </c>
      <c r="CV43" s="432">
        <f>-45%/4*'BS &amp; FCF'!CU42</f>
        <v>-61378.607842818565</v>
      </c>
      <c r="CW43" s="18">
        <f t="shared" ref="CW43" si="322">SUM(CS43:CV43)</f>
        <v>-240682.82305268376</v>
      </c>
      <c r="CX43" s="432">
        <f>-45%/4*'BS &amp; FCF'!CW42</f>
        <v>-61706.438006035278</v>
      </c>
      <c r="CY43" s="432">
        <f>-45%/4*'BS &amp; FCF'!CX42</f>
        <v>-63829.481724288285</v>
      </c>
      <c r="CZ43" s="432">
        <f>-45%/4*'BS &amp; FCF'!CY42</f>
        <v>-64524.218042772889</v>
      </c>
      <c r="DA43" s="432">
        <f>-45%/4*'BS &amp; FCF'!CZ42</f>
        <v>-63772.996143797391</v>
      </c>
      <c r="DB43" s="18">
        <f t="shared" ref="DB43" si="323">SUM(CX43:DA43)</f>
        <v>-253833.13391689383</v>
      </c>
    </row>
    <row r="44" spans="1:106" s="30" customFormat="1" ht="11.25" customHeight="1" outlineLevel="1" x14ac:dyDescent="0.35">
      <c r="A44" s="150" t="s">
        <v>203</v>
      </c>
      <c r="B44" s="400" t="e">
        <f t="shared" ref="B44:AE44" si="324">-B43/B42</f>
        <v>#DIV/0!</v>
      </c>
      <c r="C44" s="400" t="e">
        <f t="shared" si="324"/>
        <v>#DIV/0!</v>
      </c>
      <c r="D44" s="400" t="e">
        <f t="shared" si="324"/>
        <v>#DIV/0!</v>
      </c>
      <c r="E44" s="400" t="e">
        <f t="shared" si="324"/>
        <v>#DIV/0!</v>
      </c>
      <c r="F44" s="24" t="e">
        <f t="shared" si="324"/>
        <v>#DIV/0!</v>
      </c>
      <c r="G44" s="400" t="e">
        <f t="shared" si="324"/>
        <v>#DIV/0!</v>
      </c>
      <c r="H44" s="400" t="e">
        <f t="shared" si="324"/>
        <v>#DIV/0!</v>
      </c>
      <c r="I44" s="400" t="e">
        <f t="shared" si="324"/>
        <v>#DIV/0!</v>
      </c>
      <c r="J44" s="400" t="e">
        <f t="shared" si="324"/>
        <v>#DIV/0!</v>
      </c>
      <c r="K44" s="24" t="e">
        <f t="shared" si="324"/>
        <v>#DIV/0!</v>
      </c>
      <c r="L44" s="400" t="e">
        <f t="shared" si="324"/>
        <v>#DIV/0!</v>
      </c>
      <c r="M44" s="400" t="e">
        <f t="shared" si="324"/>
        <v>#DIV/0!</v>
      </c>
      <c r="N44" s="400" t="e">
        <f t="shared" si="324"/>
        <v>#DIV/0!</v>
      </c>
      <c r="O44" s="400" t="e">
        <f t="shared" si="324"/>
        <v>#DIV/0!</v>
      </c>
      <c r="P44" s="24" t="e">
        <f t="shared" si="324"/>
        <v>#DIV/0!</v>
      </c>
      <c r="Q44" s="400" t="e">
        <f t="shared" si="324"/>
        <v>#DIV/0!</v>
      </c>
      <c r="R44" s="400" t="e">
        <f t="shared" si="324"/>
        <v>#DIV/0!</v>
      </c>
      <c r="S44" s="400" t="e">
        <f t="shared" si="324"/>
        <v>#DIV/0!</v>
      </c>
      <c r="T44" s="400" t="e">
        <f t="shared" si="324"/>
        <v>#DIV/0!</v>
      </c>
      <c r="U44" s="24" t="e">
        <f t="shared" si="324"/>
        <v>#DIV/0!</v>
      </c>
      <c r="V44" s="400" t="e">
        <f t="shared" si="324"/>
        <v>#DIV/0!</v>
      </c>
      <c r="W44" s="400" t="e">
        <f t="shared" si="324"/>
        <v>#DIV/0!</v>
      </c>
      <c r="X44" s="400" t="e">
        <f t="shared" si="324"/>
        <v>#DIV/0!</v>
      </c>
      <c r="Y44" s="400" t="e">
        <f t="shared" si="324"/>
        <v>#DIV/0!</v>
      </c>
      <c r="Z44" s="24" t="e">
        <f t="shared" si="324"/>
        <v>#DIV/0!</v>
      </c>
      <c r="AA44" s="400" t="e">
        <f t="shared" si="324"/>
        <v>#DIV/0!</v>
      </c>
      <c r="AB44" s="400" t="e">
        <f t="shared" si="324"/>
        <v>#DIV/0!</v>
      </c>
      <c r="AC44" s="400" t="e">
        <f t="shared" si="324"/>
        <v>#DIV/0!</v>
      </c>
      <c r="AD44" s="400" t="e">
        <f t="shared" si="324"/>
        <v>#DIV/0!</v>
      </c>
      <c r="AE44" s="24" t="e">
        <f t="shared" si="324"/>
        <v>#DIV/0!</v>
      </c>
      <c r="AF44" s="400" t="e">
        <f>-AF43/AF42</f>
        <v>#DIV/0!</v>
      </c>
      <c r="AG44" s="400" t="e">
        <f>-AG43/AG42</f>
        <v>#DIV/0!</v>
      </c>
      <c r="AH44" s="400" t="e">
        <f>-AH43/AH42</f>
        <v>#DIV/0!</v>
      </c>
      <c r="AI44" s="400" t="e">
        <f>-AI43/AI42</f>
        <v>#DIV/0!</v>
      </c>
      <c r="AJ44" s="24" t="e">
        <f t="shared" ref="AJ44:AY44" si="325">-AJ43/AJ42</f>
        <v>#DIV/0!</v>
      </c>
      <c r="AK44" s="400">
        <f t="shared" si="325"/>
        <v>9.2503097173078586E-2</v>
      </c>
      <c r="AL44" s="400">
        <f t="shared" si="325"/>
        <v>-8.2870259183498995E-2</v>
      </c>
      <c r="AM44" s="400">
        <f t="shared" si="325"/>
        <v>0.26940974454176925</v>
      </c>
      <c r="AN44" s="400">
        <f t="shared" si="325"/>
        <v>7.4028181216688901E-2</v>
      </c>
      <c r="AO44" s="24">
        <f t="shared" si="325"/>
        <v>0.123791646186258</v>
      </c>
      <c r="AP44" s="400">
        <f>-AP43/AP42</f>
        <v>3.1423519387928513E-2</v>
      </c>
      <c r="AQ44" s="400">
        <f>-AQ43/AQ42</f>
        <v>0.20805149804937037</v>
      </c>
      <c r="AR44" s="400">
        <f>-AR43/AR42</f>
        <v>0.3221405445205755</v>
      </c>
      <c r="AS44" s="400">
        <f>-AS43/AS42</f>
        <v>0.30427286894450079</v>
      </c>
      <c r="AT44" s="24">
        <f t="shared" si="325"/>
        <v>0.25573261806103453</v>
      </c>
      <c r="AU44" s="400">
        <f t="shared" si="325"/>
        <v>0.21824215094018548</v>
      </c>
      <c r="AV44" s="400">
        <f t="shared" si="325"/>
        <v>0.17171182900697102</v>
      </c>
      <c r="AW44" s="400">
        <f t="shared" si="325"/>
        <v>0.24801508535132991</v>
      </c>
      <c r="AX44" s="400">
        <f t="shared" si="325"/>
        <v>0.24267801299013711</v>
      </c>
      <c r="AY44" s="24">
        <f t="shared" si="325"/>
        <v>0.21527423844434862</v>
      </c>
      <c r="AZ44" s="400">
        <f>-AZ43/AZ42</f>
        <v>0.57841483979763908</v>
      </c>
      <c r="BA44" s="400">
        <f>-BA43/BA42</f>
        <v>9.8093241002633377E-2</v>
      </c>
      <c r="BB44" s="400">
        <f>-BB43/BB42</f>
        <v>0.16652875116102339</v>
      </c>
      <c r="BC44" s="400">
        <f>-BC43/BC42</f>
        <v>8.5860691565908573E-2</v>
      </c>
      <c r="BD44" s="24">
        <f t="shared" ref="BD44:CC44" si="326">-BD43/BD42</f>
        <v>0.15361214328571879</v>
      </c>
      <c r="BE44" s="400">
        <f t="shared" si="326"/>
        <v>3.9851732350003839E-2</v>
      </c>
      <c r="BF44" s="400">
        <f t="shared" si="326"/>
        <v>-2.1468207040844175E-2</v>
      </c>
      <c r="BG44" s="400">
        <f t="shared" si="326"/>
        <v>9.7016624914598046E-2</v>
      </c>
      <c r="BH44" s="400">
        <f t="shared" si="326"/>
        <v>7.0716480209238375E-2</v>
      </c>
      <c r="BI44" s="24">
        <f t="shared" si="326"/>
        <v>4.9348416949722335E-2</v>
      </c>
      <c r="BJ44" s="400">
        <f>-BJ43/BJ42</f>
        <v>2.2856782055531877E-2</v>
      </c>
      <c r="BK44" s="400">
        <f>-BK43/BK42</f>
        <v>7.1164957660400902E-2</v>
      </c>
      <c r="BL44" s="400">
        <f>-BL43/BL42</f>
        <v>5.2692603640733207E-2</v>
      </c>
      <c r="BM44" s="400">
        <f>-BM43/BM42</f>
        <v>5.6476731874299697E-2</v>
      </c>
      <c r="BN44" s="24">
        <f t="shared" si="326"/>
        <v>5.3251635862702332E-2</v>
      </c>
      <c r="BO44" s="400">
        <f t="shared" si="326"/>
        <v>2.346474440758697E-2</v>
      </c>
      <c r="BP44" s="400">
        <f t="shared" si="326"/>
        <v>2.1737728701539453E-2</v>
      </c>
      <c r="BQ44" s="400">
        <f t="shared" si="326"/>
        <v>4.1376194736515756E-2</v>
      </c>
      <c r="BR44" s="400">
        <f t="shared" si="326"/>
        <v>2.5948698008432872E-2</v>
      </c>
      <c r="BS44" s="24">
        <f t="shared" si="326"/>
        <v>2.7937233031550955E-2</v>
      </c>
      <c r="BT44" s="400">
        <f>-BT43/BT42</f>
        <v>8.3267346011553195E-2</v>
      </c>
      <c r="BU44" s="400">
        <f>-BU43/BU42</f>
        <v>1.7314955329126778E-2</v>
      </c>
      <c r="BV44" s="400">
        <f>-BV43/BV42</f>
        <v>5.5468801913748422E-2</v>
      </c>
      <c r="BW44" s="400">
        <f>-BW43/BW42</f>
        <v>0.12224151806514465</v>
      </c>
      <c r="BX44" s="24">
        <f t="shared" si="326"/>
        <v>7.0074640962089943E-2</v>
      </c>
      <c r="BY44" s="400">
        <f>-BY43/BY42</f>
        <v>8.6401841961106549E-2</v>
      </c>
      <c r="BZ44" s="400">
        <f>-BZ43/BZ42</f>
        <v>0.11388808827767942</v>
      </c>
      <c r="CA44" s="400">
        <f>-CA43/CA42</f>
        <v>9.8714734649200234E-2</v>
      </c>
      <c r="CB44" s="400">
        <f>-CB43/CB42</f>
        <v>9.122814101464051E-2</v>
      </c>
      <c r="CC44" s="24">
        <f t="shared" si="326"/>
        <v>9.7745139749542187E-2</v>
      </c>
      <c r="CD44" s="400">
        <f>-CD43/CD42</f>
        <v>0.13758805874949456</v>
      </c>
      <c r="CE44" s="400">
        <f>-CE43/CE42</f>
        <v>0.13091638254319693</v>
      </c>
      <c r="CF44" s="400">
        <f ca="1">-CF43/CF42</f>
        <v>0.11417361656126676</v>
      </c>
      <c r="CG44" s="400">
        <f ca="1">-CG43/CG42</f>
        <v>0.10586644477131286</v>
      </c>
      <c r="CH44" s="24">
        <f ca="1">-CH43/CH42</f>
        <v>0.12161935051729257</v>
      </c>
      <c r="CI44" s="400">
        <f t="shared" ref="CI44:DB44" ca="1" si="327">-CI43/CI42</f>
        <v>0.11576405522701605</v>
      </c>
      <c r="CJ44" s="400">
        <f t="shared" ca="1" si="327"/>
        <v>0.11435829512573865</v>
      </c>
      <c r="CK44" s="400">
        <f t="shared" ca="1" si="327"/>
        <v>0.11052967114397323</v>
      </c>
      <c r="CL44" s="400">
        <f t="shared" ca="1" si="327"/>
        <v>0.11561418965665959</v>
      </c>
      <c r="CM44" s="24">
        <f t="shared" ca="1" si="327"/>
        <v>0.11398364816816209</v>
      </c>
      <c r="CN44" s="400">
        <f t="shared" ca="1" si="327"/>
        <v>0.10515690301464344</v>
      </c>
      <c r="CO44" s="400">
        <f t="shared" ca="1" si="327"/>
        <v>0.11300089288884771</v>
      </c>
      <c r="CP44" s="400">
        <f t="shared" ca="1" si="327"/>
        <v>0.11064574200433899</v>
      </c>
      <c r="CQ44" s="400">
        <f t="shared" ca="1" si="327"/>
        <v>0.11031671664214758</v>
      </c>
      <c r="CR44" s="24">
        <f t="shared" ca="1" si="327"/>
        <v>0.10977227308182061</v>
      </c>
      <c r="CS44" s="400">
        <f t="shared" ca="1" si="327"/>
        <v>0.1062881210929094</v>
      </c>
      <c r="CT44" s="400">
        <f t="shared" ca="1" si="327"/>
        <v>0.11473884873192657</v>
      </c>
      <c r="CU44" s="400">
        <f t="shared" ca="1" si="327"/>
        <v>0.11336352372998401</v>
      </c>
      <c r="CV44" s="400">
        <f t="shared" ca="1" si="327"/>
        <v>0.1134174217493463</v>
      </c>
      <c r="CW44" s="24">
        <f t="shared" ca="1" si="327"/>
        <v>0.1119229508315082</v>
      </c>
      <c r="CX44" s="400">
        <f t="shared" ca="1" si="327"/>
        <v>0.10706122189790888</v>
      </c>
      <c r="CY44" s="400">
        <f t="shared" ca="1" si="327"/>
        <v>0.11516625887962377</v>
      </c>
      <c r="CZ44" s="400">
        <f t="shared" ca="1" si="327"/>
        <v>0.11320736172641507</v>
      </c>
      <c r="DA44" s="400">
        <f t="shared" ca="1" si="327"/>
        <v>0.11221716436175871</v>
      </c>
      <c r="DB44" s="24">
        <f t="shared" ca="1" si="327"/>
        <v>0.11187653974387213</v>
      </c>
    </row>
    <row r="45" spans="1:106" s="11" customFormat="1" ht="11.25" customHeight="1" x14ac:dyDescent="0.35">
      <c r="A45" s="31" t="s">
        <v>89</v>
      </c>
      <c r="B45" s="47">
        <f t="shared" ref="B45:E45" si="328">B42+B43</f>
        <v>0</v>
      </c>
      <c r="C45" s="47">
        <f t="shared" si="328"/>
        <v>0</v>
      </c>
      <c r="D45" s="47">
        <f t="shared" si="328"/>
        <v>0</v>
      </c>
      <c r="E45" s="47">
        <f t="shared" si="328"/>
        <v>0</v>
      </c>
      <c r="F45" s="48">
        <f t="shared" ref="F45" si="329">SUM(B45:E45)</f>
        <v>0</v>
      </c>
      <c r="G45" s="47">
        <f t="shared" ref="G45:J45" si="330">G42+G43</f>
        <v>0</v>
      </c>
      <c r="H45" s="47">
        <f t="shared" si="330"/>
        <v>0</v>
      </c>
      <c r="I45" s="47">
        <f t="shared" si="330"/>
        <v>0</v>
      </c>
      <c r="J45" s="47">
        <f t="shared" si="330"/>
        <v>0</v>
      </c>
      <c r="K45" s="48">
        <f t="shared" ref="K45" si="331">SUM(G45:J45)</f>
        <v>0</v>
      </c>
      <c r="L45" s="47">
        <f t="shared" ref="L45:O45" si="332">L42+L43</f>
        <v>0</v>
      </c>
      <c r="M45" s="47">
        <f t="shared" si="332"/>
        <v>0</v>
      </c>
      <c r="N45" s="47">
        <f t="shared" si="332"/>
        <v>0</v>
      </c>
      <c r="O45" s="47">
        <f t="shared" si="332"/>
        <v>0</v>
      </c>
      <c r="P45" s="48">
        <f t="shared" ref="P45" si="333">SUM(L45:O45)</f>
        <v>0</v>
      </c>
      <c r="Q45" s="47">
        <f t="shared" ref="Q45:T45" si="334">Q42+Q43</f>
        <v>0</v>
      </c>
      <c r="R45" s="47">
        <f t="shared" si="334"/>
        <v>0</v>
      </c>
      <c r="S45" s="47">
        <f t="shared" si="334"/>
        <v>0</v>
      </c>
      <c r="T45" s="47">
        <f t="shared" si="334"/>
        <v>0</v>
      </c>
      <c r="U45" s="48">
        <f t="shared" ref="U45" si="335">SUM(Q45:T45)</f>
        <v>0</v>
      </c>
      <c r="V45" s="47">
        <f t="shared" ref="V45:Y45" si="336">V42+V43</f>
        <v>0</v>
      </c>
      <c r="W45" s="47">
        <f t="shared" si="336"/>
        <v>0</v>
      </c>
      <c r="X45" s="47">
        <f t="shared" si="336"/>
        <v>0</v>
      </c>
      <c r="Y45" s="47">
        <f t="shared" si="336"/>
        <v>0</v>
      </c>
      <c r="Z45" s="48">
        <f t="shared" ref="Z45" si="337">SUM(V45:Y45)</f>
        <v>0</v>
      </c>
      <c r="AA45" s="47">
        <f t="shared" ref="AA45:AD45" si="338">AA42+AA43</f>
        <v>0</v>
      </c>
      <c r="AB45" s="47">
        <f t="shared" si="338"/>
        <v>0</v>
      </c>
      <c r="AC45" s="47">
        <f t="shared" si="338"/>
        <v>0</v>
      </c>
      <c r="AD45" s="47">
        <f t="shared" si="338"/>
        <v>0</v>
      </c>
      <c r="AE45" s="48">
        <f t="shared" ref="AE45" si="339">SUM(AA45:AD45)</f>
        <v>0</v>
      </c>
      <c r="AF45" s="47">
        <f>AF42+AF43</f>
        <v>0</v>
      </c>
      <c r="AG45" s="47">
        <f>AG42+AG43</f>
        <v>0</v>
      </c>
      <c r="AH45" s="47">
        <f>AH42+AH43</f>
        <v>0</v>
      </c>
      <c r="AI45" s="47">
        <f>AI42+AI43</f>
        <v>0</v>
      </c>
      <c r="AJ45" s="48">
        <f>SUM(AF45:AI45)</f>
        <v>0</v>
      </c>
      <c r="AK45" s="47">
        <f>AK42+AK43</f>
        <v>12644.766000000014</v>
      </c>
      <c r="AL45" s="47">
        <f>AL42+AL43</f>
        <v>19613.649999999961</v>
      </c>
      <c r="AM45" s="47">
        <f>AM42+AM43</f>
        <v>33626.546000000031</v>
      </c>
      <c r="AN45" s="47">
        <f>AN42+AN43</f>
        <v>46949.213000000062</v>
      </c>
      <c r="AO45" s="48">
        <f>SUM(AK45:AN45)</f>
        <v>112834.17500000006</v>
      </c>
      <c r="AP45" s="47">
        <f>AP42+AP43</f>
        <v>20107.578000000001</v>
      </c>
      <c r="AQ45" s="47">
        <f>AQ42+AQ43</f>
        <v>31555.25299999999</v>
      </c>
      <c r="AR45" s="47">
        <f>AR42+AR43</f>
        <v>36217.241000000053</v>
      </c>
      <c r="AS45" s="47">
        <f>AS42+AS43</f>
        <v>43119.389999999978</v>
      </c>
      <c r="AT45" s="48">
        <f>SUM(AP45:AS45)</f>
        <v>130999.46200000003</v>
      </c>
      <c r="AU45" s="47">
        <f>AU42+AU43</f>
        <v>18376</v>
      </c>
      <c r="AV45" s="47">
        <f>AV42+AV43</f>
        <v>61073</v>
      </c>
      <c r="AW45" s="47">
        <f>AW42+AW43</f>
        <v>30308</v>
      </c>
      <c r="AX45" s="47">
        <f>AX42+AX43</f>
        <v>50371</v>
      </c>
      <c r="AY45" s="48">
        <f>SUM(AU45:AX45)</f>
        <v>160128</v>
      </c>
      <c r="AZ45" s="47">
        <f>AZ42+AZ43</f>
        <v>6500</v>
      </c>
      <c r="BA45" s="47">
        <f>BA42+BA43</f>
        <v>36989</v>
      </c>
      <c r="BB45" s="47">
        <f>BB42+BB43</f>
        <v>49354</v>
      </c>
      <c r="BC45" s="47">
        <f>BC42+BC43</f>
        <v>67969</v>
      </c>
      <c r="BD45" s="48">
        <f>SUM(AZ45:BC45)</f>
        <v>160812</v>
      </c>
      <c r="BE45" s="47">
        <f>BE42+BE43</f>
        <v>49993</v>
      </c>
      <c r="BF45" s="47">
        <f>BF42+BF43</f>
        <v>78603</v>
      </c>
      <c r="BG45" s="47">
        <f>BG42+BG43</f>
        <v>67405</v>
      </c>
      <c r="BH45" s="47">
        <f>BH42+BH43</f>
        <v>103748</v>
      </c>
      <c r="BI45" s="48">
        <f>SUM(BE45:BH45)</f>
        <v>299749</v>
      </c>
      <c r="BJ45" s="47">
        <f>BJ42+BJ43</f>
        <v>61903</v>
      </c>
      <c r="BK45" s="47">
        <f>BK42+BK43</f>
        <v>86325</v>
      </c>
      <c r="BL45" s="47">
        <f>BL42+BL43</f>
        <v>89872</v>
      </c>
      <c r="BM45" s="47">
        <f>BM42+BM43</f>
        <v>91785</v>
      </c>
      <c r="BN45" s="48">
        <f>SUM(BJ45:BM45)</f>
        <v>329885</v>
      </c>
      <c r="BO45" s="47">
        <f>BO42+BO43</f>
        <v>91849</v>
      </c>
      <c r="BP45" s="47">
        <f>BP42+BP43</f>
        <v>121373</v>
      </c>
      <c r="BQ45" s="47">
        <f>BQ42+BQ43</f>
        <v>108220</v>
      </c>
      <c r="BR45" s="47">
        <f>BR42+BR43</f>
        <v>160323</v>
      </c>
      <c r="BS45" s="48">
        <f>SUM(BO45:BR45)</f>
        <v>481765</v>
      </c>
      <c r="BT45" s="47">
        <f>BT42+BT43</f>
        <v>141241</v>
      </c>
      <c r="BU45" s="47">
        <f>BU42+BU43</f>
        <v>172247</v>
      </c>
      <c r="BV45" s="47">
        <f>BV42+BV43</f>
        <v>170571</v>
      </c>
      <c r="BW45" s="47">
        <f>BW42+BW43</f>
        <v>165784</v>
      </c>
      <c r="BX45" s="48">
        <f>SUM(BT45:BW45)</f>
        <v>649843</v>
      </c>
      <c r="BY45" s="47">
        <f>BY42+BY43</f>
        <v>213475</v>
      </c>
      <c r="BZ45" s="47">
        <f>BZ42+BZ43</f>
        <v>236731</v>
      </c>
      <c r="CA45" s="47">
        <f>CA42+CA43</f>
        <v>255253</v>
      </c>
      <c r="CB45" s="47">
        <f>CB42+CB43</f>
        <v>270077</v>
      </c>
      <c r="CC45" s="48">
        <f>SUM(BY45:CB45)</f>
        <v>975536</v>
      </c>
      <c r="CD45" s="47">
        <f>CD42+CD43</f>
        <v>302867</v>
      </c>
      <c r="CE45" s="47">
        <f>CE42+CE43</f>
        <v>270451</v>
      </c>
      <c r="CF45" s="47">
        <f ca="1">CF42+CF43</f>
        <v>305546.49957986851</v>
      </c>
      <c r="CG45" s="47">
        <f ca="1">CG42+CG43</f>
        <v>336750.65087304276</v>
      </c>
      <c r="CH45" s="48">
        <f ca="1">SUM(CD45:CG45)</f>
        <v>1215615.1504529114</v>
      </c>
      <c r="CI45" s="47">
        <f ca="1">CI42+CI43</f>
        <v>346186.54428515316</v>
      </c>
      <c r="CJ45" s="47">
        <f ca="1">CJ42+CJ43</f>
        <v>375590.26855740021</v>
      </c>
      <c r="CK45" s="47">
        <f ca="1">CK42+CK43</f>
        <v>409313.89377156331</v>
      </c>
      <c r="CL45" s="47">
        <f ca="1">CL42+CL43</f>
        <v>397847.95739255287</v>
      </c>
      <c r="CM45" s="48">
        <f ca="1">SUM(CI45:CL45)</f>
        <v>1528938.6640066695</v>
      </c>
      <c r="CN45" s="47">
        <f ca="1">CN42+CN43</f>
        <v>450109.67411021976</v>
      </c>
      <c r="CO45" s="47">
        <f ca="1">CO42+CO43</f>
        <v>436907.9537099303</v>
      </c>
      <c r="CP45" s="47">
        <f ca="1">CP42+CP43</f>
        <v>457635.31386542699</v>
      </c>
      <c r="CQ45" s="47">
        <f ca="1">CQ42+CQ43</f>
        <v>460447.14029042103</v>
      </c>
      <c r="CR45" s="48">
        <f ca="1">SUM(CN45:CQ45)</f>
        <v>1805100.0819759979</v>
      </c>
      <c r="CS45" s="47">
        <f ca="1">CS42+CS43</f>
        <v>486049.85782481497</v>
      </c>
      <c r="CT45" s="47">
        <f ca="1">CT42+CT43</f>
        <v>464070.15105256968</v>
      </c>
      <c r="CU45" s="47">
        <f ca="1">CU42+CU43</f>
        <v>479834.49639250914</v>
      </c>
      <c r="CV45" s="47">
        <f ca="1">CV42+CV43</f>
        <v>479795.81576968374</v>
      </c>
      <c r="CW45" s="48">
        <f ca="1">SUM(CS45:CV45)</f>
        <v>1909750.3210395777</v>
      </c>
      <c r="CX45" s="47">
        <f ca="1">CX42+CX43</f>
        <v>514659.466587106</v>
      </c>
      <c r="CY45" s="47">
        <f ca="1">CY42+CY43</f>
        <v>490408.21206938894</v>
      </c>
      <c r="CZ45" s="47">
        <f ca="1">CZ42+CZ43</f>
        <v>505440.64165165828</v>
      </c>
      <c r="DA45" s="47">
        <f ca="1">DA42+DA43</f>
        <v>504526.8402182227</v>
      </c>
      <c r="DB45" s="48">
        <f ca="1">SUM(CX45:DA45)</f>
        <v>2015035.160526376</v>
      </c>
    </row>
    <row r="46" spans="1:106" ht="11.25" customHeight="1" x14ac:dyDescent="0.35">
      <c r="B46" s="49"/>
      <c r="C46" s="49"/>
      <c r="D46" s="49"/>
      <c r="E46" s="50"/>
      <c r="F46" s="51"/>
      <c r="G46" s="49"/>
      <c r="H46" s="49"/>
      <c r="I46" s="49"/>
      <c r="J46" s="50"/>
      <c r="K46" s="51"/>
      <c r="L46" s="49"/>
      <c r="M46" s="49"/>
      <c r="N46" s="49"/>
      <c r="O46" s="50"/>
      <c r="P46" s="51"/>
      <c r="Q46" s="49"/>
      <c r="R46" s="49"/>
      <c r="S46" s="49"/>
      <c r="T46" s="50"/>
      <c r="U46" s="51"/>
      <c r="V46" s="49"/>
      <c r="W46" s="49"/>
      <c r="X46" s="49"/>
      <c r="Y46" s="50"/>
      <c r="Z46" s="51"/>
      <c r="AA46" s="49"/>
      <c r="AB46" s="49"/>
      <c r="AC46" s="49"/>
      <c r="AD46" s="50"/>
      <c r="AE46" s="51"/>
      <c r="AF46" s="49"/>
      <c r="AG46" s="49"/>
      <c r="AH46" s="49"/>
      <c r="AI46" s="50"/>
      <c r="AJ46" s="51"/>
      <c r="AK46" s="49"/>
      <c r="AL46" s="49"/>
      <c r="AM46" s="49"/>
      <c r="AN46" s="50"/>
      <c r="AO46" s="51"/>
      <c r="AP46" s="49"/>
      <c r="AQ46" s="49"/>
      <c r="AR46" s="49"/>
      <c r="AS46" s="50"/>
      <c r="AT46" s="51"/>
      <c r="AU46" s="49"/>
      <c r="AV46" s="49"/>
      <c r="AW46" s="49"/>
      <c r="AX46" s="50"/>
      <c r="AY46" s="51"/>
      <c r="AZ46" s="49"/>
      <c r="BA46" s="49"/>
      <c r="BB46" s="49"/>
      <c r="BC46" s="50"/>
      <c r="BD46" s="51"/>
      <c r="BE46" s="49"/>
      <c r="BF46" s="49"/>
      <c r="BG46" s="49"/>
      <c r="BH46" s="50"/>
      <c r="BI46" s="51"/>
      <c r="BJ46" s="49"/>
      <c r="BK46" s="49"/>
      <c r="BL46" s="49"/>
      <c r="BM46" s="50"/>
      <c r="BN46" s="51"/>
      <c r="BO46" s="49"/>
      <c r="BP46" s="49"/>
      <c r="BQ46" s="49"/>
      <c r="BR46" s="50"/>
      <c r="BS46" s="51"/>
      <c r="BT46" s="21"/>
      <c r="BU46" s="21"/>
      <c r="BV46" s="21"/>
      <c r="BW46" s="21"/>
      <c r="BX46" s="51"/>
      <c r="BY46" s="21"/>
      <c r="BZ46" s="21"/>
      <c r="CA46" s="521"/>
      <c r="CB46" s="21"/>
      <c r="CC46" s="22"/>
      <c r="CD46" s="21"/>
      <c r="CE46" s="21"/>
      <c r="CF46" s="21"/>
      <c r="CG46" s="632"/>
      <c r="CH46" s="22"/>
      <c r="CI46" s="21"/>
      <c r="CJ46" s="21"/>
      <c r="CK46" s="21"/>
      <c r="CL46" s="632"/>
      <c r="CM46" s="22"/>
      <c r="CN46" s="49"/>
      <c r="CO46" s="49"/>
      <c r="CP46" s="49"/>
      <c r="CQ46" s="49"/>
      <c r="CR46" s="22"/>
      <c r="CS46" s="49"/>
      <c r="CT46" s="49"/>
      <c r="CU46" s="49"/>
      <c r="CV46" s="49"/>
      <c r="CW46" s="22"/>
      <c r="CX46" s="49"/>
      <c r="CY46" s="49"/>
      <c r="CZ46" s="49"/>
      <c r="DA46" s="49"/>
      <c r="DB46" s="22"/>
    </row>
    <row r="47" spans="1:106" s="15" customFormat="1" ht="11.25" customHeight="1" thickBot="1" x14ac:dyDescent="0.4">
      <c r="A47" s="34" t="s">
        <v>102</v>
      </c>
      <c r="B47" s="43" t="str">
        <f>Macro!B$3</f>
        <v>1Q10</v>
      </c>
      <c r="C47" s="43" t="str">
        <f>Macro!C$3</f>
        <v>2Q10</v>
      </c>
      <c r="D47" s="43" t="str">
        <f>Macro!D$3</f>
        <v>3Q10</v>
      </c>
      <c r="E47" s="44" t="str">
        <f>Macro!E$3</f>
        <v>4Q10</v>
      </c>
      <c r="F47" s="42" t="str">
        <f>Macro!F$3</f>
        <v>2010</v>
      </c>
      <c r="G47" s="43" t="str">
        <f>Macro!G$3</f>
        <v>1Q11</v>
      </c>
      <c r="H47" s="43" t="str">
        <f>Macro!H$3</f>
        <v>2Q11</v>
      </c>
      <c r="I47" s="43" t="str">
        <f>Macro!I$3</f>
        <v>3Q11</v>
      </c>
      <c r="J47" s="44" t="str">
        <f>Macro!J$3</f>
        <v>4Q11</v>
      </c>
      <c r="K47" s="42" t="str">
        <f>Macro!K$3</f>
        <v>2011</v>
      </c>
      <c r="L47" s="43" t="str">
        <f>Macro!L$3</f>
        <v>1Q12</v>
      </c>
      <c r="M47" s="43" t="str">
        <f>Macro!M$3</f>
        <v>2Q12</v>
      </c>
      <c r="N47" s="43" t="str">
        <f>Macro!N$3</f>
        <v>3Q12</v>
      </c>
      <c r="O47" s="44" t="str">
        <f>Macro!O$3</f>
        <v>4Q12</v>
      </c>
      <c r="P47" s="42" t="str">
        <f>Macro!P$3</f>
        <v>2012</v>
      </c>
      <c r="Q47" s="43" t="str">
        <f>Macro!Q$3</f>
        <v>1Q13</v>
      </c>
      <c r="R47" s="43" t="str">
        <f>Macro!R$3</f>
        <v>2Q13</v>
      </c>
      <c r="S47" s="43" t="str">
        <f>Macro!S$3</f>
        <v>3Q13</v>
      </c>
      <c r="T47" s="44" t="str">
        <f>Macro!T$3</f>
        <v>4Q13</v>
      </c>
      <c r="U47" s="42" t="str">
        <f>Macro!U$3</f>
        <v>2013</v>
      </c>
      <c r="V47" s="43" t="str">
        <f>Macro!V$3</f>
        <v>1Q14</v>
      </c>
      <c r="W47" s="43" t="str">
        <f>Macro!W$3</f>
        <v>2Q14</v>
      </c>
      <c r="X47" s="43" t="str">
        <f>Macro!X$3</f>
        <v>3Q14</v>
      </c>
      <c r="Y47" s="44" t="str">
        <f>Macro!Y$3</f>
        <v>4Q14</v>
      </c>
      <c r="Z47" s="42" t="str">
        <f>Macro!Z$3</f>
        <v>2014</v>
      </c>
      <c r="AA47" s="43" t="str">
        <f>Macro!AA$3</f>
        <v>1Q15</v>
      </c>
      <c r="AB47" s="43" t="str">
        <f>Macro!AB$3</f>
        <v>2Q15</v>
      </c>
      <c r="AC47" s="43" t="str">
        <f>Macro!AC$3</f>
        <v>3Q15</v>
      </c>
      <c r="AD47" s="44" t="str">
        <f>Macro!AD$3</f>
        <v>4Q15</v>
      </c>
      <c r="AE47" s="42" t="str">
        <f>Macro!AE$3</f>
        <v>2015</v>
      </c>
      <c r="AF47" s="43" t="str">
        <f>Macro!AF$3</f>
        <v>1Q16</v>
      </c>
      <c r="AG47" s="43" t="str">
        <f>Macro!AG$3</f>
        <v>2Q16</v>
      </c>
      <c r="AH47" s="43" t="str">
        <f>Macro!AH$3</f>
        <v>3Q16</v>
      </c>
      <c r="AI47" s="44" t="str">
        <f>Macro!AI$3</f>
        <v>4Q16</v>
      </c>
      <c r="AJ47" s="42" t="str">
        <f>Macro!AJ$3</f>
        <v>2016</v>
      </c>
      <c r="AK47" s="43" t="str">
        <f>Macro!AK$3</f>
        <v>1Q17</v>
      </c>
      <c r="AL47" s="43" t="str">
        <f>Macro!AL$3</f>
        <v>2Q17</v>
      </c>
      <c r="AM47" s="43" t="str">
        <f>Macro!AM$3</f>
        <v>3Q17</v>
      </c>
      <c r="AN47" s="44" t="str">
        <f>Macro!AN$3</f>
        <v>4Q17</v>
      </c>
      <c r="AO47" s="42" t="str">
        <f>Macro!AO$3</f>
        <v>2017</v>
      </c>
      <c r="AP47" s="43" t="str">
        <f>Macro!AP$3</f>
        <v>1Q18</v>
      </c>
      <c r="AQ47" s="43" t="str">
        <f>Macro!AQ$3</f>
        <v>2Q18</v>
      </c>
      <c r="AR47" s="43" t="str">
        <f>Macro!AR$3</f>
        <v>3Q18</v>
      </c>
      <c r="AS47" s="44" t="str">
        <f>Macro!AS$3</f>
        <v>4Q18</v>
      </c>
      <c r="AT47" s="42" t="str">
        <f>Macro!AT$3</f>
        <v>2018</v>
      </c>
      <c r="AU47" s="43" t="str">
        <f>Macro!AU$3</f>
        <v>1Q19</v>
      </c>
      <c r="AV47" s="43" t="str">
        <f>Macro!AV$3</f>
        <v>2Q19</v>
      </c>
      <c r="AW47" s="43" t="str">
        <f>Macro!AW$3</f>
        <v>3Q19</v>
      </c>
      <c r="AX47" s="44" t="str">
        <f>Macro!AX$3</f>
        <v>4Q19</v>
      </c>
      <c r="AY47" s="42" t="str">
        <f>Macro!AY$3</f>
        <v>2019</v>
      </c>
      <c r="AZ47" s="43" t="str">
        <f>Macro!AZ$3</f>
        <v>1Q20</v>
      </c>
      <c r="BA47" s="43" t="str">
        <f>Macro!BA$3</f>
        <v>2Q20</v>
      </c>
      <c r="BB47" s="43" t="str">
        <f>Macro!BB$3</f>
        <v>3Q20</v>
      </c>
      <c r="BC47" s="44" t="str">
        <f>Macro!BC$3</f>
        <v>4Q20</v>
      </c>
      <c r="BD47" s="42" t="str">
        <f>Macro!BD$3</f>
        <v>2020</v>
      </c>
      <c r="BE47" s="43" t="str">
        <f>Macro!BE$3</f>
        <v>1Q21</v>
      </c>
      <c r="BF47" s="43" t="str">
        <f>Macro!BF$3</f>
        <v>2Q21</v>
      </c>
      <c r="BG47" s="43" t="str">
        <f>Macro!BG$3</f>
        <v>3Q21</v>
      </c>
      <c r="BH47" s="44" t="str">
        <f>Macro!BH$3</f>
        <v>4Q21</v>
      </c>
      <c r="BI47" s="42" t="str">
        <f>Macro!BI$3</f>
        <v>2021</v>
      </c>
      <c r="BJ47" s="43" t="str">
        <f>Macro!BJ$3</f>
        <v>1Q22</v>
      </c>
      <c r="BK47" s="43" t="str">
        <f>Macro!BK$3</f>
        <v>2Q22</v>
      </c>
      <c r="BL47" s="43" t="str">
        <f>Macro!BL$3</f>
        <v>3Q22</v>
      </c>
      <c r="BM47" s="44" t="str">
        <f>Macro!BM$3</f>
        <v>4Q22</v>
      </c>
      <c r="BN47" s="42" t="str">
        <f>Macro!BN$3</f>
        <v>2022</v>
      </c>
      <c r="BO47" s="43" t="str">
        <f>Macro!BO$3</f>
        <v>1Q23</v>
      </c>
      <c r="BP47" s="43" t="str">
        <f>Macro!BP$3</f>
        <v>2Q23</v>
      </c>
      <c r="BQ47" s="43" t="str">
        <f>Macro!BQ$3</f>
        <v>3Q23</v>
      </c>
      <c r="BR47" s="44" t="str">
        <f>Macro!BR$3</f>
        <v>4Q23</v>
      </c>
      <c r="BS47" s="42" t="str">
        <f>Macro!BS$3</f>
        <v>2023</v>
      </c>
      <c r="BT47" s="43" t="str">
        <f>Macro!BT$3</f>
        <v>1Q24</v>
      </c>
      <c r="BU47" s="43" t="str">
        <f>Macro!BU$3</f>
        <v>2Q24</v>
      </c>
      <c r="BV47" s="43" t="str">
        <f>Macro!BV$3</f>
        <v>3Q24</v>
      </c>
      <c r="BW47" s="44" t="str">
        <f>Macro!BW$3</f>
        <v>4Q24</v>
      </c>
      <c r="BX47" s="42" t="str">
        <f>Macro!BX$3</f>
        <v>2024</v>
      </c>
      <c r="BY47" s="43" t="str">
        <f>Macro!BY$3</f>
        <v>1Q25</v>
      </c>
      <c r="BZ47" s="43" t="str">
        <f>Macro!BZ$3</f>
        <v>2Q25</v>
      </c>
      <c r="CA47" s="35" t="str">
        <f>Macro!CA$3</f>
        <v>3Q25</v>
      </c>
      <c r="CB47" s="35" t="str">
        <f>Macro!CB$3</f>
        <v>4Q25</v>
      </c>
      <c r="CC47" s="36" t="str">
        <f>Macro!CC$3</f>
        <v>2025</v>
      </c>
      <c r="CD47" s="35" t="str">
        <f>Macro!CD$3</f>
        <v>1Q26</v>
      </c>
      <c r="CE47" s="35" t="str">
        <f>Macro!CE$3</f>
        <v>2Q26E</v>
      </c>
      <c r="CF47" s="35" t="str">
        <f>Macro!CF$3</f>
        <v>3Q26E</v>
      </c>
      <c r="CG47" s="35" t="str">
        <f>Macro!CG$3</f>
        <v>4Q26E</v>
      </c>
      <c r="CH47" s="36" t="str">
        <f>Macro!CH$3</f>
        <v>2026E</v>
      </c>
      <c r="CI47" s="35" t="str">
        <f>Macro!CI$3</f>
        <v>1Q27E</v>
      </c>
      <c r="CJ47" s="35" t="str">
        <f>Macro!CJ$3</f>
        <v>2Q27E</v>
      </c>
      <c r="CK47" s="35" t="str">
        <f>Macro!CK$3</f>
        <v>3Q27E</v>
      </c>
      <c r="CL47" s="35" t="str">
        <f>Macro!CL$3</f>
        <v>4Q27E</v>
      </c>
      <c r="CM47" s="36" t="str">
        <f>Macro!CM$3</f>
        <v>2027E</v>
      </c>
      <c r="CN47" s="35" t="str">
        <f>Macro!CN$3</f>
        <v>1Q28E</v>
      </c>
      <c r="CO47" s="35" t="str">
        <f>Macro!CO$3</f>
        <v>2Q28E</v>
      </c>
      <c r="CP47" s="35" t="str">
        <f>Macro!CP$3</f>
        <v>3Q28E</v>
      </c>
      <c r="CQ47" s="35" t="str">
        <f>Macro!CQ$3</f>
        <v>4Q28E</v>
      </c>
      <c r="CR47" s="36" t="str">
        <f>Macro!CR$3</f>
        <v>2028E</v>
      </c>
      <c r="CS47" s="35" t="str">
        <f>Macro!CS$3</f>
        <v>1Q29E</v>
      </c>
      <c r="CT47" s="35" t="str">
        <f>Macro!CT$3</f>
        <v>2Q29E</v>
      </c>
      <c r="CU47" s="35" t="str">
        <f>Macro!CU$3</f>
        <v>3Q29E</v>
      </c>
      <c r="CV47" s="35" t="str">
        <f>Macro!CV$3</f>
        <v>4Q29E</v>
      </c>
      <c r="CW47" s="36" t="str">
        <f>Macro!CW$3</f>
        <v>2029E</v>
      </c>
      <c r="CX47" s="35" t="str">
        <f>Macro!CX$3</f>
        <v>1Q30E</v>
      </c>
      <c r="CY47" s="35" t="str">
        <f>Macro!CY$3</f>
        <v>2Q30E</v>
      </c>
      <c r="CZ47" s="35" t="str">
        <f>Macro!CZ$3</f>
        <v>3Q30E</v>
      </c>
      <c r="DA47" s="35" t="str">
        <f>Macro!DA$3</f>
        <v>4Q30E</v>
      </c>
      <c r="DB47" s="36" t="str">
        <f>Macro!DB$3</f>
        <v>2030E</v>
      </c>
    </row>
    <row r="48" spans="1:106" ht="11.25" customHeight="1" x14ac:dyDescent="0.35">
      <c r="A48" s="16" t="s">
        <v>103</v>
      </c>
      <c r="B48" s="401"/>
      <c r="C48" s="401"/>
      <c r="D48" s="401"/>
      <c r="E48" s="401"/>
      <c r="F48" s="18">
        <f t="shared" ref="F48" si="340">E48</f>
        <v>0</v>
      </c>
      <c r="G48" s="401"/>
      <c r="H48" s="401"/>
      <c r="I48" s="401"/>
      <c r="J48" s="401"/>
      <c r="K48" s="18">
        <f t="shared" ref="K48" si="341">J48</f>
        <v>0</v>
      </c>
      <c r="L48" s="401"/>
      <c r="M48" s="401"/>
      <c r="N48" s="401"/>
      <c r="O48" s="401"/>
      <c r="P48" s="18">
        <f t="shared" ref="P48" si="342">O48</f>
        <v>0</v>
      </c>
      <c r="Q48" s="401"/>
      <c r="R48" s="401"/>
      <c r="S48" s="401"/>
      <c r="T48" s="401"/>
      <c r="U48" s="18">
        <f t="shared" ref="U48" si="343">T48</f>
        <v>0</v>
      </c>
      <c r="V48" s="401"/>
      <c r="W48" s="401"/>
      <c r="X48" s="401"/>
      <c r="Y48" s="401"/>
      <c r="Z48" s="18">
        <f t="shared" ref="Z48" si="344">Y48</f>
        <v>0</v>
      </c>
      <c r="AA48" s="401"/>
      <c r="AB48" s="401"/>
      <c r="AC48" s="401"/>
      <c r="AD48" s="401"/>
      <c r="AE48" s="18">
        <f t="shared" ref="AE48" si="345">AD48</f>
        <v>0</v>
      </c>
      <c r="AF48" s="401"/>
      <c r="AG48" s="401"/>
      <c r="AH48" s="401"/>
      <c r="AI48" s="401"/>
      <c r="AJ48" s="18">
        <f>AI48</f>
        <v>0</v>
      </c>
      <c r="AK48" s="401">
        <v>273693.27</v>
      </c>
      <c r="AL48" s="401">
        <f>AK48</f>
        <v>273693.27</v>
      </c>
      <c r="AM48" s="401">
        <f t="shared" ref="AM48" si="346">AL48</f>
        <v>273693.27</v>
      </c>
      <c r="AN48" s="401">
        <v>273693.27</v>
      </c>
      <c r="AO48" s="18">
        <f>AN48</f>
        <v>273693.27</v>
      </c>
      <c r="AP48" s="401">
        <v>273693.27</v>
      </c>
      <c r="AQ48" s="401">
        <f>AP48</f>
        <v>273693.27</v>
      </c>
      <c r="AR48" s="401">
        <f t="shared" ref="AR48" si="347">AQ48</f>
        <v>273693.27</v>
      </c>
      <c r="AS48" s="401">
        <v>273693.27</v>
      </c>
      <c r="AT48" s="18">
        <f>AS48</f>
        <v>273693.27</v>
      </c>
      <c r="AU48" s="401">
        <v>273693.27</v>
      </c>
      <c r="AV48" s="401">
        <f>AU48</f>
        <v>273693.27</v>
      </c>
      <c r="AW48" s="401">
        <f t="shared" ref="AW48" si="348">AV48</f>
        <v>273693.27</v>
      </c>
      <c r="AX48" s="401">
        <v>273693.27</v>
      </c>
      <c r="AY48" s="18">
        <f t="shared" ref="AY48" si="349">AX48</f>
        <v>273693.27</v>
      </c>
      <c r="AZ48" s="401">
        <v>273693.27</v>
      </c>
      <c r="BA48" s="401">
        <v>273693.27</v>
      </c>
      <c r="BB48" s="401">
        <v>291875.08799999999</v>
      </c>
      <c r="BC48" s="401">
        <v>291875.08799999999</v>
      </c>
      <c r="BD48" s="18">
        <f t="shared" ref="BD48" si="350">BC48</f>
        <v>291875.08799999999</v>
      </c>
      <c r="BE48" s="401">
        <v>291875.08799999999</v>
      </c>
      <c r="BF48" s="401">
        <v>291875.08799999999</v>
      </c>
      <c r="BG48" s="401">
        <v>291875.08799999999</v>
      </c>
      <c r="BH48" s="401">
        <f>291785.088-18.6</f>
        <v>291766.48800000001</v>
      </c>
      <c r="BI48" s="18">
        <f t="shared" ref="BI48" si="351">BH48</f>
        <v>291766.48800000001</v>
      </c>
      <c r="BJ48" s="401">
        <v>291875.08799999999</v>
      </c>
      <c r="BK48" s="401">
        <f>291875.088-1990.8</f>
        <v>289884.288</v>
      </c>
      <c r="BL48" s="401">
        <f>291875.088-1990.8</f>
        <v>289884.288</v>
      </c>
      <c r="BM48" s="401">
        <f>291875.088-1990.8</f>
        <v>289884.288</v>
      </c>
      <c r="BN48" s="18">
        <f t="shared" ref="BN48" si="352">BM48</f>
        <v>289884.288</v>
      </c>
      <c r="BO48" s="401">
        <f>291875.088-1990.8</f>
        <v>289884.288</v>
      </c>
      <c r="BP48" s="401">
        <f>291875.088-1990.8</f>
        <v>289884.288</v>
      </c>
      <c r="BQ48" s="401">
        <f>291875.088-1990.8</f>
        <v>289884.288</v>
      </c>
      <c r="BR48" s="401">
        <f>291875.088-1990.8</f>
        <v>289884.288</v>
      </c>
      <c r="BS48" s="18">
        <f t="shared" ref="BS48" si="353">BR48</f>
        <v>289884.288</v>
      </c>
      <c r="BT48" s="401">
        <f>291875.088-1990.8</f>
        <v>289884.288</v>
      </c>
      <c r="BU48" s="401">
        <f>291875.088-1990.8</f>
        <v>289884.288</v>
      </c>
      <c r="BV48" s="401">
        <f>291875.088-1990.8</f>
        <v>289884.288</v>
      </c>
      <c r="BW48" s="401">
        <f>291875.088-1990.8</f>
        <v>289884.288</v>
      </c>
      <c r="BX48" s="18">
        <f t="shared" ref="BX48" si="354">BW48</f>
        <v>289884.288</v>
      </c>
      <c r="BY48" s="401">
        <f>291875.088-1990.8</f>
        <v>289884.288</v>
      </c>
      <c r="BZ48" s="401">
        <f>291875.088</f>
        <v>291875.08799999999</v>
      </c>
      <c r="CA48" s="401">
        <f>291875.088</f>
        <v>291875.08799999999</v>
      </c>
      <c r="CB48" s="401">
        <f>308047.594-0</f>
        <v>308047.59399999998</v>
      </c>
      <c r="CC48" s="18">
        <f>CB48</f>
        <v>308047.59399999998</v>
      </c>
      <c r="CD48" s="401">
        <f>308047.594-0</f>
        <v>308047.59399999998</v>
      </c>
      <c r="CE48" s="401">
        <f>308047.594-0</f>
        <v>308047.59399999998</v>
      </c>
      <c r="CF48" s="17">
        <f>CE48+CF49+CF50</f>
        <v>308047.59399999998</v>
      </c>
      <c r="CG48" s="17">
        <f>CF48+CG49+CG50</f>
        <v>308047.59399999998</v>
      </c>
      <c r="CH48" s="18">
        <f>CG48</f>
        <v>308047.59399999998</v>
      </c>
      <c r="CI48" s="17">
        <f>CH48+CI49+CI50</f>
        <v>308047.59399999998</v>
      </c>
      <c r="CJ48" s="17">
        <f>CI48+CJ49+CJ50</f>
        <v>308047.59399999998</v>
      </c>
      <c r="CK48" s="17">
        <f>CJ48+CK49+CK50</f>
        <v>308047.59399999998</v>
      </c>
      <c r="CL48" s="17">
        <f>CK48+CL49+CL50</f>
        <v>308047.59399999998</v>
      </c>
      <c r="CM48" s="18">
        <f>CL48</f>
        <v>308047.59399999998</v>
      </c>
      <c r="CN48" s="17">
        <f>CM48+CN49+CN50</f>
        <v>308047.59399999998</v>
      </c>
      <c r="CO48" s="17">
        <f>CN48+CO49+CO50</f>
        <v>308047.59399999998</v>
      </c>
      <c r="CP48" s="17">
        <f>CO48+CP49+CP50</f>
        <v>308047.59399999998</v>
      </c>
      <c r="CQ48" s="17">
        <f>CP48+CQ49+CQ50</f>
        <v>308047.59399999998</v>
      </c>
      <c r="CR48" s="18">
        <f>CQ48</f>
        <v>308047.59399999998</v>
      </c>
      <c r="CS48" s="17">
        <f>CR48+CS49+CS50</f>
        <v>308047.59399999998</v>
      </c>
      <c r="CT48" s="17">
        <f>CS48+CT49+CT50</f>
        <v>308047.59399999998</v>
      </c>
      <c r="CU48" s="17">
        <f>CT48+CU49+CU50</f>
        <v>308047.59399999998</v>
      </c>
      <c r="CV48" s="17">
        <f>CU48+CV49+CV50</f>
        <v>308047.59399999998</v>
      </c>
      <c r="CW48" s="18">
        <f>CV48</f>
        <v>308047.59399999998</v>
      </c>
      <c r="CX48" s="17">
        <f>CW48+CX49+CX50</f>
        <v>308047.59399999998</v>
      </c>
      <c r="CY48" s="17">
        <f>CX48+CY49+CY50</f>
        <v>308047.59399999998</v>
      </c>
      <c r="CZ48" s="17">
        <f>CY48+CZ49+CZ50</f>
        <v>308047.59399999998</v>
      </c>
      <c r="DA48" s="17">
        <f>CZ48+DA49+DA50</f>
        <v>308047.59399999998</v>
      </c>
      <c r="DB48" s="18">
        <f>DA48</f>
        <v>308047.59399999998</v>
      </c>
    </row>
    <row r="49" spans="1:107" ht="11.25" customHeight="1" x14ac:dyDescent="0.35">
      <c r="A49" s="149" t="s">
        <v>99</v>
      </c>
      <c r="B49" s="403"/>
      <c r="C49" s="403"/>
      <c r="D49" s="403"/>
      <c r="E49" s="403"/>
      <c r="F49" s="20">
        <f t="shared" ref="F49:F50" si="355">SUM(B49:E49)</f>
        <v>0</v>
      </c>
      <c r="G49" s="403"/>
      <c r="H49" s="403"/>
      <c r="I49" s="403"/>
      <c r="J49" s="403"/>
      <c r="K49" s="20">
        <f t="shared" ref="K49:K50" si="356">SUM(G49:J49)</f>
        <v>0</v>
      </c>
      <c r="L49" s="403"/>
      <c r="M49" s="403"/>
      <c r="N49" s="403"/>
      <c r="O49" s="403"/>
      <c r="P49" s="20">
        <f t="shared" ref="P49:P50" si="357">SUM(L49:O49)</f>
        <v>0</v>
      </c>
      <c r="Q49" s="403"/>
      <c r="R49" s="403"/>
      <c r="S49" s="403"/>
      <c r="T49" s="403"/>
      <c r="U49" s="20">
        <f t="shared" ref="U49:U50" si="358">SUM(Q49:T49)</f>
        <v>0</v>
      </c>
      <c r="V49" s="403"/>
      <c r="W49" s="403"/>
      <c r="X49" s="403"/>
      <c r="Y49" s="403"/>
      <c r="Z49" s="20">
        <f t="shared" ref="Z49:Z50" si="359">SUM(V49:Y49)</f>
        <v>0</v>
      </c>
      <c r="AA49" s="403"/>
      <c r="AB49" s="403"/>
      <c r="AC49" s="403"/>
      <c r="AD49" s="403"/>
      <c r="AE49" s="20">
        <f t="shared" ref="AE49:AE50" si="360">SUM(AA49:AD49)</f>
        <v>0</v>
      </c>
      <c r="AF49" s="403"/>
      <c r="AG49" s="403"/>
      <c r="AH49" s="403"/>
      <c r="AI49" s="403"/>
      <c r="AJ49" s="20">
        <f>SUM(AF49:AI49)</f>
        <v>0</v>
      </c>
      <c r="AK49" s="403">
        <v>0</v>
      </c>
      <c r="AL49" s="403">
        <v>0</v>
      </c>
      <c r="AM49" s="403">
        <v>0</v>
      </c>
      <c r="AN49" s="403">
        <v>0</v>
      </c>
      <c r="AO49" s="20">
        <f>SUM(AK49:AN49)</f>
        <v>0</v>
      </c>
      <c r="AP49" s="403">
        <v>0</v>
      </c>
      <c r="AQ49" s="403">
        <v>0</v>
      </c>
      <c r="AR49" s="403">
        <v>0</v>
      </c>
      <c r="AS49" s="403">
        <v>0</v>
      </c>
      <c r="AT49" s="20">
        <f>SUM(AP49:AS49)</f>
        <v>0</v>
      </c>
      <c r="AU49" s="403">
        <v>0</v>
      </c>
      <c r="AV49" s="403">
        <v>0</v>
      </c>
      <c r="AW49" s="403">
        <v>0</v>
      </c>
      <c r="AX49" s="403">
        <v>0</v>
      </c>
      <c r="AY49" s="20">
        <f>SUM(AU49:AX49)</f>
        <v>0</v>
      </c>
      <c r="AZ49" s="403">
        <v>0</v>
      </c>
      <c r="BA49" s="403">
        <v>0</v>
      </c>
      <c r="BB49" s="27">
        <f>BB48-BA48</f>
        <v>18181.81799999997</v>
      </c>
      <c r="BC49" s="403">
        <v>0</v>
      </c>
      <c r="BD49" s="20">
        <f>SUM(AZ49:BC49)</f>
        <v>18181.81799999997</v>
      </c>
      <c r="BE49" s="403">
        <v>0</v>
      </c>
      <c r="BF49" s="403">
        <v>0</v>
      </c>
      <c r="BG49" s="403">
        <v>0</v>
      </c>
      <c r="BH49" s="403">
        <v>0</v>
      </c>
      <c r="BI49" s="20">
        <f>SUM(BE49:BH49)</f>
        <v>0</v>
      </c>
      <c r="BJ49" s="403">
        <v>0</v>
      </c>
      <c r="BK49" s="403">
        <v>0</v>
      </c>
      <c r="BL49" s="403">
        <v>0</v>
      </c>
      <c r="BM49" s="403">
        <v>0</v>
      </c>
      <c r="BN49" s="20">
        <f>SUM(BJ49:BM49)</f>
        <v>0</v>
      </c>
      <c r="BO49" s="403">
        <v>0</v>
      </c>
      <c r="BP49" s="403">
        <v>0</v>
      </c>
      <c r="BQ49" s="403">
        <v>0</v>
      </c>
      <c r="BR49" s="403">
        <v>0</v>
      </c>
      <c r="BS49" s="20">
        <f>SUM(BO49:BR49)</f>
        <v>0</v>
      </c>
      <c r="BT49" s="403">
        <v>0</v>
      </c>
      <c r="BU49" s="403">
        <v>0</v>
      </c>
      <c r="BV49" s="403">
        <v>0</v>
      </c>
      <c r="BW49" s="403">
        <v>0</v>
      </c>
      <c r="BX49" s="20">
        <f>SUM(BT49:BW49)</f>
        <v>0</v>
      </c>
      <c r="BY49" s="403">
        <v>0</v>
      </c>
      <c r="BZ49" s="403">
        <v>0</v>
      </c>
      <c r="CA49" s="403">
        <v>0</v>
      </c>
      <c r="CB49" s="403">
        <v>0</v>
      </c>
      <c r="CC49" s="20">
        <f>SUM(BY49:CB49)</f>
        <v>0</v>
      </c>
      <c r="CD49" s="403">
        <v>0</v>
      </c>
      <c r="CE49" s="403">
        <v>0</v>
      </c>
      <c r="CF49" s="433">
        <f>('BS &amp; FCF'!CF44-'BS &amp; FCF'!CE44)/Valuation!$B$6</f>
        <v>0</v>
      </c>
      <c r="CG49" s="433">
        <f>('BS &amp; FCF'!CG44-'BS &amp; FCF'!CF44)/Valuation!$B$6</f>
        <v>0</v>
      </c>
      <c r="CH49" s="20">
        <f>SUM(CD49:CG49)</f>
        <v>0</v>
      </c>
      <c r="CI49" s="433">
        <f>('BS &amp; FCF'!CI44-'BS &amp; FCF'!CG44)/Valuation!$B$6</f>
        <v>0</v>
      </c>
      <c r="CJ49" s="433">
        <f>('BS &amp; FCF'!CJ44-'BS &amp; FCF'!CI44)/Valuation!$B$6</f>
        <v>0</v>
      </c>
      <c r="CK49" s="433">
        <f>('BS &amp; FCF'!CK44-'BS &amp; FCF'!CJ44)/Valuation!$B$6</f>
        <v>0</v>
      </c>
      <c r="CL49" s="433">
        <f>('BS &amp; FCF'!CL44-'BS &amp; FCF'!CK44)/Valuation!$B$6</f>
        <v>0</v>
      </c>
      <c r="CM49" s="20">
        <f>SUM(CI49:CL49)</f>
        <v>0</v>
      </c>
      <c r="CN49" s="433">
        <f>('BS &amp; FCF'!CN44-'BS &amp; FCF'!CL44)/Valuation!$B$6</f>
        <v>0</v>
      </c>
      <c r="CO49" s="433">
        <f>('BS &amp; FCF'!CO44-'BS &amp; FCF'!CN44)/Valuation!$B$6</f>
        <v>0</v>
      </c>
      <c r="CP49" s="433">
        <f>('BS &amp; FCF'!CP44-'BS &amp; FCF'!CO44)/Valuation!$B$6</f>
        <v>0</v>
      </c>
      <c r="CQ49" s="433">
        <f>('BS &amp; FCF'!CQ44-'BS &amp; FCF'!CP44)/Valuation!$B$6</f>
        <v>0</v>
      </c>
      <c r="CR49" s="20">
        <f>SUM(CN49:CQ49)</f>
        <v>0</v>
      </c>
      <c r="CS49" s="433">
        <f>('BS &amp; FCF'!CS44-'BS &amp; FCF'!CQ44)/Valuation!$B$6</f>
        <v>0</v>
      </c>
      <c r="CT49" s="433">
        <f>('BS &amp; FCF'!CT44-'BS &amp; FCF'!CS44)/Valuation!$B$6</f>
        <v>0</v>
      </c>
      <c r="CU49" s="433">
        <f>('BS &amp; FCF'!CU44-'BS &amp; FCF'!CT44)/Valuation!$B$6</f>
        <v>0</v>
      </c>
      <c r="CV49" s="433">
        <f>('BS &amp; FCF'!CV44-'BS &amp; FCF'!CU44)/Valuation!$B$6</f>
        <v>0</v>
      </c>
      <c r="CW49" s="20">
        <f>SUM(CS49:CV49)</f>
        <v>0</v>
      </c>
      <c r="CX49" s="433">
        <f>('BS &amp; FCF'!CX44-'BS &amp; FCF'!CV44)/Valuation!$B$6</f>
        <v>0</v>
      </c>
      <c r="CY49" s="433">
        <f>('BS &amp; FCF'!CY44-'BS &amp; FCF'!CX44)/Valuation!$B$6</f>
        <v>0</v>
      </c>
      <c r="CZ49" s="433">
        <f>('BS &amp; FCF'!CZ44-'BS &amp; FCF'!CY44)/Valuation!$B$6</f>
        <v>0</v>
      </c>
      <c r="DA49" s="433">
        <f>('BS &amp; FCF'!DA44-'BS &amp; FCF'!CZ44)/Valuation!$B$6</f>
        <v>0</v>
      </c>
      <c r="DB49" s="20">
        <f>SUM(CX49:DA49)</f>
        <v>0</v>
      </c>
    </row>
    <row r="50" spans="1:107" ht="11.25" customHeight="1" x14ac:dyDescent="0.35">
      <c r="A50" s="204" t="s">
        <v>100</v>
      </c>
      <c r="B50" s="205" t="e">
        <f>B48-#REF!-B49</f>
        <v>#REF!</v>
      </c>
      <c r="C50" s="205">
        <f t="shared" ref="C50:E50" si="361">C48-B48-C49</f>
        <v>0</v>
      </c>
      <c r="D50" s="205">
        <f t="shared" si="361"/>
        <v>0</v>
      </c>
      <c r="E50" s="205">
        <f t="shared" si="361"/>
        <v>0</v>
      </c>
      <c r="F50" s="206" t="e">
        <f t="shared" si="355"/>
        <v>#REF!</v>
      </c>
      <c r="G50" s="205">
        <f t="shared" ref="G50" si="362">G48-E48-G49</f>
        <v>0</v>
      </c>
      <c r="H50" s="205">
        <f t="shared" ref="H50:J50" si="363">H48-G48-H49</f>
        <v>0</v>
      </c>
      <c r="I50" s="205">
        <f t="shared" si="363"/>
        <v>0</v>
      </c>
      <c r="J50" s="205">
        <f t="shared" si="363"/>
        <v>0</v>
      </c>
      <c r="K50" s="206">
        <f t="shared" si="356"/>
        <v>0</v>
      </c>
      <c r="L50" s="205">
        <f t="shared" ref="L50" si="364">L48-J48-L49</f>
        <v>0</v>
      </c>
      <c r="M50" s="205">
        <f t="shared" ref="M50:O50" si="365">M48-L48-M49</f>
        <v>0</v>
      </c>
      <c r="N50" s="205">
        <f t="shared" si="365"/>
        <v>0</v>
      </c>
      <c r="O50" s="205">
        <f t="shared" si="365"/>
        <v>0</v>
      </c>
      <c r="P50" s="206">
        <f t="shared" si="357"/>
        <v>0</v>
      </c>
      <c r="Q50" s="205">
        <f t="shared" ref="Q50" si="366">Q48-O48-Q49</f>
        <v>0</v>
      </c>
      <c r="R50" s="205">
        <f t="shared" ref="R50:T50" si="367">R48-Q48-R49</f>
        <v>0</v>
      </c>
      <c r="S50" s="205">
        <f t="shared" si="367"/>
        <v>0</v>
      </c>
      <c r="T50" s="205">
        <f t="shared" si="367"/>
        <v>0</v>
      </c>
      <c r="U50" s="206">
        <f t="shared" si="358"/>
        <v>0</v>
      </c>
      <c r="V50" s="205">
        <f t="shared" ref="V50" si="368">V48-T48-V49</f>
        <v>0</v>
      </c>
      <c r="W50" s="205">
        <f t="shared" ref="W50:Y50" si="369">W48-V48-W49</f>
        <v>0</v>
      </c>
      <c r="X50" s="205">
        <f t="shared" si="369"/>
        <v>0</v>
      </c>
      <c r="Y50" s="205">
        <f t="shared" si="369"/>
        <v>0</v>
      </c>
      <c r="Z50" s="206">
        <f t="shared" si="359"/>
        <v>0</v>
      </c>
      <c r="AA50" s="205">
        <f t="shared" ref="AA50" si="370">AA48-Y48-AA49</f>
        <v>0</v>
      </c>
      <c r="AB50" s="205">
        <f t="shared" ref="AB50:AD50" si="371">AB48-AA48-AB49</f>
        <v>0</v>
      </c>
      <c r="AC50" s="205">
        <f t="shared" si="371"/>
        <v>0</v>
      </c>
      <c r="AD50" s="205">
        <f t="shared" si="371"/>
        <v>0</v>
      </c>
      <c r="AE50" s="206">
        <f t="shared" si="360"/>
        <v>0</v>
      </c>
      <c r="AF50" s="205">
        <f>AF48-AD48-AF49</f>
        <v>0</v>
      </c>
      <c r="AG50" s="205">
        <f>AG48-AF48-AG49</f>
        <v>0</v>
      </c>
      <c r="AH50" s="205">
        <f>AH48-AG48-AH49</f>
        <v>0</v>
      </c>
      <c r="AI50" s="205">
        <f>AI48-AH48-AI49</f>
        <v>0</v>
      </c>
      <c r="AJ50" s="206">
        <f>SUM(AF50:AI50)</f>
        <v>0</v>
      </c>
      <c r="AK50" s="205">
        <f>AK48-AI48-AK49</f>
        <v>273693.27</v>
      </c>
      <c r="AL50" s="205">
        <f>AL48-AK48-AL49</f>
        <v>0</v>
      </c>
      <c r="AM50" s="205">
        <f>AM48-AL48-AM49</f>
        <v>0</v>
      </c>
      <c r="AN50" s="205">
        <f>AN48-AM48-AN49</f>
        <v>0</v>
      </c>
      <c r="AO50" s="206">
        <f>SUM(AK50:AN50)</f>
        <v>273693.27</v>
      </c>
      <c r="AP50" s="205">
        <f>AP48-AN48-AP49</f>
        <v>0</v>
      </c>
      <c r="AQ50" s="205">
        <f>AQ48-AP48-AQ49</f>
        <v>0</v>
      </c>
      <c r="AR50" s="205">
        <f>AR48-AQ48-AR49</f>
        <v>0</v>
      </c>
      <c r="AS50" s="205">
        <f>AS48-AR48-AS49</f>
        <v>0</v>
      </c>
      <c r="AT50" s="206">
        <f>SUM(AP50:AS50)</f>
        <v>0</v>
      </c>
      <c r="AU50" s="205">
        <f>AU48-AS48-AU49</f>
        <v>0</v>
      </c>
      <c r="AV50" s="205">
        <f>AV48-AU48-AV49</f>
        <v>0</v>
      </c>
      <c r="AW50" s="205">
        <f>AW48-AV48-AW49</f>
        <v>0</v>
      </c>
      <c r="AX50" s="205">
        <f>AX48-AW48-AX49</f>
        <v>0</v>
      </c>
      <c r="AY50" s="206">
        <f>SUM(AU50:AX50)</f>
        <v>0</v>
      </c>
      <c r="AZ50" s="205">
        <f>AZ48-AX48-AZ49</f>
        <v>0</v>
      </c>
      <c r="BA50" s="205">
        <f>BA48-AZ48-BA49</f>
        <v>0</v>
      </c>
      <c r="BB50" s="205">
        <f>BB48-BA48-BB49</f>
        <v>0</v>
      </c>
      <c r="BC50" s="205">
        <f>BC48-BB48-BC49</f>
        <v>0</v>
      </c>
      <c r="BD50" s="206">
        <f>SUM(AZ50:BC50)</f>
        <v>0</v>
      </c>
      <c r="BE50" s="205">
        <f>BE48-BC48-BE49</f>
        <v>0</v>
      </c>
      <c r="BF50" s="205">
        <f>BF48-BE48-BF49</f>
        <v>0</v>
      </c>
      <c r="BG50" s="205">
        <f>BG48-BF48-BG49</f>
        <v>0</v>
      </c>
      <c r="BH50" s="205">
        <f>BH48-BG48-BH49</f>
        <v>-108.59999999997672</v>
      </c>
      <c r="BI50" s="206">
        <f>SUM(BE50:BH50)</f>
        <v>-108.59999999997672</v>
      </c>
      <c r="BJ50" s="205">
        <f>BJ48-BH48-BJ49</f>
        <v>108.59999999997672</v>
      </c>
      <c r="BK50" s="205">
        <f>BK48-BJ48-BK49</f>
        <v>-1990.7999999999884</v>
      </c>
      <c r="BL50" s="205">
        <f>BL48-BK48-BL49</f>
        <v>0</v>
      </c>
      <c r="BM50" s="205">
        <f>BM48-BL48-BM49</f>
        <v>0</v>
      </c>
      <c r="BN50" s="206">
        <f>SUM(BJ50:BM50)</f>
        <v>-1882.2000000000116</v>
      </c>
      <c r="BO50" s="205">
        <f>BO48-BM48-BO49</f>
        <v>0</v>
      </c>
      <c r="BP50" s="205">
        <f>BP48-BO48-BP49</f>
        <v>0</v>
      </c>
      <c r="BQ50" s="205">
        <f>BQ48-BP48-BQ49</f>
        <v>0</v>
      </c>
      <c r="BR50" s="205">
        <f>BR48-BQ48-BR49</f>
        <v>0</v>
      </c>
      <c r="BS50" s="206">
        <f>SUM(BO50:BR50)</f>
        <v>0</v>
      </c>
      <c r="BT50" s="205">
        <f>BT48-BR48-BT49</f>
        <v>0</v>
      </c>
      <c r="BU50" s="205">
        <f>BU48-BT48-BU49</f>
        <v>0</v>
      </c>
      <c r="BV50" s="205">
        <f>BV48-BU48-BV49</f>
        <v>0</v>
      </c>
      <c r="BW50" s="205">
        <f>BW48-BV48-BW49</f>
        <v>0</v>
      </c>
      <c r="BX50" s="206">
        <f>SUM(BT50:BW50)</f>
        <v>0</v>
      </c>
      <c r="BY50" s="205">
        <f>BY48-BW48-BY49</f>
        <v>0</v>
      </c>
      <c r="BZ50" s="205">
        <f>BZ48-BY48-BZ49</f>
        <v>1990.7999999999884</v>
      </c>
      <c r="CA50" s="205">
        <f>CA48-BZ48-CA49</f>
        <v>0</v>
      </c>
      <c r="CB50" s="205">
        <f>CB48-CA48-CB49</f>
        <v>16172.505999999994</v>
      </c>
      <c r="CC50" s="206">
        <f>SUM(BY50:CB50)</f>
        <v>18163.305999999982</v>
      </c>
      <c r="CD50" s="205">
        <f>CD48-CB48-CD49</f>
        <v>0</v>
      </c>
      <c r="CE50" s="205">
        <f>CE48-CD48-CE49</f>
        <v>0</v>
      </c>
      <c r="CF50" s="434">
        <v>0</v>
      </c>
      <c r="CG50" s="434">
        <v>0</v>
      </c>
      <c r="CH50" s="206">
        <f>SUM(CD50:CG50)</f>
        <v>0</v>
      </c>
      <c r="CI50" s="434">
        <v>0</v>
      </c>
      <c r="CJ50" s="434">
        <v>0</v>
      </c>
      <c r="CK50" s="434">
        <v>0</v>
      </c>
      <c r="CL50" s="434">
        <v>0</v>
      </c>
      <c r="CM50" s="206">
        <f>SUM(CI50:CL50)</f>
        <v>0</v>
      </c>
      <c r="CN50" s="434">
        <v>0</v>
      </c>
      <c r="CO50" s="434">
        <v>0</v>
      </c>
      <c r="CP50" s="434">
        <v>0</v>
      </c>
      <c r="CQ50" s="434">
        <v>0</v>
      </c>
      <c r="CR50" s="206">
        <f>SUM(CN50:CQ50)</f>
        <v>0</v>
      </c>
      <c r="CS50" s="434">
        <v>0</v>
      </c>
      <c r="CT50" s="434">
        <v>0</v>
      </c>
      <c r="CU50" s="434">
        <v>0</v>
      </c>
      <c r="CV50" s="434">
        <v>0</v>
      </c>
      <c r="CW50" s="206">
        <f>SUM(CS50:CV50)</f>
        <v>0</v>
      </c>
      <c r="CX50" s="434">
        <v>0</v>
      </c>
      <c r="CY50" s="434">
        <v>0</v>
      </c>
      <c r="CZ50" s="434">
        <v>0</v>
      </c>
      <c r="DA50" s="434">
        <v>0</v>
      </c>
      <c r="DB50" s="206">
        <f>SUM(CX50:DA50)</f>
        <v>0</v>
      </c>
    </row>
    <row r="51" spans="1:107" s="11" customFormat="1" ht="11.25" customHeight="1" x14ac:dyDescent="0.35">
      <c r="A51" s="16" t="s">
        <v>9</v>
      </c>
      <c r="B51" s="40" t="e">
        <f>B73/AVERAGE(#REF!,B48)</f>
        <v>#REF!</v>
      </c>
      <c r="C51" s="40" t="e">
        <f t="shared" ref="C51:E51" si="372">C73/AVERAGE(B48,C48)</f>
        <v>#DIV/0!</v>
      </c>
      <c r="D51" s="40" t="e">
        <f t="shared" si="372"/>
        <v>#DIV/0!</v>
      </c>
      <c r="E51" s="40" t="e">
        <f t="shared" si="372"/>
        <v>#DIV/0!</v>
      </c>
      <c r="F51" s="41" t="e">
        <f t="shared" ref="F51" si="373">F73/AVERAGE(B48:E48)</f>
        <v>#DIV/0!</v>
      </c>
      <c r="G51" s="40" t="e">
        <f t="shared" ref="G51" si="374">G73/AVERAGE(E48,G48)</f>
        <v>#DIV/0!</v>
      </c>
      <c r="H51" s="40" t="e">
        <f t="shared" ref="H51:J51" si="375">H73/AVERAGE(G48,H48)</f>
        <v>#DIV/0!</v>
      </c>
      <c r="I51" s="40" t="e">
        <f t="shared" si="375"/>
        <v>#DIV/0!</v>
      </c>
      <c r="J51" s="40" t="e">
        <f t="shared" si="375"/>
        <v>#DIV/0!</v>
      </c>
      <c r="K51" s="41" t="e">
        <f t="shared" ref="K51" si="376">K73/AVERAGE(G48:J48)</f>
        <v>#DIV/0!</v>
      </c>
      <c r="L51" s="40" t="e">
        <f t="shared" ref="L51" si="377">L73/AVERAGE(J48,L48)</f>
        <v>#DIV/0!</v>
      </c>
      <c r="M51" s="40" t="e">
        <f t="shared" ref="M51:O51" si="378">M73/AVERAGE(L48,M48)</f>
        <v>#DIV/0!</v>
      </c>
      <c r="N51" s="40" t="e">
        <f t="shared" si="378"/>
        <v>#DIV/0!</v>
      </c>
      <c r="O51" s="40" t="e">
        <f t="shared" si="378"/>
        <v>#DIV/0!</v>
      </c>
      <c r="P51" s="41" t="e">
        <f t="shared" ref="P51" si="379">P73/AVERAGE(L48:O48)</f>
        <v>#DIV/0!</v>
      </c>
      <c r="Q51" s="40" t="e">
        <f t="shared" ref="Q51" si="380">Q73/AVERAGE(O48,Q48)</f>
        <v>#DIV/0!</v>
      </c>
      <c r="R51" s="40" t="e">
        <f t="shared" ref="R51:T51" si="381">R73/AVERAGE(Q48,R48)</f>
        <v>#DIV/0!</v>
      </c>
      <c r="S51" s="40" t="e">
        <f t="shared" si="381"/>
        <v>#DIV/0!</v>
      </c>
      <c r="T51" s="40" t="e">
        <f t="shared" si="381"/>
        <v>#DIV/0!</v>
      </c>
      <c r="U51" s="41" t="e">
        <f t="shared" ref="U51" si="382">U73/AVERAGE(Q48:T48)</f>
        <v>#DIV/0!</v>
      </c>
      <c r="V51" s="40" t="e">
        <f t="shared" ref="V51" si="383">V73/AVERAGE(T48,V48)</f>
        <v>#DIV/0!</v>
      </c>
      <c r="W51" s="40" t="e">
        <f t="shared" ref="W51:Y51" si="384">W73/AVERAGE(V48,W48)</f>
        <v>#DIV/0!</v>
      </c>
      <c r="X51" s="40" t="e">
        <f t="shared" si="384"/>
        <v>#DIV/0!</v>
      </c>
      <c r="Y51" s="40" t="e">
        <f t="shared" si="384"/>
        <v>#DIV/0!</v>
      </c>
      <c r="Z51" s="41" t="e">
        <f t="shared" ref="Z51" si="385">Z73/AVERAGE(V48:Y48)</f>
        <v>#DIV/0!</v>
      </c>
      <c r="AA51" s="40" t="e">
        <f t="shared" ref="AA51" si="386">AA73/AVERAGE(Y48,AA48)</f>
        <v>#DIV/0!</v>
      </c>
      <c r="AB51" s="40" t="e">
        <f t="shared" ref="AB51:AD51" si="387">AB73/AVERAGE(AA48,AB48)</f>
        <v>#DIV/0!</v>
      </c>
      <c r="AC51" s="40" t="e">
        <f t="shared" si="387"/>
        <v>#DIV/0!</v>
      </c>
      <c r="AD51" s="40" t="e">
        <f t="shared" si="387"/>
        <v>#DIV/0!</v>
      </c>
      <c r="AE51" s="41" t="e">
        <f t="shared" ref="AE51" si="388">AE73/AVERAGE(AA48:AD48)</f>
        <v>#DIV/0!</v>
      </c>
      <c r="AF51" s="40" t="e">
        <f>AF73/AVERAGE(AD48,AF48)</f>
        <v>#DIV/0!</v>
      </c>
      <c r="AG51" s="40" t="e">
        <f>AG73/AVERAGE(AF48,AG48)</f>
        <v>#DIV/0!</v>
      </c>
      <c r="AH51" s="40" t="e">
        <f>AH73/AVERAGE(AG48,AH48)</f>
        <v>#DIV/0!</v>
      </c>
      <c r="AI51" s="40" t="e">
        <f>AI73/AVERAGE(AH48,AI48)</f>
        <v>#DIV/0!</v>
      </c>
      <c r="AJ51" s="41" t="e">
        <f>AJ73/AVERAGE(AF48:AI48)</f>
        <v>#DIV/0!</v>
      </c>
      <c r="AK51" s="40">
        <f>AK73/AVERAGE(AI48,AK48)</f>
        <v>4.620050028997795E-2</v>
      </c>
      <c r="AL51" s="40">
        <f>AL73/AVERAGE(AK48,AL48)</f>
        <v>7.1662887435997094E-2</v>
      </c>
      <c r="AM51" s="40">
        <f>AM73/AVERAGE(AL48,AM48)</f>
        <v>0.12286215879550136</v>
      </c>
      <c r="AN51" s="40">
        <f>AN73/AVERAGE(AM48,AN48)</f>
        <v>0.17153952305805714</v>
      </c>
      <c r="AO51" s="41">
        <f>AO73/AVERAGE(AK48:AN48)</f>
        <v>0.41226506957953352</v>
      </c>
      <c r="AP51" s="40">
        <f>AP73/AVERAGE(AN48,AP48)</f>
        <v>7.3467564620788808E-2</v>
      </c>
      <c r="AQ51" s="40">
        <f>AQ73/AVERAGE(AP48,AQ48)</f>
        <v>0.11529422334717981</v>
      </c>
      <c r="AR51" s="40">
        <f>AR73/AVERAGE(AQ48,AR48)</f>
        <v>0.13232784642457612</v>
      </c>
      <c r="AS51" s="40">
        <f>AS73/AVERAGE(AR48,AS48)</f>
        <v>0.15754640221880492</v>
      </c>
      <c r="AT51" s="41">
        <f>AT73/AVERAGE(AP48:AS48)</f>
        <v>0.47863603661134968</v>
      </c>
      <c r="AU51" s="40">
        <f>AU73/AVERAGE(AS48,AU48)</f>
        <v>6.7140854431678207E-2</v>
      </c>
      <c r="AV51" s="40">
        <f>AV73/AVERAGE(AU48,AV48)</f>
        <v>0.22314395965965841</v>
      </c>
      <c r="AW51" s="40">
        <f>AW73/AVERAGE(AV48,AW48)</f>
        <v>0.11073710361968345</v>
      </c>
      <c r="AX51" s="40">
        <f>AX73/AVERAGE(AW48,AX48)</f>
        <v>0.18404179247812705</v>
      </c>
      <c r="AY51" s="41">
        <f>AY73/AVERAGE(AU48:AX48)</f>
        <v>0.58506371018914716</v>
      </c>
      <c r="AZ51" s="40">
        <f>AZ73/AVERAGE(AX48,AZ48)</f>
        <v>2.374921385534982E-2</v>
      </c>
      <c r="BA51" s="40">
        <f>BA73/AVERAGE(AZ48,BA48)</f>
        <v>0.13514764173777455</v>
      </c>
      <c r="BB51" s="40">
        <f>BB73/AVERAGE(BA48,BB48)</f>
        <v>0.17452885863179779</v>
      </c>
      <c r="BC51" s="40">
        <f>BC73/AVERAGE(BB48,BC48)</f>
        <v>0.23287016533593302</v>
      </c>
      <c r="BD51" s="41">
        <f>BD73/AVERAGE(AZ48:BC48)</f>
        <v>0.56867396389951508</v>
      </c>
      <c r="BE51" s="40">
        <f>BE73/AVERAGE(BC48,BE48)</f>
        <v>0.17128217533933557</v>
      </c>
      <c r="BF51" s="40">
        <f>BF73/AVERAGE(BD48,BF48)</f>
        <v>0.26930355906222458</v>
      </c>
      <c r="BG51" s="40">
        <f>BG73/AVERAGE(BE48,BG48)</f>
        <v>0.23093783187142028</v>
      </c>
      <c r="BH51" s="40">
        <f>BH73/AVERAGE(BG48,BH48)</f>
        <v>0.35551956634425919</v>
      </c>
      <c r="BI51" s="41">
        <f>BI73/AVERAGE(BE48:BH48)</f>
        <v>1.0270725298048877</v>
      </c>
      <c r="BJ51" s="40">
        <f>BJ73/AVERAGE(BH48,BJ48)</f>
        <v>0.2121267659656926</v>
      </c>
      <c r="BK51" s="40">
        <f>BK73/AVERAGE(BI48,BK48)</f>
        <v>0.296827593332395</v>
      </c>
      <c r="BL51" s="40">
        <f>BL73/AVERAGE(BJ48,BL48)</f>
        <v>0.30896622798907847</v>
      </c>
      <c r="BM51" s="40">
        <f>BM73/AVERAGE(BL48,BM48)</f>
        <v>0.31662633609173052</v>
      </c>
      <c r="BN51" s="41">
        <f>BN73/AVERAGE(BJ48:BM48)</f>
        <v>1.136038093382018</v>
      </c>
      <c r="BO51" s="40">
        <f>BO73/AVERAGE(BM48,BO48)</f>
        <v>0.31684711383874659</v>
      </c>
      <c r="BP51" s="40">
        <f>BP73/AVERAGE(BN48,BP48)</f>
        <v>0.41869464825910124</v>
      </c>
      <c r="BQ51" s="40">
        <f>BQ73/AVERAGE(BP48,BQ48)</f>
        <v>0.37332137159500001</v>
      </c>
      <c r="BR51" s="40">
        <f>BR73/AVERAGE(BQ48,BR48)</f>
        <v>0.55305860523216765</v>
      </c>
      <c r="BS51" s="41">
        <f>BS73/AVERAGE(BO48:BR48)</f>
        <v>1.6619217389250154</v>
      </c>
      <c r="BT51" s="40">
        <f>BT73/AVERAGE(BR48,BT48)</f>
        <v>0.48723234009840505</v>
      </c>
      <c r="BU51" s="40">
        <f>BU73/AVERAGE(BT48,BU48)</f>
        <v>0.59419225922310082</v>
      </c>
      <c r="BV51" s="40">
        <f>BV73/AVERAGE(BU48,BV48)</f>
        <v>0.58841064197311721</v>
      </c>
      <c r="BW51" s="40">
        <f>BW73/AVERAGE(BV48,BW48)</f>
        <v>0.57189715642677397</v>
      </c>
      <c r="BX51" s="41">
        <f>BX73/AVERAGE(BT48:BW48)</f>
        <v>2.241732397721397</v>
      </c>
      <c r="BY51" s="40">
        <f>BY73/AVERAGE(BW48,BY48)</f>
        <v>0.73641452412902075</v>
      </c>
      <c r="BZ51" s="40">
        <f>BZ73/AVERAGE(BY48,BZ48)</f>
        <v>0.81384506985582306</v>
      </c>
      <c r="CA51" s="40">
        <f>CA73/AVERAGE(BZ48,CA48)</f>
        <v>0.87452821598806685</v>
      </c>
      <c r="CB51" s="40">
        <f>CB73/AVERAGE(CA48,CB48)</f>
        <v>0.90037269169296053</v>
      </c>
      <c r="CC51" s="41">
        <f>CC73/AVERAGE(BY48:CB48)</f>
        <v>3.3021945061977069</v>
      </c>
      <c r="CD51" s="40">
        <f>CD73/AVERAGE(CB48,CD48)</f>
        <v>0.98318248835275768</v>
      </c>
      <c r="CE51" s="40">
        <f>CE73/AVERAGE(CD48,CE48)</f>
        <v>0.87795199595034012</v>
      </c>
      <c r="CF51" s="40">
        <f ca="1">CF73/AVERAGE(CE48,CF48)</f>
        <v>0.99188081819547835</v>
      </c>
      <c r="CG51" s="40">
        <f ca="1">CG73/AVERAGE(CF48,CG48)</f>
        <v>1.0931773447743363</v>
      </c>
      <c r="CH51" s="41">
        <f ca="1">CH73/AVERAGE(CD48:CG48)</f>
        <v>3.946192647272913</v>
      </c>
      <c r="CI51" s="40">
        <f ca="1">CI73/AVERAGE(CG48,CI48)</f>
        <v>1.1238086290170901</v>
      </c>
      <c r="CJ51" s="40">
        <f ca="1">CJ73/AVERAGE(CI48,CJ48)</f>
        <v>1.2192605164687644</v>
      </c>
      <c r="CK51" s="40">
        <f ca="1">CK73/AVERAGE(CJ48,CK48)</f>
        <v>1.3287358893365138</v>
      </c>
      <c r="CL51" s="40">
        <f ca="1">CL73/AVERAGE(CK48,CL48)</f>
        <v>1.2915145748307739</v>
      </c>
      <c r="CM51" s="41">
        <f ca="1">CM73/AVERAGE(CI48:CL48)</f>
        <v>4.9633196096531425</v>
      </c>
      <c r="CN51" s="40">
        <f ca="1">CN73/AVERAGE(CL48,CN48)</f>
        <v>1.4611692572097148</v>
      </c>
      <c r="CO51" s="40">
        <f ca="1">CO73/AVERAGE(CN48,CO48)</f>
        <v>1.4183131510188984</v>
      </c>
      <c r="CP51" s="40">
        <f ca="1">CP73/AVERAGE(CO48,CP48)</f>
        <v>1.4855993774307064</v>
      </c>
      <c r="CQ51" s="40">
        <f ca="1">CQ73/AVERAGE(CP48,CQ48)</f>
        <v>1.4947272735083301</v>
      </c>
      <c r="CR51" s="41">
        <f ca="1">CR73/AVERAGE(CN48:CQ48)</f>
        <v>5.8598090591676488</v>
      </c>
      <c r="CS51" s="40">
        <f ca="1">CS73/AVERAGE(CQ48,CS48)</f>
        <v>1.5778401366926924</v>
      </c>
      <c r="CT51" s="40">
        <f ca="1">CT73/AVERAGE(CS48,CT48)</f>
        <v>1.5064884780517704</v>
      </c>
      <c r="CU51" s="40">
        <f ca="1">CU73/AVERAGE(CT48,CU48)</f>
        <v>1.5576635095955633</v>
      </c>
      <c r="CV51" s="40">
        <f ca="1">CV73/AVERAGE(CU48,CV48)</f>
        <v>1.5575379425611868</v>
      </c>
      <c r="CW51" s="41">
        <f ca="1">CW73/AVERAGE(CS48:CV48)</f>
        <v>6.1995300669012137</v>
      </c>
      <c r="CX51" s="40">
        <f ca="1">CX73/AVERAGE(CV48,CX48)</f>
        <v>1.6707141253864364</v>
      </c>
      <c r="CY51" s="40">
        <f ca="1">CY73/AVERAGE(CX48,CY48)</f>
        <v>1.5919884512046829</v>
      </c>
      <c r="CZ51" s="40">
        <f ca="1">CZ73/AVERAGE(CY48,CZ48)</f>
        <v>1.6407875000369532</v>
      </c>
      <c r="DA51" s="40">
        <f ca="1">DA73/AVERAGE(CZ48,DA48)</f>
        <v>1.6378210706564478</v>
      </c>
      <c r="DB51" s="41">
        <f ca="1">DB73/AVERAGE(CX48:DA48)</f>
        <v>6.54131114728452</v>
      </c>
      <c r="DC51" s="272"/>
    </row>
    <row r="52" spans="1:107" s="11" customFormat="1" ht="11.25" customHeight="1" x14ac:dyDescent="0.35">
      <c r="A52" s="16" t="s">
        <v>10</v>
      </c>
      <c r="B52" s="40" t="e">
        <f>B74/AVERAGE(#REF!,B48)</f>
        <v>#REF!</v>
      </c>
      <c r="C52" s="40" t="e">
        <f t="shared" ref="C52:E52" si="389">C74/AVERAGE(B48,C48)</f>
        <v>#DIV/0!</v>
      </c>
      <c r="D52" s="40" t="e">
        <f t="shared" si="389"/>
        <v>#DIV/0!</v>
      </c>
      <c r="E52" s="40" t="e">
        <f t="shared" si="389"/>
        <v>#DIV/0!</v>
      </c>
      <c r="F52" s="41" t="e">
        <f t="shared" ref="F52" si="390">F74/AVERAGE(B48:E48)</f>
        <v>#DIV/0!</v>
      </c>
      <c r="G52" s="40" t="e">
        <f t="shared" ref="G52" si="391">G74/AVERAGE(E48,G48)</f>
        <v>#DIV/0!</v>
      </c>
      <c r="H52" s="40" t="e">
        <f t="shared" ref="H52:J52" si="392">H74/AVERAGE(G48,H48)</f>
        <v>#DIV/0!</v>
      </c>
      <c r="I52" s="40" t="e">
        <f t="shared" si="392"/>
        <v>#DIV/0!</v>
      </c>
      <c r="J52" s="40" t="e">
        <f t="shared" si="392"/>
        <v>#DIV/0!</v>
      </c>
      <c r="K52" s="41" t="e">
        <f t="shared" ref="K52" si="393">K74/AVERAGE(G48:J48)</f>
        <v>#DIV/0!</v>
      </c>
      <c r="L52" s="40" t="e">
        <f t="shared" ref="L52" si="394">L74/AVERAGE(J48,L48)</f>
        <v>#DIV/0!</v>
      </c>
      <c r="M52" s="40" t="e">
        <f t="shared" ref="M52:O52" si="395">M74/AVERAGE(L48,M48)</f>
        <v>#DIV/0!</v>
      </c>
      <c r="N52" s="40" t="e">
        <f t="shared" si="395"/>
        <v>#DIV/0!</v>
      </c>
      <c r="O52" s="40" t="e">
        <f t="shared" si="395"/>
        <v>#DIV/0!</v>
      </c>
      <c r="P52" s="41" t="e">
        <f t="shared" ref="P52" si="396">P74/AVERAGE(L48:O48)</f>
        <v>#DIV/0!</v>
      </c>
      <c r="Q52" s="40" t="e">
        <f t="shared" ref="Q52" si="397">Q74/AVERAGE(O48,Q48)</f>
        <v>#DIV/0!</v>
      </c>
      <c r="R52" s="40" t="e">
        <f t="shared" ref="R52:T52" si="398">R74/AVERAGE(Q48,R48)</f>
        <v>#DIV/0!</v>
      </c>
      <c r="S52" s="40" t="e">
        <f t="shared" si="398"/>
        <v>#DIV/0!</v>
      </c>
      <c r="T52" s="40" t="e">
        <f t="shared" si="398"/>
        <v>#DIV/0!</v>
      </c>
      <c r="U52" s="41" t="e">
        <f t="shared" ref="U52" si="399">U74/AVERAGE(Q48:T48)</f>
        <v>#DIV/0!</v>
      </c>
      <c r="V52" s="40" t="e">
        <f t="shared" ref="V52" si="400">V74/AVERAGE(T48,V48)</f>
        <v>#DIV/0!</v>
      </c>
      <c r="W52" s="40" t="e">
        <f t="shared" ref="W52:Y52" si="401">W74/AVERAGE(V48,W48)</f>
        <v>#DIV/0!</v>
      </c>
      <c r="X52" s="40" t="e">
        <f t="shared" si="401"/>
        <v>#DIV/0!</v>
      </c>
      <c r="Y52" s="40" t="e">
        <f t="shared" si="401"/>
        <v>#DIV/0!</v>
      </c>
      <c r="Z52" s="41" t="e">
        <f t="shared" ref="Z52" si="402">Z74/AVERAGE(V48:Y48)</f>
        <v>#DIV/0!</v>
      </c>
      <c r="AA52" s="40" t="e">
        <f t="shared" ref="AA52" si="403">AA74/AVERAGE(Y48,AA48)</f>
        <v>#DIV/0!</v>
      </c>
      <c r="AB52" s="40" t="e">
        <f t="shared" ref="AB52:AD52" si="404">AB74/AVERAGE(AA48,AB48)</f>
        <v>#DIV/0!</v>
      </c>
      <c r="AC52" s="40" t="e">
        <f t="shared" si="404"/>
        <v>#DIV/0!</v>
      </c>
      <c r="AD52" s="40" t="e">
        <f t="shared" si="404"/>
        <v>#DIV/0!</v>
      </c>
      <c r="AE52" s="41" t="e">
        <f t="shared" ref="AE52" si="405">AE74/AVERAGE(AA48:AD48)</f>
        <v>#DIV/0!</v>
      </c>
      <c r="AF52" s="40" t="e">
        <f>AF74/AVERAGE(AD48,AF48)</f>
        <v>#DIV/0!</v>
      </c>
      <c r="AG52" s="40" t="e">
        <f>AG74/AVERAGE(AF48,AG48)</f>
        <v>#DIV/0!</v>
      </c>
      <c r="AH52" s="40" t="e">
        <f>AH74/AVERAGE(AG48,AH48)</f>
        <v>#DIV/0!</v>
      </c>
      <c r="AI52" s="40" t="e">
        <f>AI74/AVERAGE(AH48,AI48)</f>
        <v>#DIV/0!</v>
      </c>
      <c r="AJ52" s="41" t="e">
        <f>AJ74/AVERAGE(AF48:AI48)</f>
        <v>#DIV/0!</v>
      </c>
      <c r="AK52" s="40">
        <f>AK74/AVERAGE(AI48,AK48)</f>
        <v>4.620050028997795E-2</v>
      </c>
      <c r="AL52" s="40">
        <f>AL74/AVERAGE(AK48,AL48)</f>
        <v>7.1662887435997094E-2</v>
      </c>
      <c r="AM52" s="40">
        <f>AM74/AVERAGE(AL48,AM48)</f>
        <v>0.12286215879550136</v>
      </c>
      <c r="AN52" s="40">
        <f>AN74/AVERAGE(AM48,AN48)</f>
        <v>0.17153952305805714</v>
      </c>
      <c r="AO52" s="41">
        <f>AO74/AVERAGE(AK48:AN48)</f>
        <v>0.41226506957953352</v>
      </c>
      <c r="AP52" s="40">
        <f>AP74/AVERAGE(AN48,AP48)</f>
        <v>7.3467564620788808E-2</v>
      </c>
      <c r="AQ52" s="40">
        <f>AQ74/AVERAGE(AP48,AQ48)</f>
        <v>0.11529422334717981</v>
      </c>
      <c r="AR52" s="40">
        <f>AR74/AVERAGE(AQ48,AR48)</f>
        <v>0.13232784642457612</v>
      </c>
      <c r="AS52" s="40">
        <f>AS74/AVERAGE(AR48,AS48)</f>
        <v>0.15754640221880492</v>
      </c>
      <c r="AT52" s="41">
        <f>AT74/AVERAGE(AP48:AS48)</f>
        <v>0.47863603661134968</v>
      </c>
      <c r="AU52" s="40">
        <f>AU74/AVERAGE(AS48,AU48)</f>
        <v>6.7140854431678207E-2</v>
      </c>
      <c r="AV52" s="40">
        <f>AV74/AVERAGE(AU48,AV48)</f>
        <v>0.22314395965965841</v>
      </c>
      <c r="AW52" s="40">
        <f>AW74/AVERAGE(AV48,AW48)</f>
        <v>0.11073710361968345</v>
      </c>
      <c r="AX52" s="40">
        <f>AX74/AVERAGE(AW48,AX48)</f>
        <v>0.18404179247812705</v>
      </c>
      <c r="AY52" s="41">
        <f>AY74/AVERAGE(AU48:AX48)</f>
        <v>0.58506371018914716</v>
      </c>
      <c r="AZ52" s="40">
        <f>AZ74/AVERAGE(AX48,AZ48)</f>
        <v>2.374921385534982E-2</v>
      </c>
      <c r="BA52" s="40">
        <f>BA74/AVERAGE(AZ48,BA48)</f>
        <v>0.13514764173777455</v>
      </c>
      <c r="BB52" s="40">
        <f>BB74/AVERAGE(BA48,BB48)</f>
        <v>0.17452885863179779</v>
      </c>
      <c r="BC52" s="40">
        <f>BC74/AVERAGE(BB48,BC48)</f>
        <v>0.23287016533593302</v>
      </c>
      <c r="BD52" s="41">
        <f>BD74/AVERAGE(AZ48:BC48)</f>
        <v>0.56867396389951508</v>
      </c>
      <c r="BE52" s="40">
        <f>BE74/AVERAGE(BC48,BE48)</f>
        <v>0.17128217533933557</v>
      </c>
      <c r="BF52" s="40">
        <f>BF74/AVERAGE(BD48,BF48)</f>
        <v>0.26930355906222458</v>
      </c>
      <c r="BG52" s="40">
        <f>BG74/AVERAGE(BE48,BG48)</f>
        <v>0.23093783187142028</v>
      </c>
      <c r="BH52" s="40">
        <f>BH74/AVERAGE(BG48,BH48)</f>
        <v>0.35551956634425919</v>
      </c>
      <c r="BI52" s="41">
        <f>BI74/AVERAGE(BE48:BH48)</f>
        <v>1.0270725298048877</v>
      </c>
      <c r="BJ52" s="40">
        <f>BJ74/AVERAGE(BH48,BJ48)</f>
        <v>0.2121267659656926</v>
      </c>
      <c r="BK52" s="40">
        <f>BK74/AVERAGE(BI48,BK48)</f>
        <v>0.296827593332395</v>
      </c>
      <c r="BL52" s="40">
        <f>BL74/AVERAGE(BJ48,BL48)</f>
        <v>0.30896622798907847</v>
      </c>
      <c r="BM52" s="40">
        <f>BM74/AVERAGE(BL48,BM48)</f>
        <v>0.31662633609173052</v>
      </c>
      <c r="BN52" s="41">
        <f>BN74/AVERAGE(BJ48:BM48)</f>
        <v>1.136038093382018</v>
      </c>
      <c r="BO52" s="40">
        <f>BO74/AVERAGE(BM48,BO48)</f>
        <v>0.31684711383874659</v>
      </c>
      <c r="BP52" s="40">
        <f>BP74/AVERAGE(BN48,BP48)</f>
        <v>0.41869464825910124</v>
      </c>
      <c r="BQ52" s="40">
        <f>BQ74/AVERAGE(BP48,BQ48)</f>
        <v>0.37332137159500001</v>
      </c>
      <c r="BR52" s="40">
        <f>BR74/AVERAGE(BQ48,BR48)</f>
        <v>0.55305860523216765</v>
      </c>
      <c r="BS52" s="41">
        <f>BS74/AVERAGE(BO48:BR48)</f>
        <v>1.6619217389250154</v>
      </c>
      <c r="BT52" s="40">
        <f>BT74/AVERAGE(BR48,BT48)</f>
        <v>0.48723234009840505</v>
      </c>
      <c r="BU52" s="40">
        <f>BU74/AVERAGE(BT48,BU48)</f>
        <v>0.59419225922310082</v>
      </c>
      <c r="BV52" s="40">
        <f>BV74/AVERAGE(BU48,BV48)</f>
        <v>0.58841064197311721</v>
      </c>
      <c r="BW52" s="40">
        <f>BW74/AVERAGE(BV48,BW48)</f>
        <v>0.57189715642677397</v>
      </c>
      <c r="BX52" s="41">
        <f>BX74/AVERAGE(BT48:BW48)</f>
        <v>2.241732397721397</v>
      </c>
      <c r="BY52" s="40">
        <f>BY74/AVERAGE(BW48,BY48)</f>
        <v>0.73641452412902075</v>
      </c>
      <c r="BZ52" s="40">
        <f>BZ74/AVERAGE(BY48,BZ48)</f>
        <v>0.81384506985582306</v>
      </c>
      <c r="CA52" s="40">
        <f>CA74/AVERAGE(BZ48,CA48)</f>
        <v>0.87452821598806685</v>
      </c>
      <c r="CB52" s="40">
        <f>CB74/AVERAGE(CA48,CB48)</f>
        <v>0.90037269169296053</v>
      </c>
      <c r="CC52" s="41">
        <f>CC74/AVERAGE(BY48:CB48)</f>
        <v>3.3021945061977069</v>
      </c>
      <c r="CD52" s="40">
        <f>CD74/AVERAGE(CB48,CD48)</f>
        <v>0.98318248835275768</v>
      </c>
      <c r="CE52" s="40">
        <f>CE74/AVERAGE(CD48,CE48)</f>
        <v>0.87795199595034012</v>
      </c>
      <c r="CF52" s="40">
        <f ca="1">CF74/AVERAGE(CE48,CF48)</f>
        <v>0.99188081819547835</v>
      </c>
      <c r="CG52" s="40">
        <f ca="1">CG74/AVERAGE(CF48,CG48)</f>
        <v>1.0931773447743363</v>
      </c>
      <c r="CH52" s="41">
        <f ca="1">CH74/AVERAGE(CD48:CG48)</f>
        <v>3.946192647272913</v>
      </c>
      <c r="CI52" s="40">
        <f ca="1">CI74/AVERAGE(CG48,CI48)</f>
        <v>1.1238086290170901</v>
      </c>
      <c r="CJ52" s="40">
        <f ca="1">CJ74/AVERAGE(CI48,CJ48)</f>
        <v>1.2192605164687644</v>
      </c>
      <c r="CK52" s="40">
        <f ca="1">CK74/AVERAGE(CJ48,CK48)</f>
        <v>1.3287358893365138</v>
      </c>
      <c r="CL52" s="40">
        <f ca="1">CL74/AVERAGE(CK48,CL48)</f>
        <v>1.2915145748307739</v>
      </c>
      <c r="CM52" s="41">
        <f ca="1">CM74/AVERAGE(CI48:CL48)</f>
        <v>4.9633196096531425</v>
      </c>
      <c r="CN52" s="40">
        <f ca="1">CN74/AVERAGE(CL48,CN48)</f>
        <v>1.4611692572097148</v>
      </c>
      <c r="CO52" s="40">
        <f ca="1">CO74/AVERAGE(CN48,CO48)</f>
        <v>1.4183131510188984</v>
      </c>
      <c r="CP52" s="40">
        <f ca="1">CP74/AVERAGE(CO48,CP48)</f>
        <v>1.4855993774307064</v>
      </c>
      <c r="CQ52" s="40">
        <f ca="1">CQ74/AVERAGE(CP48,CQ48)</f>
        <v>1.4947272735083301</v>
      </c>
      <c r="CR52" s="41">
        <f ca="1">CR74/AVERAGE(CN48:CQ48)</f>
        <v>5.8598090591676488</v>
      </c>
      <c r="CS52" s="40">
        <f ca="1">CS74/AVERAGE(CQ48,CS48)</f>
        <v>1.5778401366926924</v>
      </c>
      <c r="CT52" s="40">
        <f ca="1">CT74/AVERAGE(CS48,CT48)</f>
        <v>1.5064884780517704</v>
      </c>
      <c r="CU52" s="40">
        <f ca="1">CU74/AVERAGE(CT48,CU48)</f>
        <v>1.5576635095955633</v>
      </c>
      <c r="CV52" s="40">
        <f ca="1">CV74/AVERAGE(CU48,CV48)</f>
        <v>1.5575379425611868</v>
      </c>
      <c r="CW52" s="41">
        <f ca="1">CW74/AVERAGE(CS48:CV48)</f>
        <v>6.1995300669012137</v>
      </c>
      <c r="CX52" s="40">
        <f ca="1">CX74/AVERAGE(CV48,CX48)</f>
        <v>1.6707141253864364</v>
      </c>
      <c r="CY52" s="40">
        <f ca="1">CY74/AVERAGE(CX48,CY48)</f>
        <v>1.5919884512046829</v>
      </c>
      <c r="CZ52" s="40">
        <f ca="1">CZ74/AVERAGE(CY48,CZ48)</f>
        <v>1.6407875000369532</v>
      </c>
      <c r="DA52" s="40">
        <f ca="1">DA74/AVERAGE(CZ48,DA48)</f>
        <v>1.6378210706564478</v>
      </c>
      <c r="DB52" s="41">
        <f ca="1">DB74/AVERAGE(CX48:DA48)</f>
        <v>6.54131114728452</v>
      </c>
    </row>
    <row r="53" spans="1:107" s="11" customFormat="1" ht="11.25" customHeight="1" x14ac:dyDescent="0.35">
      <c r="A53" s="31" t="s">
        <v>11</v>
      </c>
      <c r="B53" s="106" t="e">
        <f>B55/AVERAGE(#REF!,B48)</f>
        <v>#REF!</v>
      </c>
      <c r="C53" s="106" t="e">
        <f t="shared" ref="C53:E53" si="406">C55/AVERAGE(B48,C48)</f>
        <v>#DIV/0!</v>
      </c>
      <c r="D53" s="106" t="e">
        <f t="shared" si="406"/>
        <v>#DIV/0!</v>
      </c>
      <c r="E53" s="106" t="e">
        <f t="shared" si="406"/>
        <v>#DIV/0!</v>
      </c>
      <c r="F53" s="107" t="e">
        <f t="shared" ref="F53" si="407">F55/AVERAGE(B48:E48)</f>
        <v>#DIV/0!</v>
      </c>
      <c r="G53" s="106" t="e">
        <f t="shared" ref="G53" si="408">G55/AVERAGE(E48,G48)</f>
        <v>#DIV/0!</v>
      </c>
      <c r="H53" s="106" t="e">
        <f t="shared" ref="H53:J53" si="409">H55/AVERAGE(G48,H48)</f>
        <v>#DIV/0!</v>
      </c>
      <c r="I53" s="106" t="e">
        <f t="shared" si="409"/>
        <v>#DIV/0!</v>
      </c>
      <c r="J53" s="106" t="e">
        <f t="shared" si="409"/>
        <v>#DIV/0!</v>
      </c>
      <c r="K53" s="107" t="e">
        <f t="shared" ref="K53" si="410">K55/AVERAGE(G48:J48)</f>
        <v>#DIV/0!</v>
      </c>
      <c r="L53" s="106" t="e">
        <f t="shared" ref="L53" si="411">L55/AVERAGE(J48,L48)</f>
        <v>#DIV/0!</v>
      </c>
      <c r="M53" s="106" t="e">
        <f t="shared" ref="M53:O53" si="412">M55/AVERAGE(L48,M48)</f>
        <v>#DIV/0!</v>
      </c>
      <c r="N53" s="106" t="e">
        <f t="shared" si="412"/>
        <v>#DIV/0!</v>
      </c>
      <c r="O53" s="106" t="e">
        <f t="shared" si="412"/>
        <v>#DIV/0!</v>
      </c>
      <c r="P53" s="107" t="e">
        <f t="shared" ref="P53" si="413">P55/AVERAGE(L48:O48)</f>
        <v>#DIV/0!</v>
      </c>
      <c r="Q53" s="106" t="e">
        <f t="shared" ref="Q53" si="414">Q55/AVERAGE(O48,Q48)</f>
        <v>#DIV/0!</v>
      </c>
      <c r="R53" s="106" t="e">
        <f t="shared" ref="R53:T53" si="415">R55/AVERAGE(Q48,R48)</f>
        <v>#DIV/0!</v>
      </c>
      <c r="S53" s="106" t="e">
        <f t="shared" si="415"/>
        <v>#DIV/0!</v>
      </c>
      <c r="T53" s="106" t="e">
        <f t="shared" si="415"/>
        <v>#DIV/0!</v>
      </c>
      <c r="U53" s="107" t="e">
        <f t="shared" ref="U53" si="416">U55/AVERAGE(Q48:T48)</f>
        <v>#DIV/0!</v>
      </c>
      <c r="V53" s="106" t="e">
        <f t="shared" ref="V53" si="417">V55/AVERAGE(T48,V48)</f>
        <v>#DIV/0!</v>
      </c>
      <c r="W53" s="106" t="e">
        <f t="shared" ref="W53:Y53" si="418">W55/AVERAGE(V48,W48)</f>
        <v>#DIV/0!</v>
      </c>
      <c r="X53" s="106" t="e">
        <f t="shared" si="418"/>
        <v>#DIV/0!</v>
      </c>
      <c r="Y53" s="106" t="e">
        <f t="shared" si="418"/>
        <v>#DIV/0!</v>
      </c>
      <c r="Z53" s="107" t="e">
        <f t="shared" ref="Z53" si="419">Z55/AVERAGE(V48:Y48)</f>
        <v>#DIV/0!</v>
      </c>
      <c r="AA53" s="106" t="e">
        <f t="shared" ref="AA53" si="420">AA55/AVERAGE(Y48,AA48)</f>
        <v>#DIV/0!</v>
      </c>
      <c r="AB53" s="106" t="e">
        <f t="shared" ref="AB53:AD53" si="421">AB55/AVERAGE(AA48,AB48)</f>
        <v>#DIV/0!</v>
      </c>
      <c r="AC53" s="106" t="e">
        <f t="shared" si="421"/>
        <v>#DIV/0!</v>
      </c>
      <c r="AD53" s="106" t="e">
        <f t="shared" si="421"/>
        <v>#DIV/0!</v>
      </c>
      <c r="AE53" s="107" t="e">
        <f t="shared" ref="AE53" si="422">AE55/AVERAGE(AA48:AD48)</f>
        <v>#DIV/0!</v>
      </c>
      <c r="AF53" s="106" t="e">
        <f>AF55/AVERAGE(AD48,AF48)</f>
        <v>#DIV/0!</v>
      </c>
      <c r="AG53" s="106" t="e">
        <f>AG55/AVERAGE(AF48,AG48)</f>
        <v>#DIV/0!</v>
      </c>
      <c r="AH53" s="106" t="e">
        <f>AH55/AVERAGE(AG48,AH48)</f>
        <v>#DIV/0!</v>
      </c>
      <c r="AI53" s="106" t="e">
        <f>AI55/AVERAGE(AH48,AI48)</f>
        <v>#DIV/0!</v>
      </c>
      <c r="AJ53" s="107" t="e">
        <f>AJ55/AVERAGE(AF48:AI48)</f>
        <v>#DIV/0!</v>
      </c>
      <c r="AK53" s="106">
        <f>AK55/AVERAGE(AI48,AK48)</f>
        <v>0</v>
      </c>
      <c r="AL53" s="106">
        <f>AL55/AVERAGE(AK48,AL48)</f>
        <v>0</v>
      </c>
      <c r="AM53" s="106">
        <f>AM55/AVERAGE(AL48,AM48)</f>
        <v>0</v>
      </c>
      <c r="AN53" s="106">
        <f>AN55/AVERAGE(AM48,AN48)</f>
        <v>0</v>
      </c>
      <c r="AO53" s="107">
        <f>AO55/AVERAGE(AK48:AN48)</f>
        <v>0</v>
      </c>
      <c r="AP53" s="106">
        <f>AP55/AVERAGE(AN48,AP48)</f>
        <v>0</v>
      </c>
      <c r="AQ53" s="106">
        <f>AQ55/AVERAGE(AP48,AQ48)</f>
        <v>0</v>
      </c>
      <c r="AR53" s="106">
        <f>AR55/AVERAGE(AQ48,AR48)</f>
        <v>0</v>
      </c>
      <c r="AS53" s="106">
        <f>AS55/AVERAGE(AR48,AS48)</f>
        <v>0</v>
      </c>
      <c r="AT53" s="107">
        <f>AT55/AVERAGE(AP48:AS48)</f>
        <v>0</v>
      </c>
      <c r="AU53" s="106">
        <f>AU55/AVERAGE(AS48,AU48)</f>
        <v>0</v>
      </c>
      <c r="AV53" s="106">
        <f>AV55/AVERAGE(AU48,AV48)</f>
        <v>0</v>
      </c>
      <c r="AW53" s="106">
        <f>AW55/AVERAGE(AV48,AW48)</f>
        <v>0</v>
      </c>
      <c r="AX53" s="106">
        <f>AX55/AVERAGE(AW48,AX48)</f>
        <v>0.48959917794105784</v>
      </c>
      <c r="AY53" s="107">
        <f>AY55/AVERAGE(AU48:AX48)</f>
        <v>0.48959917794105784</v>
      </c>
      <c r="AZ53" s="106">
        <f>AZ55/AVERAGE(AX48,AZ48)</f>
        <v>0</v>
      </c>
      <c r="BA53" s="106">
        <f>BA55/AVERAGE(AZ48,BA48)</f>
        <v>0</v>
      </c>
      <c r="BB53" s="106">
        <f>BB55/AVERAGE(BA48,BB48)</f>
        <v>0</v>
      </c>
      <c r="BC53" s="106">
        <f>BC55/AVERAGE(BB48,BC48)</f>
        <v>0.1308539220037854</v>
      </c>
      <c r="BD53" s="107">
        <f>BD55/AVERAGE(AZ48:BC48)</f>
        <v>0.1350605968659937</v>
      </c>
      <c r="BE53" s="106">
        <f>BE55/AVERAGE(BC48,BE48)</f>
        <v>0</v>
      </c>
      <c r="BF53" s="106">
        <f>BF55/AVERAGE(BD48,BF48)</f>
        <v>0</v>
      </c>
      <c r="BG53" s="106">
        <f>BG55/AVERAGE(BE48,BG48)</f>
        <v>0.39400416386341269</v>
      </c>
      <c r="BH53" s="106">
        <f>BH55/AVERAGE(BG48,BH48)</f>
        <v>0.17133803367017156</v>
      </c>
      <c r="BI53" s="107">
        <f>BI55/AVERAGE(BE48:BH48)</f>
        <v>0.56536291169547348</v>
      </c>
      <c r="BJ53" s="106">
        <f>BJ55/AVERAGE(BH48,BJ48)</f>
        <v>0</v>
      </c>
      <c r="BK53" s="106">
        <f>BK55/AVERAGE(BI48,BK48)</f>
        <v>0.51577340283648132</v>
      </c>
      <c r="BL53" s="106">
        <f>BL55/AVERAGE(BJ48,BL48)</f>
        <v>0</v>
      </c>
      <c r="BM53" s="106">
        <f>BM55/AVERAGE(BL48,BM48)</f>
        <v>0</v>
      </c>
      <c r="BN53" s="107">
        <f>BN55/AVERAGE(BJ48:BM48)</f>
        <v>0.51656096520697425</v>
      </c>
      <c r="BO53" s="106">
        <f>BO55/AVERAGE(BM48,BO48)</f>
        <v>0.20697913782757346</v>
      </c>
      <c r="BP53" s="106">
        <f>BP55/AVERAGE(BN48,BP48)</f>
        <v>6.312863703740991E-2</v>
      </c>
      <c r="BQ53" s="106">
        <f>BQ55/AVERAGE(BP48,BQ48)</f>
        <v>0.51744784456893367</v>
      </c>
      <c r="BR53" s="106">
        <f>BR55/AVERAGE(BQ48,BR48)</f>
        <v>0.34496522971262245</v>
      </c>
      <c r="BS53" s="107">
        <f>BS55/AVERAGE(BO48:BR48)</f>
        <v>1.1325208491465395</v>
      </c>
      <c r="BT53" s="106">
        <f>BT55/AVERAGE(BR48,BT48)</f>
        <v>0</v>
      </c>
      <c r="BU53" s="106">
        <f>BU55/AVERAGE(BT48,BU48)</f>
        <v>0.40878379720945757</v>
      </c>
      <c r="BV53" s="106">
        <f>BV55/AVERAGE(BU48,BV48)</f>
        <v>0.91415785873844946</v>
      </c>
      <c r="BW53" s="106">
        <f>BW55/AVERAGE(BV48,BW48)</f>
        <v>0.34496522971262245</v>
      </c>
      <c r="BX53" s="107">
        <f>BX55/AVERAGE(BT48:BW48)</f>
        <v>1.6679068856605295</v>
      </c>
      <c r="BY53" s="106">
        <f>BY55/AVERAGE(BW48,BY48)</f>
        <v>0.60368915199708928</v>
      </c>
      <c r="BZ53" s="106">
        <f>BZ55/AVERAGE(BY48,BZ48)</f>
        <v>0.52942851066314411</v>
      </c>
      <c r="CA53" s="106">
        <f>CA55/AVERAGE(BZ48,CA48)</f>
        <v>0.68522463280593515</v>
      </c>
      <c r="CB53" s="106">
        <f>CB55/AVERAGE(CA48,CB48)</f>
        <v>2.7436868939721135</v>
      </c>
      <c r="CC53" s="107">
        <f>CC55/AVERAGE(BY48:CB48)</f>
        <v>4.5765271321399723</v>
      </c>
      <c r="CD53" s="106">
        <f>CD55/AVERAGE(CB48,CD48)</f>
        <v>0.45447522631843706</v>
      </c>
      <c r="CE53" s="106">
        <f>CE55/AVERAGE(CD48,CE48)</f>
        <v>0.51940025864964234</v>
      </c>
      <c r="CF53" s="106">
        <f>CF55/AVERAGE(CE48,CF48)</f>
        <v>0.61678780714645032</v>
      </c>
      <c r="CG53" s="106">
        <f ca="1">CG55/AVERAGE(CF48,CG48)</f>
        <v>0.69431657273683478</v>
      </c>
      <c r="CH53" s="107">
        <f ca="1">CH55/AVERAGE(CD48:CG48)</f>
        <v>2.2849798648513646</v>
      </c>
      <c r="CI53" s="106">
        <f ca="1">CI55/AVERAGE(CG48,CI48)</f>
        <v>0.81988300858075225</v>
      </c>
      <c r="CJ53" s="106">
        <f ca="1">CJ55/AVERAGE(CI48,CJ48)</f>
        <v>0.84285647176281753</v>
      </c>
      <c r="CK53" s="106">
        <f ca="1">CK55/AVERAGE(CJ48,CK48)</f>
        <v>0.91444538735157321</v>
      </c>
      <c r="CL53" s="106">
        <f ca="1">CL55/AVERAGE(CK48,CL48)</f>
        <v>0.99655191700238543</v>
      </c>
      <c r="CM53" s="107">
        <f ca="1">CM55/AVERAGE(CI48:CL48)</f>
        <v>3.5737367846975285</v>
      </c>
      <c r="CN53" s="106">
        <f ca="1">CN55/AVERAGE(CL48,CN48)</f>
        <v>1.1623631173476967</v>
      </c>
      <c r="CO53" s="106">
        <f ca="1">CO55/AVERAGE(CN48,CO48)</f>
        <v>1.3150523314887432</v>
      </c>
      <c r="CP53" s="106">
        <f ca="1">CP55/AVERAGE(CO48,CP48)</f>
        <v>1.2764818359170087</v>
      </c>
      <c r="CQ53" s="106">
        <f ca="1">CQ55/AVERAGE(CP48,CQ48)</f>
        <v>1.3370394396876357</v>
      </c>
      <c r="CR53" s="107">
        <f ca="1">CR55/AVERAGE(CN48:CQ48)</f>
        <v>5.0909367244410841</v>
      </c>
      <c r="CS53" s="106">
        <f ca="1">CS55/AVERAGE(CQ48,CS48)</f>
        <v>1.3452545461574972</v>
      </c>
      <c r="CT53" s="106">
        <f ca="1">CT55/AVERAGE(CS48,CT48)</f>
        <v>1.4200561230234232</v>
      </c>
      <c r="CU53" s="106">
        <f ca="1">CU55/AVERAGE(CT48,CU48)</f>
        <v>1.3558396302465934</v>
      </c>
      <c r="CV53" s="106">
        <f ca="1">CV55/AVERAGE(CU48,CV48)</f>
        <v>1.4018971586360069</v>
      </c>
      <c r="CW53" s="107">
        <f ca="1">CW55/AVERAGE(CS48:CV48)</f>
        <v>5.5230474580635205</v>
      </c>
      <c r="CX53" s="106">
        <f ca="1">CX55/AVERAGE(CV48,CX48)</f>
        <v>1.4017841483050681</v>
      </c>
      <c r="CY53" s="106">
        <f ca="1">CY55/AVERAGE(CX48,CY48)</f>
        <v>1.5036427128477927</v>
      </c>
      <c r="CZ53" s="106">
        <f ca="1">CZ55/AVERAGE(CY48,CZ48)</f>
        <v>1.4327896060842147</v>
      </c>
      <c r="DA53" s="106">
        <f ca="1">DA55/AVERAGE(CZ48,DA48)</f>
        <v>1.4767087500332579</v>
      </c>
      <c r="DB53" s="107">
        <f ca="1">DB55/AVERAGE(CX48:DA48)</f>
        <v>5.814925217270333</v>
      </c>
    </row>
    <row r="54" spans="1:107" ht="11.25" customHeight="1" thickBot="1" x14ac:dyDescent="0.4">
      <c r="A54" s="34" t="s">
        <v>101</v>
      </c>
      <c r="B54" s="43"/>
      <c r="C54" s="43"/>
      <c r="D54" s="43"/>
      <c r="E54" s="44"/>
      <c r="F54" s="42"/>
      <c r="G54" s="43"/>
      <c r="H54" s="43"/>
      <c r="I54" s="43"/>
      <c r="J54" s="44"/>
      <c r="K54" s="42"/>
      <c r="L54" s="43"/>
      <c r="M54" s="43"/>
      <c r="N54" s="43"/>
      <c r="O54" s="44"/>
      <c r="P54" s="42"/>
      <c r="Q54" s="43"/>
      <c r="R54" s="43"/>
      <c r="S54" s="43"/>
      <c r="T54" s="44"/>
      <c r="U54" s="42"/>
      <c r="V54" s="43"/>
      <c r="W54" s="43"/>
      <c r="X54" s="43"/>
      <c r="Y54" s="44"/>
      <c r="Z54" s="42"/>
      <c r="AA54" s="43"/>
      <c r="AB54" s="43"/>
      <c r="AC54" s="43"/>
      <c r="AD54" s="44"/>
      <c r="AE54" s="42"/>
      <c r="AF54" s="43"/>
      <c r="AG54" s="43"/>
      <c r="AH54" s="43"/>
      <c r="AI54" s="44"/>
      <c r="AJ54" s="42"/>
      <c r="AK54" s="43"/>
      <c r="AL54" s="43"/>
      <c r="AM54" s="43"/>
      <c r="AN54" s="44"/>
      <c r="AO54" s="42"/>
      <c r="AP54" s="43"/>
      <c r="AQ54" s="43"/>
      <c r="AR54" s="43"/>
      <c r="AS54" s="44"/>
      <c r="AT54" s="42"/>
      <c r="AU54" s="43"/>
      <c r="AV54" s="43"/>
      <c r="AW54" s="43"/>
      <c r="AX54" s="44"/>
      <c r="AY54" s="42"/>
      <c r="AZ54" s="43"/>
      <c r="BA54" s="43"/>
      <c r="BB54" s="43"/>
      <c r="BC54" s="44"/>
      <c r="BD54" s="42"/>
      <c r="BE54" s="43"/>
      <c r="BF54" s="43"/>
      <c r="BG54" s="43"/>
      <c r="BH54" s="44"/>
      <c r="BI54" s="42"/>
      <c r="BJ54" s="43"/>
      <c r="BK54" s="43"/>
      <c r="BL54" s="43"/>
      <c r="BM54" s="44"/>
      <c r="BN54" s="42"/>
      <c r="BO54" s="43"/>
      <c r="BP54" s="43"/>
      <c r="BQ54" s="43"/>
      <c r="BR54" s="44"/>
      <c r="BS54" s="42"/>
      <c r="BT54" s="43"/>
      <c r="BU54" s="43"/>
      <c r="BV54" s="43"/>
      <c r="BW54" s="44"/>
      <c r="BX54" s="42"/>
      <c r="BY54" s="43"/>
      <c r="BZ54" s="43"/>
      <c r="CA54" s="35"/>
      <c r="CB54" s="35"/>
      <c r="CC54" s="36"/>
      <c r="CD54" s="35"/>
      <c r="CE54" s="35"/>
      <c r="CF54" s="35"/>
      <c r="CG54" s="35"/>
      <c r="CH54" s="36"/>
      <c r="CI54" s="35"/>
      <c r="CJ54" s="35"/>
      <c r="CK54" s="35"/>
      <c r="CL54" s="35"/>
      <c r="CM54" s="36"/>
      <c r="CN54" s="35"/>
      <c r="CO54" s="35"/>
      <c r="CP54" s="35"/>
      <c r="CQ54" s="35"/>
      <c r="CR54" s="36"/>
      <c r="CS54" s="35"/>
      <c r="CT54" s="35"/>
      <c r="CU54" s="35"/>
      <c r="CV54" s="35"/>
      <c r="CW54" s="36"/>
      <c r="CX54" s="35"/>
      <c r="CY54" s="35"/>
      <c r="CZ54" s="35"/>
      <c r="DA54" s="35"/>
      <c r="DB54" s="36"/>
    </row>
    <row r="55" spans="1:107" ht="11.25" customHeight="1" x14ac:dyDescent="0.35">
      <c r="A55" s="16" t="s">
        <v>88</v>
      </c>
      <c r="B55" s="401"/>
      <c r="C55" s="401"/>
      <c r="D55" s="401"/>
      <c r="E55" s="401"/>
      <c r="F55" s="18">
        <f t="shared" ref="F55" si="423">SUM(B55:E55)</f>
        <v>0</v>
      </c>
      <c r="G55" s="401"/>
      <c r="H55" s="401"/>
      <c r="I55" s="401"/>
      <c r="J55" s="401"/>
      <c r="K55" s="18">
        <f t="shared" ref="K55" si="424">SUM(G55:J55)</f>
        <v>0</v>
      </c>
      <c r="L55" s="401"/>
      <c r="M55" s="401"/>
      <c r="N55" s="401"/>
      <c r="O55" s="401"/>
      <c r="P55" s="18">
        <f t="shared" ref="P55" si="425">SUM(L55:O55)</f>
        <v>0</v>
      </c>
      <c r="Q55" s="401"/>
      <c r="R55" s="401"/>
      <c r="S55" s="401"/>
      <c r="T55" s="401"/>
      <c r="U55" s="18">
        <f t="shared" ref="U55" si="426">SUM(Q55:T55)</f>
        <v>0</v>
      </c>
      <c r="V55" s="401"/>
      <c r="W55" s="401"/>
      <c r="X55" s="401"/>
      <c r="Y55" s="401"/>
      <c r="Z55" s="18">
        <f t="shared" ref="Z55" si="427">SUM(V55:Y55)</f>
        <v>0</v>
      </c>
      <c r="AA55" s="401"/>
      <c r="AB55" s="401"/>
      <c r="AC55" s="401"/>
      <c r="AD55" s="401"/>
      <c r="AE55" s="18">
        <f t="shared" ref="AE55" si="428">SUM(AA55:AD55)</f>
        <v>0</v>
      </c>
      <c r="AF55" s="401"/>
      <c r="AG55" s="401"/>
      <c r="AH55" s="401"/>
      <c r="AI55" s="401"/>
      <c r="AJ55" s="18">
        <f>SUM(AF55:AI55)</f>
        <v>0</v>
      </c>
      <c r="AK55" s="401">
        <v>0</v>
      </c>
      <c r="AL55" s="401">
        <v>0</v>
      </c>
      <c r="AM55" s="401">
        <v>0</v>
      </c>
      <c r="AN55" s="401">
        <v>0</v>
      </c>
      <c r="AO55" s="18">
        <f>SUM(AK55:AN55)</f>
        <v>0</v>
      </c>
      <c r="AP55" s="401">
        <v>0</v>
      </c>
      <c r="AQ55" s="401">
        <v>0</v>
      </c>
      <c r="AR55" s="401">
        <v>0</v>
      </c>
      <c r="AS55" s="401">
        <v>0</v>
      </c>
      <c r="AT55" s="18">
        <f>SUM(AP55:AS55)</f>
        <v>0</v>
      </c>
      <c r="AU55" s="401">
        <v>0</v>
      </c>
      <c r="AV55" s="401">
        <v>0</v>
      </c>
      <c r="AW55" s="401">
        <v>0</v>
      </c>
      <c r="AX55" s="401">
        <v>134000</v>
      </c>
      <c r="AY55" s="18">
        <f t="shared" ref="AY55" si="429">SUM(AU55:AX55)</f>
        <v>134000</v>
      </c>
      <c r="AZ55" s="401">
        <v>0</v>
      </c>
      <c r="BA55" s="401">
        <v>0</v>
      </c>
      <c r="BB55" s="401">
        <v>0</v>
      </c>
      <c r="BC55" s="401">
        <v>38193</v>
      </c>
      <c r="BD55" s="18">
        <f t="shared" ref="BD55" si="430">SUM(AZ55:BC55)</f>
        <v>38193</v>
      </c>
      <c r="BE55" s="401">
        <v>0</v>
      </c>
      <c r="BF55" s="401">
        <v>0</v>
      </c>
      <c r="BG55" s="401">
        <v>115000</v>
      </c>
      <c r="BH55" s="401">
        <v>50000</v>
      </c>
      <c r="BI55" s="18">
        <f t="shared" ref="BI55" si="431">SUM(BE55:BH55)</f>
        <v>165000</v>
      </c>
      <c r="BJ55" s="401">
        <v>0</v>
      </c>
      <c r="BK55" s="401">
        <v>150000</v>
      </c>
      <c r="BL55" s="401">
        <v>0</v>
      </c>
      <c r="BM55" s="401">
        <v>0</v>
      </c>
      <c r="BN55" s="18">
        <f t="shared" ref="BN55" si="432">SUM(BJ55:BM55)</f>
        <v>150000</v>
      </c>
      <c r="BO55" s="401">
        <v>60000</v>
      </c>
      <c r="BP55" s="401">
        <v>18300</v>
      </c>
      <c r="BQ55" s="401">
        <v>150000</v>
      </c>
      <c r="BR55" s="401">
        <v>100000</v>
      </c>
      <c r="BS55" s="18">
        <f t="shared" ref="BS55" si="433">SUM(BO55:BR55)</f>
        <v>328300</v>
      </c>
      <c r="BT55" s="401">
        <v>0</v>
      </c>
      <c r="BU55" s="401">
        <v>118500</v>
      </c>
      <c r="BV55" s="401">
        <v>265000</v>
      </c>
      <c r="BW55" s="401">
        <v>100000</v>
      </c>
      <c r="BX55" s="18">
        <f t="shared" ref="BX55" si="434">SUM(BT55:BW55)</f>
        <v>483500</v>
      </c>
      <c r="BY55" s="401">
        <v>175000</v>
      </c>
      <c r="BZ55" s="401">
        <v>154000</v>
      </c>
      <c r="CA55" s="401">
        <v>200000</v>
      </c>
      <c r="CB55" s="557">
        <f>573000+250000</f>
        <v>823000</v>
      </c>
      <c r="CC55" s="18">
        <f>SUM(BY55:CB55)</f>
        <v>1352000</v>
      </c>
      <c r="CD55" s="557">
        <v>140000</v>
      </c>
      <c r="CE55" s="401">
        <v>160000</v>
      </c>
      <c r="CF55" s="401">
        <v>190000</v>
      </c>
      <c r="CG55" s="435">
        <f t="shared" ref="CG55" ca="1" si="435">CF45*70%</f>
        <v>213882.54970590794</v>
      </c>
      <c r="CH55" s="18">
        <f ca="1">SUM(CD55:CG55)</f>
        <v>703882.54970590794</v>
      </c>
      <c r="CI55" s="435">
        <f ca="1">CG45*75%</f>
        <v>252562.98815478207</v>
      </c>
      <c r="CJ55" s="435">
        <f ca="1">CI45*75%</f>
        <v>259639.90821386487</v>
      </c>
      <c r="CK55" s="435">
        <f ca="1">CJ45*75%</f>
        <v>281692.70141805016</v>
      </c>
      <c r="CL55" s="435">
        <f ca="1">CK45*75%</f>
        <v>306985.42032867251</v>
      </c>
      <c r="CM55" s="18">
        <f ca="1">SUM(CI55:CL55)</f>
        <v>1100881.0181153696</v>
      </c>
      <c r="CN55" s="435">
        <f ca="1">CL45*90%</f>
        <v>358063.1616532976</v>
      </c>
      <c r="CO55" s="435">
        <f ca="1">CN45*90%</f>
        <v>405098.70669919776</v>
      </c>
      <c r="CP55" s="435">
        <f t="shared" ref="CP55:CQ55" ca="1" si="436">CO45*90%</f>
        <v>393217.15833893727</v>
      </c>
      <c r="CQ55" s="435">
        <f t="shared" ca="1" si="436"/>
        <v>411871.78247888427</v>
      </c>
      <c r="CR55" s="18">
        <f t="shared" ref="CR55" ca="1" si="437">SUM(CN55:CQ55)</f>
        <v>1568250.8091703169</v>
      </c>
      <c r="CS55" s="435">
        <f t="shared" ref="CS55" ca="1" si="438">CQ45*90%</f>
        <v>414402.42626137892</v>
      </c>
      <c r="CT55" s="435">
        <f t="shared" ref="CT55:DA55" ca="1" si="439">CS45*90%</f>
        <v>437444.87204233347</v>
      </c>
      <c r="CU55" s="435">
        <f t="shared" ca="1" si="439"/>
        <v>417663.13594731269</v>
      </c>
      <c r="CV55" s="435">
        <f t="shared" ca="1" si="439"/>
        <v>431851.04675325821</v>
      </c>
      <c r="CW55" s="18">
        <f t="shared" ref="CW55" ca="1" si="440">SUM(CS55:CV55)</f>
        <v>1701361.4810042833</v>
      </c>
      <c r="CX55" s="435">
        <f t="shared" ref="CX55" ca="1" si="441">CV45*90%</f>
        <v>431816.23419271538</v>
      </c>
      <c r="CY55" s="435">
        <f t="shared" ref="CY55" ca="1" si="442">CX45*90%</f>
        <v>463193.5199283954</v>
      </c>
      <c r="CZ55" s="435">
        <f t="shared" ca="1" si="439"/>
        <v>441367.39086245006</v>
      </c>
      <c r="DA55" s="435">
        <f t="shared" ca="1" si="439"/>
        <v>454896.57748649246</v>
      </c>
      <c r="DB55" s="18">
        <f t="shared" ref="DB55" ca="1" si="443">SUM(CX55:DA55)</f>
        <v>1791273.7224700532</v>
      </c>
    </row>
    <row r="56" spans="1:107" ht="11.25" customHeight="1" x14ac:dyDescent="0.35">
      <c r="A56" s="70" t="s">
        <v>7</v>
      </c>
      <c r="B56" s="99" t="e">
        <f t="shared" ref="B56:AE56" si="444">B55/B45</f>
        <v>#DIV/0!</v>
      </c>
      <c r="C56" s="99" t="e">
        <f t="shared" si="444"/>
        <v>#DIV/0!</v>
      </c>
      <c r="D56" s="99" t="e">
        <f t="shared" si="444"/>
        <v>#DIV/0!</v>
      </c>
      <c r="E56" s="99" t="e">
        <f t="shared" si="444"/>
        <v>#DIV/0!</v>
      </c>
      <c r="F56" s="100" t="e">
        <f t="shared" si="444"/>
        <v>#DIV/0!</v>
      </c>
      <c r="G56" s="99" t="e">
        <f t="shared" si="444"/>
        <v>#DIV/0!</v>
      </c>
      <c r="H56" s="99" t="e">
        <f t="shared" si="444"/>
        <v>#DIV/0!</v>
      </c>
      <c r="I56" s="99" t="e">
        <f t="shared" si="444"/>
        <v>#DIV/0!</v>
      </c>
      <c r="J56" s="99" t="e">
        <f t="shared" si="444"/>
        <v>#DIV/0!</v>
      </c>
      <c r="K56" s="100" t="e">
        <f t="shared" si="444"/>
        <v>#DIV/0!</v>
      </c>
      <c r="L56" s="99" t="e">
        <f t="shared" si="444"/>
        <v>#DIV/0!</v>
      </c>
      <c r="M56" s="99" t="e">
        <f t="shared" si="444"/>
        <v>#DIV/0!</v>
      </c>
      <c r="N56" s="99" t="e">
        <f t="shared" si="444"/>
        <v>#DIV/0!</v>
      </c>
      <c r="O56" s="99" t="e">
        <f t="shared" si="444"/>
        <v>#DIV/0!</v>
      </c>
      <c r="P56" s="100" t="e">
        <f t="shared" si="444"/>
        <v>#DIV/0!</v>
      </c>
      <c r="Q56" s="99" t="e">
        <f t="shared" si="444"/>
        <v>#DIV/0!</v>
      </c>
      <c r="R56" s="99" t="e">
        <f t="shared" si="444"/>
        <v>#DIV/0!</v>
      </c>
      <c r="S56" s="99" t="e">
        <f t="shared" si="444"/>
        <v>#DIV/0!</v>
      </c>
      <c r="T56" s="99" t="e">
        <f t="shared" si="444"/>
        <v>#DIV/0!</v>
      </c>
      <c r="U56" s="100" t="e">
        <f t="shared" si="444"/>
        <v>#DIV/0!</v>
      </c>
      <c r="V56" s="99" t="e">
        <f t="shared" si="444"/>
        <v>#DIV/0!</v>
      </c>
      <c r="W56" s="99" t="e">
        <f t="shared" si="444"/>
        <v>#DIV/0!</v>
      </c>
      <c r="X56" s="99" t="e">
        <f t="shared" si="444"/>
        <v>#DIV/0!</v>
      </c>
      <c r="Y56" s="99" t="e">
        <f t="shared" si="444"/>
        <v>#DIV/0!</v>
      </c>
      <c r="Z56" s="100" t="e">
        <f t="shared" si="444"/>
        <v>#DIV/0!</v>
      </c>
      <c r="AA56" s="99" t="e">
        <f t="shared" si="444"/>
        <v>#DIV/0!</v>
      </c>
      <c r="AB56" s="99" t="e">
        <f t="shared" si="444"/>
        <v>#DIV/0!</v>
      </c>
      <c r="AC56" s="99" t="e">
        <f t="shared" si="444"/>
        <v>#DIV/0!</v>
      </c>
      <c r="AD56" s="99" t="e">
        <f t="shared" si="444"/>
        <v>#DIV/0!</v>
      </c>
      <c r="AE56" s="100" t="e">
        <f t="shared" si="444"/>
        <v>#DIV/0!</v>
      </c>
      <c r="AF56" s="99" t="e">
        <f t="shared" ref="AF56:AG56" si="445">AF55/AF45</f>
        <v>#DIV/0!</v>
      </c>
      <c r="AG56" s="99" t="e">
        <f t="shared" si="445"/>
        <v>#DIV/0!</v>
      </c>
      <c r="AH56" s="99" t="e">
        <f t="shared" ref="AH56:BM56" si="446">AH55/AH45</f>
        <v>#DIV/0!</v>
      </c>
      <c r="AI56" s="99" t="e">
        <f t="shared" si="446"/>
        <v>#DIV/0!</v>
      </c>
      <c r="AJ56" s="100" t="e">
        <f t="shared" si="446"/>
        <v>#DIV/0!</v>
      </c>
      <c r="AK56" s="99">
        <f t="shared" si="446"/>
        <v>0</v>
      </c>
      <c r="AL56" s="99">
        <f t="shared" si="446"/>
        <v>0</v>
      </c>
      <c r="AM56" s="99">
        <f t="shared" si="446"/>
        <v>0</v>
      </c>
      <c r="AN56" s="99">
        <f t="shared" si="446"/>
        <v>0</v>
      </c>
      <c r="AO56" s="100">
        <f t="shared" si="446"/>
        <v>0</v>
      </c>
      <c r="AP56" s="99">
        <f t="shared" si="446"/>
        <v>0</v>
      </c>
      <c r="AQ56" s="99">
        <f t="shared" si="446"/>
        <v>0</v>
      </c>
      <c r="AR56" s="99">
        <f t="shared" si="446"/>
        <v>0</v>
      </c>
      <c r="AS56" s="99">
        <f t="shared" si="446"/>
        <v>0</v>
      </c>
      <c r="AT56" s="100">
        <f t="shared" si="446"/>
        <v>0</v>
      </c>
      <c r="AU56" s="99">
        <f t="shared" si="446"/>
        <v>0</v>
      </c>
      <c r="AV56" s="99">
        <f t="shared" si="446"/>
        <v>0</v>
      </c>
      <c r="AW56" s="99">
        <f t="shared" si="446"/>
        <v>0</v>
      </c>
      <c r="AX56" s="99">
        <f t="shared" si="446"/>
        <v>2.6602608643862542</v>
      </c>
      <c r="AY56" s="100">
        <f t="shared" si="446"/>
        <v>0.83683053557154274</v>
      </c>
      <c r="AZ56" s="99">
        <f t="shared" si="446"/>
        <v>0</v>
      </c>
      <c r="BA56" s="99">
        <f t="shared" si="446"/>
        <v>0</v>
      </c>
      <c r="BB56" s="99">
        <f t="shared" si="446"/>
        <v>0</v>
      </c>
      <c r="BC56" s="99">
        <f t="shared" si="446"/>
        <v>0.56191793317541816</v>
      </c>
      <c r="BD56" s="100">
        <f t="shared" si="446"/>
        <v>0.23750093276621148</v>
      </c>
      <c r="BE56" s="99">
        <f t="shared" si="446"/>
        <v>0</v>
      </c>
      <c r="BF56" s="99">
        <f t="shared" si="446"/>
        <v>0</v>
      </c>
      <c r="BG56" s="99">
        <f t="shared" si="446"/>
        <v>1.7061048883613976</v>
      </c>
      <c r="BH56" s="99">
        <f t="shared" si="446"/>
        <v>0.48193700119520377</v>
      </c>
      <c r="BI56" s="100">
        <f t="shared" si="446"/>
        <v>0.5504605519951693</v>
      </c>
      <c r="BJ56" s="99">
        <f t="shared" si="446"/>
        <v>0</v>
      </c>
      <c r="BK56" s="99">
        <f t="shared" si="446"/>
        <v>1.737619461337967</v>
      </c>
      <c r="BL56" s="99">
        <f t="shared" si="446"/>
        <v>0</v>
      </c>
      <c r="BM56" s="99">
        <f t="shared" si="446"/>
        <v>0</v>
      </c>
      <c r="BN56" s="100">
        <f t="shared" ref="BN56:CM56" si="447">BN55/BN45</f>
        <v>0.45470391196932264</v>
      </c>
      <c r="BO56" s="99">
        <f t="shared" si="447"/>
        <v>0.65324608868904399</v>
      </c>
      <c r="BP56" s="99">
        <f t="shared" si="447"/>
        <v>0.15077488403516434</v>
      </c>
      <c r="BQ56" s="99">
        <f t="shared" si="447"/>
        <v>1.3860654222879321</v>
      </c>
      <c r="BR56" s="99">
        <f t="shared" si="447"/>
        <v>0.62374082321313851</v>
      </c>
      <c r="BS56" s="100">
        <f t="shared" si="447"/>
        <v>0.68145257542577808</v>
      </c>
      <c r="BT56" s="99">
        <f t="shared" si="447"/>
        <v>0</v>
      </c>
      <c r="BU56" s="99">
        <f t="shared" si="447"/>
        <v>0.68796553786132708</v>
      </c>
      <c r="BV56" s="99">
        <f t="shared" si="447"/>
        <v>1.5536052435642635</v>
      </c>
      <c r="BW56" s="99">
        <f t="shared" si="447"/>
        <v>0.6031945181682189</v>
      </c>
      <c r="BX56" s="100">
        <f t="shared" si="447"/>
        <v>0.74402586470886045</v>
      </c>
      <c r="BY56" s="99">
        <f t="shared" si="447"/>
        <v>0.81976812273099897</v>
      </c>
      <c r="BZ56" s="99">
        <f t="shared" ref="BZ56:CA56" si="448">BZ55/BZ45</f>
        <v>0.65052739184982111</v>
      </c>
      <c r="CA56" s="99">
        <f t="shared" si="448"/>
        <v>0.78353633453867344</v>
      </c>
      <c r="CB56" s="99">
        <f t="shared" si="447"/>
        <v>3.0472791092910541</v>
      </c>
      <c r="CC56" s="100">
        <f t="shared" si="447"/>
        <v>1.3859047744009447</v>
      </c>
      <c r="CD56" s="99">
        <f t="shared" si="447"/>
        <v>0.4622491060432467</v>
      </c>
      <c r="CE56" s="99">
        <f t="shared" si="447"/>
        <v>0.59160439414163746</v>
      </c>
      <c r="CF56" s="99">
        <f t="shared" ca="1" si="447"/>
        <v>0.62183661164913728</v>
      </c>
      <c r="CG56" s="99">
        <f t="shared" ca="1" si="447"/>
        <v>0.63513626225044206</v>
      </c>
      <c r="CH56" s="100">
        <f t="shared" ca="1" si="447"/>
        <v>0.57903403839912393</v>
      </c>
      <c r="CI56" s="99">
        <f t="shared" ca="1" si="447"/>
        <v>0.72955749529868053</v>
      </c>
      <c r="CJ56" s="99">
        <f t="shared" ca="1" si="447"/>
        <v>0.69128497181546378</v>
      </c>
      <c r="CK56" s="99">
        <f t="shared" ca="1" si="447"/>
        <v>0.68820703549159734</v>
      </c>
      <c r="CL56" s="99">
        <f t="shared" ca="1" si="447"/>
        <v>0.7716149212895741</v>
      </c>
      <c r="CM56" s="100">
        <f t="shared" ca="1" si="447"/>
        <v>0.72002954993004697</v>
      </c>
      <c r="CN56" s="99">
        <f t="shared" ref="CN56:DB56" ca="1" si="449">CN55/CN45</f>
        <v>0.79550203483433146</v>
      </c>
      <c r="CO56" s="99">
        <f t="shared" ca="1" si="449"/>
        <v>0.92719462591461277</v>
      </c>
      <c r="CP56" s="99">
        <f t="shared" ca="1" si="449"/>
        <v>0.85923692168250676</v>
      </c>
      <c r="CQ56" s="99">
        <f t="shared" ca="1" si="449"/>
        <v>0.89450394288278456</v>
      </c>
      <c r="CR56" s="100">
        <f t="shared" ca="1" si="449"/>
        <v>0.86878884158799219</v>
      </c>
      <c r="CS56" s="99">
        <f t="shared" ca="1" si="449"/>
        <v>0.85259242357548504</v>
      </c>
      <c r="CT56" s="99">
        <f t="shared" ca="1" si="449"/>
        <v>0.94262660731390135</v>
      </c>
      <c r="CU56" s="99">
        <f t="shared" ca="1" si="449"/>
        <v>0.87043165734724559</v>
      </c>
      <c r="CV56" s="99">
        <f t="shared" ca="1" si="449"/>
        <v>0.90007255703238465</v>
      </c>
      <c r="CW56" s="100">
        <f t="shared" ca="1" si="449"/>
        <v>0.8908816311014639</v>
      </c>
      <c r="CX56" s="99">
        <f t="shared" ca="1" si="449"/>
        <v>0.83903291832217874</v>
      </c>
      <c r="CY56" s="99">
        <f t="shared" ca="1" si="449"/>
        <v>0.94450604318766407</v>
      </c>
      <c r="CZ56" s="99">
        <f t="shared" ca="1" si="449"/>
        <v>0.87323288728854043</v>
      </c>
      <c r="DA56" s="99">
        <f t="shared" ca="1" si="449"/>
        <v>0.90163008431768721</v>
      </c>
      <c r="DB56" s="100">
        <f t="shared" ca="1" si="449"/>
        <v>0.88895407760633272</v>
      </c>
    </row>
    <row r="57" spans="1:107" ht="11.25" customHeight="1" x14ac:dyDescent="0.35">
      <c r="B57" s="52"/>
      <c r="C57" s="52"/>
      <c r="D57" s="52"/>
      <c r="E57" s="52"/>
      <c r="F57" s="53"/>
      <c r="G57" s="52"/>
      <c r="H57" s="52"/>
      <c r="I57" s="52"/>
      <c r="J57" s="52"/>
      <c r="K57" s="53"/>
      <c r="L57" s="52"/>
      <c r="M57" s="52"/>
      <c r="N57" s="52"/>
      <c r="O57" s="52"/>
      <c r="P57" s="53"/>
      <c r="Q57" s="52"/>
      <c r="R57" s="52"/>
      <c r="S57" s="52"/>
      <c r="T57" s="52"/>
      <c r="U57" s="53"/>
      <c r="V57" s="52"/>
      <c r="W57" s="52"/>
      <c r="X57" s="52"/>
      <c r="Y57" s="52"/>
      <c r="Z57" s="53"/>
      <c r="AA57" s="52"/>
      <c r="AB57" s="52"/>
      <c r="AC57" s="52"/>
      <c r="AD57" s="52"/>
      <c r="AE57" s="53"/>
      <c r="AF57" s="52"/>
      <c r="AG57" s="52"/>
      <c r="AH57" s="52"/>
      <c r="AI57" s="52"/>
      <c r="AJ57" s="53"/>
      <c r="AK57" s="52"/>
      <c r="AL57" s="52"/>
      <c r="AM57" s="52"/>
      <c r="AN57" s="52"/>
      <c r="AO57" s="53"/>
      <c r="AP57" s="52"/>
      <c r="AQ57" s="52"/>
      <c r="AR57" s="52"/>
      <c r="AS57" s="52"/>
      <c r="AT57" s="53"/>
      <c r="AU57" s="52"/>
      <c r="AV57" s="52"/>
      <c r="AW57" s="52"/>
      <c r="AX57" s="52"/>
      <c r="AY57" s="53"/>
      <c r="AZ57" s="52"/>
      <c r="BA57" s="52"/>
      <c r="BB57" s="52"/>
      <c r="BC57" s="52"/>
      <c r="BD57" s="53"/>
      <c r="BE57" s="52"/>
      <c r="BF57" s="52"/>
      <c r="BG57" s="52"/>
      <c r="BH57" s="52"/>
      <c r="BI57" s="53"/>
      <c r="BJ57" s="52"/>
      <c r="BK57" s="52"/>
      <c r="BL57" s="52"/>
      <c r="BM57" s="52"/>
      <c r="BN57" s="53"/>
      <c r="BO57" s="52"/>
      <c r="BP57" s="52"/>
      <c r="BQ57" s="52"/>
      <c r="BR57" s="52"/>
      <c r="BS57" s="53"/>
      <c r="BT57" s="52"/>
      <c r="BU57" s="52"/>
      <c r="BV57" s="52"/>
      <c r="BW57" s="52"/>
      <c r="BX57" s="53"/>
      <c r="BY57" s="52"/>
      <c r="BZ57" s="52"/>
      <c r="CA57" s="52"/>
      <c r="CB57" s="52"/>
      <c r="CC57" s="53"/>
      <c r="CD57" s="52"/>
      <c r="CE57" s="52"/>
      <c r="CF57" s="52"/>
      <c r="CG57" s="52"/>
      <c r="CH57" s="53"/>
      <c r="CI57" s="135"/>
      <c r="CJ57" s="52"/>
      <c r="CK57" s="52"/>
      <c r="CL57" s="52"/>
      <c r="CM57" s="53"/>
      <c r="CN57" s="135"/>
      <c r="CO57" s="52"/>
      <c r="CP57" s="52"/>
      <c r="CQ57" s="52"/>
      <c r="CR57" s="53"/>
      <c r="CS57" s="49"/>
      <c r="CT57" s="49"/>
      <c r="CU57" s="49"/>
      <c r="CV57" s="50"/>
      <c r="CW57" s="22"/>
      <c r="CX57" s="49"/>
      <c r="CY57" s="49"/>
      <c r="CZ57" s="49"/>
      <c r="DA57" s="50"/>
      <c r="DB57" s="22"/>
      <c r="DC57" s="73"/>
    </row>
    <row r="58" spans="1:107" s="15" customFormat="1" ht="11.25" customHeight="1" thickBot="1" x14ac:dyDescent="0.4">
      <c r="A58" s="119" t="s">
        <v>118</v>
      </c>
      <c r="B58" s="124" t="str">
        <f>Macro!B$3</f>
        <v>1Q10</v>
      </c>
      <c r="C58" s="124" t="str">
        <f>Macro!C$3</f>
        <v>2Q10</v>
      </c>
      <c r="D58" s="124" t="str">
        <f>Macro!D$3</f>
        <v>3Q10</v>
      </c>
      <c r="E58" s="125" t="str">
        <f>Macro!E$3</f>
        <v>4Q10</v>
      </c>
      <c r="F58" s="126" t="str">
        <f>Macro!F$3</f>
        <v>2010</v>
      </c>
      <c r="G58" s="124" t="str">
        <f>Macro!G$3</f>
        <v>1Q11</v>
      </c>
      <c r="H58" s="124" t="str">
        <f>Macro!H$3</f>
        <v>2Q11</v>
      </c>
      <c r="I58" s="124" t="str">
        <f>Macro!I$3</f>
        <v>3Q11</v>
      </c>
      <c r="J58" s="125" t="str">
        <f>Macro!J$3</f>
        <v>4Q11</v>
      </c>
      <c r="K58" s="126" t="str">
        <f>Macro!K$3</f>
        <v>2011</v>
      </c>
      <c r="L58" s="124" t="str">
        <f>Macro!L$3</f>
        <v>1Q12</v>
      </c>
      <c r="M58" s="124" t="str">
        <f>Macro!M$3</f>
        <v>2Q12</v>
      </c>
      <c r="N58" s="124" t="str">
        <f>Macro!N$3</f>
        <v>3Q12</v>
      </c>
      <c r="O58" s="125" t="str">
        <f>Macro!O$3</f>
        <v>4Q12</v>
      </c>
      <c r="P58" s="126" t="str">
        <f>Macro!P$3</f>
        <v>2012</v>
      </c>
      <c r="Q58" s="124" t="str">
        <f>Macro!Q$3</f>
        <v>1Q13</v>
      </c>
      <c r="R58" s="124" t="str">
        <f>Macro!R$3</f>
        <v>2Q13</v>
      </c>
      <c r="S58" s="124" t="str">
        <f>Macro!S$3</f>
        <v>3Q13</v>
      </c>
      <c r="T58" s="125" t="str">
        <f>Macro!T$3</f>
        <v>4Q13</v>
      </c>
      <c r="U58" s="126" t="str">
        <f>Macro!U$3</f>
        <v>2013</v>
      </c>
      <c r="V58" s="124" t="str">
        <f>Macro!V$3</f>
        <v>1Q14</v>
      </c>
      <c r="W58" s="124" t="str">
        <f>Macro!W$3</f>
        <v>2Q14</v>
      </c>
      <c r="X58" s="124" t="str">
        <f>Macro!X$3</f>
        <v>3Q14</v>
      </c>
      <c r="Y58" s="125" t="str">
        <f>Macro!Y$3</f>
        <v>4Q14</v>
      </c>
      <c r="Z58" s="126" t="str">
        <f>Macro!Z$3</f>
        <v>2014</v>
      </c>
      <c r="AA58" s="124" t="str">
        <f>Macro!AA$3</f>
        <v>1Q15</v>
      </c>
      <c r="AB58" s="124" t="str">
        <f>Macro!AB$3</f>
        <v>2Q15</v>
      </c>
      <c r="AC58" s="124" t="str">
        <f>Macro!AC$3</f>
        <v>3Q15</v>
      </c>
      <c r="AD58" s="125" t="str">
        <f>Macro!AD$3</f>
        <v>4Q15</v>
      </c>
      <c r="AE58" s="126" t="str">
        <f>Macro!AE$3</f>
        <v>2015</v>
      </c>
      <c r="AF58" s="124" t="str">
        <f>Macro!AF$3</f>
        <v>1Q16</v>
      </c>
      <c r="AG58" s="124" t="str">
        <f>Macro!AG$3</f>
        <v>2Q16</v>
      </c>
      <c r="AH58" s="124" t="str">
        <f>Macro!AH$3</f>
        <v>3Q16</v>
      </c>
      <c r="AI58" s="125" t="str">
        <f>Macro!AI$3</f>
        <v>4Q16</v>
      </c>
      <c r="AJ58" s="126" t="str">
        <f>Macro!AJ$3</f>
        <v>2016</v>
      </c>
      <c r="AK58" s="124" t="str">
        <f>Macro!AK$3</f>
        <v>1Q17</v>
      </c>
      <c r="AL58" s="124" t="str">
        <f>Macro!AL$3</f>
        <v>2Q17</v>
      </c>
      <c r="AM58" s="124" t="str">
        <f>Macro!AM$3</f>
        <v>3Q17</v>
      </c>
      <c r="AN58" s="125" t="str">
        <f>Macro!AN$3</f>
        <v>4Q17</v>
      </c>
      <c r="AO58" s="126" t="str">
        <f>Macro!AO$3</f>
        <v>2017</v>
      </c>
      <c r="AP58" s="124" t="str">
        <f>Macro!AP$3</f>
        <v>1Q18</v>
      </c>
      <c r="AQ58" s="124" t="str">
        <f>Macro!AQ$3</f>
        <v>2Q18</v>
      </c>
      <c r="AR58" s="124" t="str">
        <f>Macro!AR$3</f>
        <v>3Q18</v>
      </c>
      <c r="AS58" s="125" t="str">
        <f>Macro!AS$3</f>
        <v>4Q18</v>
      </c>
      <c r="AT58" s="126" t="str">
        <f>Macro!AT$3</f>
        <v>2018</v>
      </c>
      <c r="AU58" s="124" t="str">
        <f>Macro!AU$3</f>
        <v>1Q19</v>
      </c>
      <c r="AV58" s="124" t="str">
        <f>Macro!AV$3</f>
        <v>2Q19</v>
      </c>
      <c r="AW58" s="124" t="str">
        <f>Macro!AW$3</f>
        <v>3Q19</v>
      </c>
      <c r="AX58" s="125" t="str">
        <f>Macro!AX$3</f>
        <v>4Q19</v>
      </c>
      <c r="AY58" s="126" t="str">
        <f>Macro!AY$3</f>
        <v>2019</v>
      </c>
      <c r="AZ58" s="124" t="str">
        <f>Macro!AZ$3</f>
        <v>1Q20</v>
      </c>
      <c r="BA58" s="124" t="str">
        <f>Macro!BA$3</f>
        <v>2Q20</v>
      </c>
      <c r="BB58" s="124" t="str">
        <f>Macro!BB$3</f>
        <v>3Q20</v>
      </c>
      <c r="BC58" s="125" t="str">
        <f>Macro!BC$3</f>
        <v>4Q20</v>
      </c>
      <c r="BD58" s="126" t="str">
        <f>Macro!BD$3</f>
        <v>2020</v>
      </c>
      <c r="BE58" s="124" t="str">
        <f>Macro!BE$3</f>
        <v>1Q21</v>
      </c>
      <c r="BF58" s="124" t="str">
        <f>Macro!BF$3</f>
        <v>2Q21</v>
      </c>
      <c r="BG58" s="124" t="str">
        <f>Macro!BG$3</f>
        <v>3Q21</v>
      </c>
      <c r="BH58" s="125" t="str">
        <f>Macro!BH$3</f>
        <v>4Q21</v>
      </c>
      <c r="BI58" s="126" t="str">
        <f>Macro!BI$3</f>
        <v>2021</v>
      </c>
      <c r="BJ58" s="124" t="str">
        <f>Macro!BJ$3</f>
        <v>1Q22</v>
      </c>
      <c r="BK58" s="124" t="str">
        <f>Macro!BK$3</f>
        <v>2Q22</v>
      </c>
      <c r="BL58" s="124" t="str">
        <f>Macro!BL$3</f>
        <v>3Q22</v>
      </c>
      <c r="BM58" s="125" t="str">
        <f>Macro!BM$3</f>
        <v>4Q22</v>
      </c>
      <c r="BN58" s="126" t="str">
        <f>Macro!BN$3</f>
        <v>2022</v>
      </c>
      <c r="BO58" s="124" t="str">
        <f>Macro!BO$3</f>
        <v>1Q23</v>
      </c>
      <c r="BP58" s="124" t="str">
        <f>Macro!BP$3</f>
        <v>2Q23</v>
      </c>
      <c r="BQ58" s="124" t="str">
        <f>Macro!BQ$3</f>
        <v>3Q23</v>
      </c>
      <c r="BR58" s="125" t="str">
        <f>Macro!BR$3</f>
        <v>4Q23</v>
      </c>
      <c r="BS58" s="126" t="str">
        <f>Macro!BS$3</f>
        <v>2023</v>
      </c>
      <c r="BT58" s="124" t="str">
        <f>Macro!BT$3</f>
        <v>1Q24</v>
      </c>
      <c r="BU58" s="124" t="str">
        <f>Macro!BU$3</f>
        <v>2Q24</v>
      </c>
      <c r="BV58" s="124" t="str">
        <f>Macro!BV$3</f>
        <v>3Q24</v>
      </c>
      <c r="BW58" s="125" t="str">
        <f>Macro!BW$3</f>
        <v>4Q24</v>
      </c>
      <c r="BX58" s="126" t="str">
        <f>Macro!BX$3</f>
        <v>2024</v>
      </c>
      <c r="BY58" s="124" t="str">
        <f>Macro!BY$3</f>
        <v>1Q25</v>
      </c>
      <c r="BZ58" s="120" t="str">
        <f>Macro!BZ$3</f>
        <v>2Q25</v>
      </c>
      <c r="CA58" s="120" t="str">
        <f>Macro!CA$3</f>
        <v>3Q25</v>
      </c>
      <c r="CB58" s="120" t="str">
        <f>Macro!CB$3</f>
        <v>4Q25</v>
      </c>
      <c r="CC58" s="121" t="str">
        <f>Macro!CC$3</f>
        <v>2025</v>
      </c>
      <c r="CD58" s="120" t="str">
        <f>Macro!CD$3</f>
        <v>1Q26</v>
      </c>
      <c r="CE58" s="120" t="str">
        <f>Macro!CE$3</f>
        <v>2Q26E</v>
      </c>
      <c r="CF58" s="120" t="str">
        <f>Macro!CF$3</f>
        <v>3Q26E</v>
      </c>
      <c r="CG58" s="120" t="str">
        <f>Macro!CG$3</f>
        <v>4Q26E</v>
      </c>
      <c r="CH58" s="121" t="str">
        <f>Macro!CH$3</f>
        <v>2026E</v>
      </c>
      <c r="CI58" s="120" t="str">
        <f>Macro!CI$3</f>
        <v>1Q27E</v>
      </c>
      <c r="CJ58" s="120" t="str">
        <f>Macro!CJ$3</f>
        <v>2Q27E</v>
      </c>
      <c r="CK58" s="120" t="str">
        <f>Macro!CK$3</f>
        <v>3Q27E</v>
      </c>
      <c r="CL58" s="120" t="str">
        <f>Macro!CL$3</f>
        <v>4Q27E</v>
      </c>
      <c r="CM58" s="121" t="str">
        <f>Macro!CM$3</f>
        <v>2027E</v>
      </c>
      <c r="CN58" s="120" t="str">
        <f>Macro!CN$3</f>
        <v>1Q28E</v>
      </c>
      <c r="CO58" s="120" t="str">
        <f>Macro!CO$3</f>
        <v>2Q28E</v>
      </c>
      <c r="CP58" s="120" t="str">
        <f>Macro!CP$3</f>
        <v>3Q28E</v>
      </c>
      <c r="CQ58" s="120" t="str">
        <f>Macro!CQ$3</f>
        <v>4Q28E</v>
      </c>
      <c r="CR58" s="121" t="str">
        <f>Macro!CR$3</f>
        <v>2028E</v>
      </c>
      <c r="CS58" s="120" t="str">
        <f>Macro!CS$3</f>
        <v>1Q29E</v>
      </c>
      <c r="CT58" s="120" t="str">
        <f>Macro!CT$3</f>
        <v>2Q29E</v>
      </c>
      <c r="CU58" s="120" t="str">
        <f>Macro!CU$3</f>
        <v>3Q29E</v>
      </c>
      <c r="CV58" s="120" t="str">
        <f>Macro!CV$3</f>
        <v>4Q29E</v>
      </c>
      <c r="CW58" s="121" t="str">
        <f>Macro!CW$3</f>
        <v>2029E</v>
      </c>
      <c r="CX58" s="120" t="str">
        <f>Macro!CX$3</f>
        <v>1Q30E</v>
      </c>
      <c r="CY58" s="120" t="str">
        <f>Macro!CY$3</f>
        <v>2Q30E</v>
      </c>
      <c r="CZ58" s="120" t="str">
        <f>Macro!CZ$3</f>
        <v>3Q30E</v>
      </c>
      <c r="DA58" s="120" t="str">
        <f>Macro!DA$3</f>
        <v>4Q30E</v>
      </c>
      <c r="DB58" s="121" t="str">
        <f>Macro!DB$3</f>
        <v>2030E</v>
      </c>
    </row>
    <row r="59" spans="1:107" s="11" customFormat="1" ht="11.25" customHeight="1" thickTop="1" x14ac:dyDescent="0.35">
      <c r="A59" s="170" t="s">
        <v>104</v>
      </c>
      <c r="B59" s="128">
        <f t="shared" ref="B59:AE59" si="450">B9</f>
        <v>0</v>
      </c>
      <c r="C59" s="128">
        <f t="shared" si="450"/>
        <v>0</v>
      </c>
      <c r="D59" s="128">
        <f t="shared" si="450"/>
        <v>0</v>
      </c>
      <c r="E59" s="128">
        <f t="shared" si="450"/>
        <v>0</v>
      </c>
      <c r="F59" s="129">
        <f t="shared" si="450"/>
        <v>0</v>
      </c>
      <c r="G59" s="128">
        <f t="shared" si="450"/>
        <v>0</v>
      </c>
      <c r="H59" s="128">
        <f t="shared" si="450"/>
        <v>0</v>
      </c>
      <c r="I59" s="128">
        <f t="shared" si="450"/>
        <v>0</v>
      </c>
      <c r="J59" s="128">
        <f t="shared" si="450"/>
        <v>0</v>
      </c>
      <c r="K59" s="129">
        <f t="shared" si="450"/>
        <v>0</v>
      </c>
      <c r="L59" s="128">
        <f t="shared" si="450"/>
        <v>0</v>
      </c>
      <c r="M59" s="128">
        <f t="shared" si="450"/>
        <v>0</v>
      </c>
      <c r="N59" s="128">
        <f t="shared" si="450"/>
        <v>0</v>
      </c>
      <c r="O59" s="128">
        <f t="shared" si="450"/>
        <v>0</v>
      </c>
      <c r="P59" s="129">
        <f t="shared" si="450"/>
        <v>0</v>
      </c>
      <c r="Q59" s="128">
        <f t="shared" si="450"/>
        <v>0</v>
      </c>
      <c r="R59" s="128">
        <f t="shared" si="450"/>
        <v>0</v>
      </c>
      <c r="S59" s="128">
        <f t="shared" si="450"/>
        <v>0</v>
      </c>
      <c r="T59" s="128">
        <f t="shared" si="450"/>
        <v>0</v>
      </c>
      <c r="U59" s="129">
        <f t="shared" si="450"/>
        <v>0</v>
      </c>
      <c r="V59" s="128">
        <f t="shared" si="450"/>
        <v>0</v>
      </c>
      <c r="W59" s="128">
        <f t="shared" si="450"/>
        <v>0</v>
      </c>
      <c r="X59" s="128">
        <f t="shared" si="450"/>
        <v>0</v>
      </c>
      <c r="Y59" s="128">
        <f t="shared" si="450"/>
        <v>0</v>
      </c>
      <c r="Z59" s="129">
        <f t="shared" si="450"/>
        <v>0</v>
      </c>
      <c r="AA59" s="128">
        <f t="shared" si="450"/>
        <v>0</v>
      </c>
      <c r="AB59" s="128">
        <f t="shared" si="450"/>
        <v>0</v>
      </c>
      <c r="AC59" s="128">
        <f t="shared" si="450"/>
        <v>0</v>
      </c>
      <c r="AD59" s="128">
        <f t="shared" si="450"/>
        <v>0</v>
      </c>
      <c r="AE59" s="129">
        <f t="shared" si="450"/>
        <v>0</v>
      </c>
      <c r="AF59" s="128">
        <f t="shared" ref="AF59:AG59" si="451">AF9</f>
        <v>0</v>
      </c>
      <c r="AG59" s="128">
        <f t="shared" si="451"/>
        <v>0</v>
      </c>
      <c r="AH59" s="128">
        <f t="shared" ref="AH59:BM59" si="452">AH9</f>
        <v>0</v>
      </c>
      <c r="AI59" s="128">
        <f t="shared" si="452"/>
        <v>0</v>
      </c>
      <c r="AJ59" s="129">
        <f t="shared" si="452"/>
        <v>0</v>
      </c>
      <c r="AK59" s="128">
        <f>AK9</f>
        <v>166288.48000000001</v>
      </c>
      <c r="AL59" s="128">
        <f t="shared" si="452"/>
        <v>208158.86000000002</v>
      </c>
      <c r="AM59" s="128">
        <f t="shared" si="452"/>
        <v>216839.89299999998</v>
      </c>
      <c r="AN59" s="128">
        <f t="shared" si="452"/>
        <v>223097.27000000002</v>
      </c>
      <c r="AO59" s="129">
        <f t="shared" si="452"/>
        <v>814384.50300000003</v>
      </c>
      <c r="AP59" s="128">
        <f t="shared" si="452"/>
        <v>148366.79399999999</v>
      </c>
      <c r="AQ59" s="128">
        <f t="shared" si="452"/>
        <v>231968.27500000002</v>
      </c>
      <c r="AR59" s="128">
        <f t="shared" si="452"/>
        <v>263308.75300000003</v>
      </c>
      <c r="AS59" s="128">
        <f t="shared" si="452"/>
        <v>276609.674</v>
      </c>
      <c r="AT59" s="129">
        <f t="shared" si="452"/>
        <v>920253.49600000004</v>
      </c>
      <c r="AU59" s="128">
        <f t="shared" si="452"/>
        <v>188370</v>
      </c>
      <c r="AV59" s="128">
        <f t="shared" si="452"/>
        <v>267733</v>
      </c>
      <c r="AW59" s="128">
        <f t="shared" si="452"/>
        <v>261524</v>
      </c>
      <c r="AX59" s="128">
        <f t="shared" si="452"/>
        <v>301650</v>
      </c>
      <c r="AY59" s="129">
        <f t="shared" si="452"/>
        <v>1019277</v>
      </c>
      <c r="AZ59" s="128">
        <f t="shared" si="452"/>
        <v>227321</v>
      </c>
      <c r="BA59" s="128">
        <f t="shared" si="452"/>
        <v>246204</v>
      </c>
      <c r="BB59" s="128">
        <f t="shared" si="452"/>
        <v>325897</v>
      </c>
      <c r="BC59" s="128">
        <f t="shared" si="452"/>
        <v>345260</v>
      </c>
      <c r="BD59" s="129">
        <f t="shared" si="452"/>
        <v>1144682</v>
      </c>
      <c r="BE59" s="128">
        <f t="shared" si="452"/>
        <v>339286</v>
      </c>
      <c r="BF59" s="128">
        <f t="shared" si="452"/>
        <v>451337</v>
      </c>
      <c r="BG59" s="128">
        <f t="shared" si="452"/>
        <v>456449</v>
      </c>
      <c r="BH59" s="128">
        <f t="shared" si="452"/>
        <v>491223</v>
      </c>
      <c r="BI59" s="129">
        <f t="shared" si="452"/>
        <v>1738295</v>
      </c>
      <c r="BJ59" s="128">
        <f t="shared" si="452"/>
        <v>447374</v>
      </c>
      <c r="BK59" s="128">
        <f t="shared" si="452"/>
        <v>602783</v>
      </c>
      <c r="BL59" s="128">
        <f t="shared" si="452"/>
        <v>626659</v>
      </c>
      <c r="BM59" s="128">
        <f t="shared" si="452"/>
        <v>580478</v>
      </c>
      <c r="BN59" s="129">
        <f t="shared" ref="BN59:CS59" si="453">BN9</f>
        <v>2257294</v>
      </c>
      <c r="BO59" s="128">
        <f t="shared" si="453"/>
        <v>594956</v>
      </c>
      <c r="BP59" s="128">
        <f t="shared" si="453"/>
        <v>727746</v>
      </c>
      <c r="BQ59" s="128">
        <f t="shared" si="453"/>
        <v>751874</v>
      </c>
      <c r="BR59" s="128">
        <f t="shared" si="453"/>
        <v>811596</v>
      </c>
      <c r="BS59" s="129">
        <f t="shared" si="453"/>
        <v>2886172</v>
      </c>
      <c r="BT59" s="128">
        <f t="shared" si="453"/>
        <v>837382</v>
      </c>
      <c r="BU59" s="128">
        <f t="shared" si="453"/>
        <v>998085</v>
      </c>
      <c r="BV59" s="128">
        <f t="shared" si="453"/>
        <v>1055872</v>
      </c>
      <c r="BW59" s="128">
        <f t="shared" si="453"/>
        <v>1034971</v>
      </c>
      <c r="BX59" s="129">
        <f t="shared" si="453"/>
        <v>3926310</v>
      </c>
      <c r="BY59" s="128">
        <f t="shared" si="453"/>
        <v>1216184</v>
      </c>
      <c r="BZ59" s="128">
        <f t="shared" si="453"/>
        <v>1346599</v>
      </c>
      <c r="CA59" s="128">
        <f t="shared" si="453"/>
        <v>1416926</v>
      </c>
      <c r="CB59" s="128">
        <f t="shared" ref="CB59" si="454">CB9</f>
        <v>1419715</v>
      </c>
      <c r="CC59" s="129">
        <f t="shared" si="453"/>
        <v>5399424</v>
      </c>
      <c r="CD59" s="128">
        <f t="shared" ref="CD59:CE59" si="455">CD9</f>
        <v>1612571</v>
      </c>
      <c r="CE59" s="128">
        <f t="shared" si="455"/>
        <v>1690594</v>
      </c>
      <c r="CF59" s="128">
        <f t="shared" si="453"/>
        <v>1751153.4058953349</v>
      </c>
      <c r="CG59" s="128">
        <f t="shared" si="453"/>
        <v>1779937.8695231627</v>
      </c>
      <c r="CH59" s="129">
        <f t="shared" si="453"/>
        <v>6834256.2754184976</v>
      </c>
      <c r="CI59" s="128">
        <f t="shared" si="453"/>
        <v>1882534.8115732551</v>
      </c>
      <c r="CJ59" s="128">
        <f t="shared" si="453"/>
        <v>2142235.6386471386</v>
      </c>
      <c r="CK59" s="128">
        <f t="shared" si="453"/>
        <v>2166704.9241520194</v>
      </c>
      <c r="CL59" s="128">
        <f t="shared" si="453"/>
        <v>2058307.8701548451</v>
      </c>
      <c r="CM59" s="129">
        <f t="shared" si="453"/>
        <v>8249783.244527258</v>
      </c>
      <c r="CN59" s="128">
        <f t="shared" si="453"/>
        <v>2163208.2153237327</v>
      </c>
      <c r="CO59" s="128">
        <f t="shared" si="453"/>
        <v>2334034.5445521558</v>
      </c>
      <c r="CP59" s="128">
        <f t="shared" si="453"/>
        <v>2356759.2252717852</v>
      </c>
      <c r="CQ59" s="128">
        <f t="shared" si="453"/>
        <v>2301423.8803973608</v>
      </c>
      <c r="CR59" s="129">
        <f t="shared" si="453"/>
        <v>9155425.8655450344</v>
      </c>
      <c r="CS59" s="128">
        <f t="shared" si="453"/>
        <v>2381349.1686248803</v>
      </c>
      <c r="CT59" s="128">
        <f t="shared" ref="CT59:DB59" si="456">CT9</f>
        <v>2536389.3137544706</v>
      </c>
      <c r="CU59" s="128">
        <f t="shared" si="456"/>
        <v>2542861.5223026779</v>
      </c>
      <c r="CV59" s="128">
        <f t="shared" si="456"/>
        <v>2471918.5862079123</v>
      </c>
      <c r="CW59" s="129">
        <f t="shared" si="456"/>
        <v>9932518.5908899419</v>
      </c>
      <c r="CX59" s="128">
        <f t="shared" si="456"/>
        <v>2544222.2417425369</v>
      </c>
      <c r="CY59" s="128">
        <f t="shared" si="456"/>
        <v>2696533.1619379157</v>
      </c>
      <c r="CZ59" s="128">
        <f t="shared" si="456"/>
        <v>2695851.4984838474</v>
      </c>
      <c r="DA59" s="128">
        <f t="shared" si="456"/>
        <v>2615809.7364872601</v>
      </c>
      <c r="DB59" s="129">
        <f t="shared" si="456"/>
        <v>10552416.638651561</v>
      </c>
    </row>
    <row r="60" spans="1:107" ht="11.15" customHeight="1" x14ac:dyDescent="0.35">
      <c r="A60" s="176" t="s">
        <v>105</v>
      </c>
      <c r="B60" s="23">
        <f t="shared" ref="B60:AE60" si="457">B11+B14</f>
        <v>0</v>
      </c>
      <c r="C60" s="23">
        <f t="shared" si="457"/>
        <v>0</v>
      </c>
      <c r="D60" s="23">
        <f t="shared" si="457"/>
        <v>0</v>
      </c>
      <c r="E60" s="23">
        <f t="shared" si="457"/>
        <v>0</v>
      </c>
      <c r="F60" s="55">
        <f t="shared" si="457"/>
        <v>0</v>
      </c>
      <c r="G60" s="23">
        <f t="shared" si="457"/>
        <v>0</v>
      </c>
      <c r="H60" s="23">
        <f t="shared" si="457"/>
        <v>0</v>
      </c>
      <c r="I60" s="23">
        <f t="shared" si="457"/>
        <v>0</v>
      </c>
      <c r="J60" s="23">
        <f t="shared" si="457"/>
        <v>0</v>
      </c>
      <c r="K60" s="55">
        <f t="shared" si="457"/>
        <v>0</v>
      </c>
      <c r="L60" s="23">
        <f t="shared" si="457"/>
        <v>0</v>
      </c>
      <c r="M60" s="23">
        <f t="shared" si="457"/>
        <v>0</v>
      </c>
      <c r="N60" s="23">
        <f t="shared" si="457"/>
        <v>0</v>
      </c>
      <c r="O60" s="23">
        <f t="shared" si="457"/>
        <v>0</v>
      </c>
      <c r="P60" s="55">
        <f t="shared" si="457"/>
        <v>0</v>
      </c>
      <c r="Q60" s="23">
        <f t="shared" si="457"/>
        <v>0</v>
      </c>
      <c r="R60" s="23">
        <f t="shared" si="457"/>
        <v>0</v>
      </c>
      <c r="S60" s="23">
        <f t="shared" si="457"/>
        <v>0</v>
      </c>
      <c r="T60" s="23">
        <f t="shared" si="457"/>
        <v>0</v>
      </c>
      <c r="U60" s="55">
        <f t="shared" si="457"/>
        <v>0</v>
      </c>
      <c r="V60" s="23">
        <f t="shared" si="457"/>
        <v>0</v>
      </c>
      <c r="W60" s="23">
        <f t="shared" si="457"/>
        <v>0</v>
      </c>
      <c r="X60" s="23">
        <f t="shared" si="457"/>
        <v>0</v>
      </c>
      <c r="Y60" s="23">
        <f t="shared" si="457"/>
        <v>0</v>
      </c>
      <c r="Z60" s="55">
        <f t="shared" si="457"/>
        <v>0</v>
      </c>
      <c r="AA60" s="23">
        <f t="shared" si="457"/>
        <v>0</v>
      </c>
      <c r="AB60" s="23">
        <f t="shared" si="457"/>
        <v>0</v>
      </c>
      <c r="AC60" s="23">
        <f t="shared" si="457"/>
        <v>0</v>
      </c>
      <c r="AD60" s="23">
        <f t="shared" si="457"/>
        <v>0</v>
      </c>
      <c r="AE60" s="55">
        <f t="shared" si="457"/>
        <v>0</v>
      </c>
      <c r="AF60" s="23">
        <f t="shared" ref="AF60:AG60" si="458">AF11+AF14</f>
        <v>0</v>
      </c>
      <c r="AG60" s="23">
        <f t="shared" si="458"/>
        <v>0</v>
      </c>
      <c r="AH60" s="23">
        <f t="shared" ref="AH60:BM60" si="459">AH11+AH14</f>
        <v>0</v>
      </c>
      <c r="AI60" s="23">
        <f t="shared" si="459"/>
        <v>0</v>
      </c>
      <c r="AJ60" s="55">
        <f t="shared" si="459"/>
        <v>0</v>
      </c>
      <c r="AK60" s="23">
        <f>AK11+AK14</f>
        <v>-128091.893</v>
      </c>
      <c r="AL60" s="23">
        <f t="shared" si="459"/>
        <v>-152984.22400000005</v>
      </c>
      <c r="AM60" s="23">
        <f t="shared" si="459"/>
        <v>-151238.84099999996</v>
      </c>
      <c r="AN60" s="23">
        <f t="shared" si="459"/>
        <v>-138225.35699999996</v>
      </c>
      <c r="AO60" s="55">
        <f t="shared" si="459"/>
        <v>-570540.31499999994</v>
      </c>
      <c r="AP60" s="23">
        <f t="shared" si="459"/>
        <v>-103828.057</v>
      </c>
      <c r="AQ60" s="23">
        <f t="shared" si="459"/>
        <v>-159413.27200000003</v>
      </c>
      <c r="AR60" s="23">
        <f t="shared" si="459"/>
        <v>-165749.61599999998</v>
      </c>
      <c r="AS60" s="23">
        <f t="shared" si="459"/>
        <v>-176534.66100000002</v>
      </c>
      <c r="AT60" s="55">
        <f t="shared" si="459"/>
        <v>-605525.60600000003</v>
      </c>
      <c r="AU60" s="23">
        <f t="shared" si="459"/>
        <v>-131255</v>
      </c>
      <c r="AV60" s="23">
        <f t="shared" si="459"/>
        <v>-165453</v>
      </c>
      <c r="AW60" s="23">
        <f t="shared" si="459"/>
        <v>-179543</v>
      </c>
      <c r="AX60" s="23">
        <f t="shared" si="459"/>
        <v>-180815</v>
      </c>
      <c r="AY60" s="55">
        <f t="shared" si="459"/>
        <v>-657066</v>
      </c>
      <c r="AZ60" s="23">
        <f t="shared" si="459"/>
        <v>-147816</v>
      </c>
      <c r="BA60" s="23">
        <f t="shared" si="459"/>
        <v>-157451</v>
      </c>
      <c r="BB60" s="23">
        <f t="shared" si="459"/>
        <v>-202132</v>
      </c>
      <c r="BC60" s="23">
        <f t="shared" si="459"/>
        <v>-204678</v>
      </c>
      <c r="BD60" s="55">
        <f t="shared" si="459"/>
        <v>-712077</v>
      </c>
      <c r="BE60" s="23">
        <f t="shared" si="459"/>
        <v>-218822</v>
      </c>
      <c r="BF60" s="23">
        <f t="shared" si="459"/>
        <v>-288279</v>
      </c>
      <c r="BG60" s="23">
        <f t="shared" si="459"/>
        <v>-281139</v>
      </c>
      <c r="BH60" s="23">
        <f t="shared" si="459"/>
        <v>-304050</v>
      </c>
      <c r="BI60" s="55">
        <f t="shared" si="459"/>
        <v>-1092290</v>
      </c>
      <c r="BJ60" s="23">
        <f t="shared" si="459"/>
        <v>-280858</v>
      </c>
      <c r="BK60" s="23">
        <f t="shared" si="459"/>
        <v>-386722</v>
      </c>
      <c r="BL60" s="23">
        <f t="shared" si="459"/>
        <v>-391816</v>
      </c>
      <c r="BM60" s="23">
        <f t="shared" si="459"/>
        <v>-357722</v>
      </c>
      <c r="BN60" s="55">
        <f t="shared" ref="BN60:CS60" si="460">BN11+BN14</f>
        <v>-1417118</v>
      </c>
      <c r="BO60" s="23">
        <f t="shared" si="460"/>
        <v>-370495</v>
      </c>
      <c r="BP60" s="23">
        <f t="shared" si="460"/>
        <v>-451777</v>
      </c>
      <c r="BQ60" s="23">
        <f t="shared" si="460"/>
        <v>-466482</v>
      </c>
      <c r="BR60" s="23">
        <f t="shared" si="460"/>
        <v>-496101</v>
      </c>
      <c r="BS60" s="55">
        <f t="shared" si="460"/>
        <v>-1784855</v>
      </c>
      <c r="BT60" s="23">
        <f t="shared" si="460"/>
        <v>-518917</v>
      </c>
      <c r="BU60" s="23">
        <f t="shared" si="460"/>
        <v>-613427</v>
      </c>
      <c r="BV60" s="23">
        <f t="shared" si="460"/>
        <v>-644385</v>
      </c>
      <c r="BW60" s="23">
        <f t="shared" si="460"/>
        <v>-628280</v>
      </c>
      <c r="BX60" s="55">
        <f t="shared" si="460"/>
        <v>-2405009</v>
      </c>
      <c r="BY60" s="23">
        <f t="shared" si="460"/>
        <v>-739585</v>
      </c>
      <c r="BZ60" s="23">
        <f t="shared" si="460"/>
        <v>-810366</v>
      </c>
      <c r="CA60" s="23">
        <f t="shared" si="460"/>
        <v>-847638</v>
      </c>
      <c r="CB60" s="23">
        <f t="shared" ref="CB60" si="461">CB11+CB14</f>
        <v>-842692</v>
      </c>
      <c r="CC60" s="55">
        <f t="shared" si="460"/>
        <v>-3240281</v>
      </c>
      <c r="CD60" s="23">
        <f t="shared" ref="CD60:CE60" si="462">CD11+CD14</f>
        <v>-978672</v>
      </c>
      <c r="CE60" s="23">
        <f t="shared" si="462"/>
        <v>-1016957</v>
      </c>
      <c r="CF60" s="23">
        <f t="shared" si="460"/>
        <v>-1051669.6237196466</v>
      </c>
      <c r="CG60" s="23">
        <f t="shared" si="460"/>
        <v>-1071581.3421127249</v>
      </c>
      <c r="CH60" s="55">
        <f t="shared" si="460"/>
        <v>-4118879.9658323717</v>
      </c>
      <c r="CI60" s="23">
        <f t="shared" si="460"/>
        <v>-1135889.8454940366</v>
      </c>
      <c r="CJ60" s="23">
        <f t="shared" si="460"/>
        <v>-1287704.0496592168</v>
      </c>
      <c r="CK60" s="23">
        <f t="shared" si="460"/>
        <v>-1293617.9493202232</v>
      </c>
      <c r="CL60" s="23">
        <f t="shared" si="460"/>
        <v>-1224672.3227010211</v>
      </c>
      <c r="CM60" s="55">
        <f t="shared" si="460"/>
        <v>-4941884.1671744976</v>
      </c>
      <c r="CN60" s="23">
        <f t="shared" si="460"/>
        <v>-1316992.2686236186</v>
      </c>
      <c r="CO60" s="23">
        <f t="shared" si="460"/>
        <v>-1425422.9277041079</v>
      </c>
      <c r="CP60" s="23">
        <f t="shared" si="460"/>
        <v>-1441370.9955706999</v>
      </c>
      <c r="CQ60" s="23">
        <f t="shared" si="460"/>
        <v>-1408603.8689315743</v>
      </c>
      <c r="CR60" s="55">
        <f t="shared" si="460"/>
        <v>-5592390.0608300008</v>
      </c>
      <c r="CS60" s="23">
        <f t="shared" si="460"/>
        <v>-1470565.3266894622</v>
      </c>
      <c r="CT60" s="23">
        <f t="shared" ref="CT60:DB60" si="463">CT11+CT14</f>
        <v>-1571175.5333257522</v>
      </c>
      <c r="CU60" s="23">
        <f t="shared" si="463"/>
        <v>-1577470.1010228011</v>
      </c>
      <c r="CV60" s="23">
        <f t="shared" si="463"/>
        <v>-1534647.046796147</v>
      </c>
      <c r="CW60" s="55">
        <f t="shared" si="463"/>
        <v>-6153858.0078341626</v>
      </c>
      <c r="CX60" s="23">
        <f t="shared" si="463"/>
        <v>-1582509.250517718</v>
      </c>
      <c r="CY60" s="23">
        <f t="shared" si="463"/>
        <v>-1680869.9227925797</v>
      </c>
      <c r="CZ60" s="23">
        <f t="shared" si="463"/>
        <v>-1682150.5730436067</v>
      </c>
      <c r="DA60" s="23">
        <f t="shared" si="463"/>
        <v>-1633092.4888737744</v>
      </c>
      <c r="DB60" s="55">
        <f t="shared" si="463"/>
        <v>-6578622.2352276789</v>
      </c>
    </row>
    <row r="61" spans="1:107" ht="11.25" customHeight="1" x14ac:dyDescent="0.35">
      <c r="A61" s="173" t="s">
        <v>106</v>
      </c>
      <c r="B61" s="46">
        <f t="shared" ref="B61:AE61" si="464">B59+B60</f>
        <v>0</v>
      </c>
      <c r="C61" s="46">
        <f t="shared" si="464"/>
        <v>0</v>
      </c>
      <c r="D61" s="46">
        <f t="shared" si="464"/>
        <v>0</v>
      </c>
      <c r="E61" s="46">
        <f t="shared" si="464"/>
        <v>0</v>
      </c>
      <c r="F61" s="54">
        <f t="shared" si="464"/>
        <v>0</v>
      </c>
      <c r="G61" s="46">
        <f t="shared" si="464"/>
        <v>0</v>
      </c>
      <c r="H61" s="46">
        <f t="shared" si="464"/>
        <v>0</v>
      </c>
      <c r="I61" s="46">
        <f t="shared" si="464"/>
        <v>0</v>
      </c>
      <c r="J61" s="46">
        <f t="shared" si="464"/>
        <v>0</v>
      </c>
      <c r="K61" s="54">
        <f t="shared" si="464"/>
        <v>0</v>
      </c>
      <c r="L61" s="46">
        <f t="shared" si="464"/>
        <v>0</v>
      </c>
      <c r="M61" s="46">
        <f t="shared" si="464"/>
        <v>0</v>
      </c>
      <c r="N61" s="46">
        <f t="shared" si="464"/>
        <v>0</v>
      </c>
      <c r="O61" s="46">
        <f t="shared" si="464"/>
        <v>0</v>
      </c>
      <c r="P61" s="54">
        <f t="shared" si="464"/>
        <v>0</v>
      </c>
      <c r="Q61" s="46">
        <f t="shared" si="464"/>
        <v>0</v>
      </c>
      <c r="R61" s="46">
        <f t="shared" si="464"/>
        <v>0</v>
      </c>
      <c r="S61" s="46">
        <f t="shared" si="464"/>
        <v>0</v>
      </c>
      <c r="T61" s="46">
        <f t="shared" si="464"/>
        <v>0</v>
      </c>
      <c r="U61" s="54">
        <f t="shared" si="464"/>
        <v>0</v>
      </c>
      <c r="V61" s="46">
        <f t="shared" si="464"/>
        <v>0</v>
      </c>
      <c r="W61" s="46">
        <f t="shared" si="464"/>
        <v>0</v>
      </c>
      <c r="X61" s="46">
        <f t="shared" si="464"/>
        <v>0</v>
      </c>
      <c r="Y61" s="46">
        <f t="shared" si="464"/>
        <v>0</v>
      </c>
      <c r="Z61" s="54">
        <f t="shared" si="464"/>
        <v>0</v>
      </c>
      <c r="AA61" s="46">
        <f t="shared" si="464"/>
        <v>0</v>
      </c>
      <c r="AB61" s="46">
        <f t="shared" si="464"/>
        <v>0</v>
      </c>
      <c r="AC61" s="46">
        <f t="shared" si="464"/>
        <v>0</v>
      </c>
      <c r="AD61" s="46">
        <f t="shared" si="464"/>
        <v>0</v>
      </c>
      <c r="AE61" s="54">
        <f t="shared" si="464"/>
        <v>0</v>
      </c>
      <c r="AF61" s="46">
        <f t="shared" ref="AF61:BV61" si="465">AF59+AF60</f>
        <v>0</v>
      </c>
      <c r="AG61" s="46">
        <f t="shared" si="465"/>
        <v>0</v>
      </c>
      <c r="AH61" s="46">
        <f t="shared" si="465"/>
        <v>0</v>
      </c>
      <c r="AI61" s="46">
        <f t="shared" si="465"/>
        <v>0</v>
      </c>
      <c r="AJ61" s="54">
        <f t="shared" si="465"/>
        <v>0</v>
      </c>
      <c r="AK61" s="46">
        <f t="shared" si="465"/>
        <v>38196.587000000014</v>
      </c>
      <c r="AL61" s="46">
        <f t="shared" si="465"/>
        <v>55174.635999999969</v>
      </c>
      <c r="AM61" s="46">
        <f t="shared" si="465"/>
        <v>65601.052000000025</v>
      </c>
      <c r="AN61" s="46">
        <f t="shared" si="465"/>
        <v>84871.913000000059</v>
      </c>
      <c r="AO61" s="54">
        <f t="shared" si="465"/>
        <v>243844.18800000008</v>
      </c>
      <c r="AP61" s="46">
        <f t="shared" si="465"/>
        <v>44538.736999999994</v>
      </c>
      <c r="AQ61" s="46">
        <f t="shared" si="465"/>
        <v>72555.002999999997</v>
      </c>
      <c r="AR61" s="46">
        <f t="shared" si="465"/>
        <v>97559.137000000046</v>
      </c>
      <c r="AS61" s="46">
        <f t="shared" si="465"/>
        <v>100075.01299999998</v>
      </c>
      <c r="AT61" s="54">
        <f t="shared" si="465"/>
        <v>314727.89</v>
      </c>
      <c r="AU61" s="46">
        <f t="shared" si="465"/>
        <v>57115</v>
      </c>
      <c r="AV61" s="46">
        <f t="shared" si="465"/>
        <v>102280</v>
      </c>
      <c r="AW61" s="46">
        <f t="shared" si="465"/>
        <v>81981</v>
      </c>
      <c r="AX61" s="46">
        <f t="shared" si="465"/>
        <v>120835</v>
      </c>
      <c r="AY61" s="54">
        <f t="shared" si="465"/>
        <v>362211</v>
      </c>
      <c r="AZ61" s="46">
        <f t="shared" si="465"/>
        <v>79505</v>
      </c>
      <c r="BA61" s="46">
        <f t="shared" si="465"/>
        <v>88753</v>
      </c>
      <c r="BB61" s="46">
        <f t="shared" si="465"/>
        <v>123765</v>
      </c>
      <c r="BC61" s="46">
        <f t="shared" si="465"/>
        <v>140582</v>
      </c>
      <c r="BD61" s="54">
        <f t="shared" si="465"/>
        <v>432605</v>
      </c>
      <c r="BE61" s="46">
        <f t="shared" si="465"/>
        <v>120464</v>
      </c>
      <c r="BF61" s="46">
        <f t="shared" si="465"/>
        <v>163058</v>
      </c>
      <c r="BG61" s="46">
        <f t="shared" si="465"/>
        <v>175310</v>
      </c>
      <c r="BH61" s="46">
        <f t="shared" si="465"/>
        <v>187173</v>
      </c>
      <c r="BI61" s="54">
        <f t="shared" si="465"/>
        <v>646005</v>
      </c>
      <c r="BJ61" s="46">
        <f t="shared" si="465"/>
        <v>166516</v>
      </c>
      <c r="BK61" s="46">
        <f t="shared" si="465"/>
        <v>216061</v>
      </c>
      <c r="BL61" s="46">
        <f t="shared" si="465"/>
        <v>234843</v>
      </c>
      <c r="BM61" s="46">
        <f t="shared" si="465"/>
        <v>222756</v>
      </c>
      <c r="BN61" s="54">
        <f t="shared" si="465"/>
        <v>840176</v>
      </c>
      <c r="BO61" s="46">
        <f t="shared" si="465"/>
        <v>224461</v>
      </c>
      <c r="BP61" s="46">
        <f t="shared" si="465"/>
        <v>275969</v>
      </c>
      <c r="BQ61" s="46">
        <f t="shared" si="465"/>
        <v>285392</v>
      </c>
      <c r="BR61" s="46">
        <f t="shared" si="465"/>
        <v>315495</v>
      </c>
      <c r="BS61" s="54">
        <f t="shared" si="465"/>
        <v>1101317</v>
      </c>
      <c r="BT61" s="46">
        <f t="shared" si="465"/>
        <v>318465</v>
      </c>
      <c r="BU61" s="46">
        <f t="shared" si="465"/>
        <v>384658</v>
      </c>
      <c r="BV61" s="46">
        <f t="shared" si="465"/>
        <v>411487</v>
      </c>
      <c r="BW61" s="46">
        <f t="shared" ref="BW61:DB61" si="466">BW59+BW60</f>
        <v>406691</v>
      </c>
      <c r="BX61" s="54">
        <f t="shared" si="466"/>
        <v>1521301</v>
      </c>
      <c r="BY61" s="46">
        <f t="shared" si="466"/>
        <v>476599</v>
      </c>
      <c r="BZ61" s="46">
        <f t="shared" si="466"/>
        <v>536233</v>
      </c>
      <c r="CA61" s="46">
        <f t="shared" si="466"/>
        <v>569288</v>
      </c>
      <c r="CB61" s="46">
        <f t="shared" ref="CB61" si="467">CB59+CB60</f>
        <v>577023</v>
      </c>
      <c r="CC61" s="54">
        <f t="shared" si="466"/>
        <v>2159143</v>
      </c>
      <c r="CD61" s="46">
        <f t="shared" ref="CD61:CE61" si="468">CD59+CD60</f>
        <v>633899</v>
      </c>
      <c r="CE61" s="46">
        <f t="shared" si="468"/>
        <v>673637</v>
      </c>
      <c r="CF61" s="46">
        <f t="shared" si="466"/>
        <v>699483.78217568831</v>
      </c>
      <c r="CG61" s="46">
        <f t="shared" si="466"/>
        <v>708356.52741043782</v>
      </c>
      <c r="CH61" s="54">
        <f t="shared" si="466"/>
        <v>2715376.3095861259</v>
      </c>
      <c r="CI61" s="46">
        <f t="shared" si="466"/>
        <v>746644.96607921855</v>
      </c>
      <c r="CJ61" s="46">
        <f t="shared" si="466"/>
        <v>854531.58898792183</v>
      </c>
      <c r="CK61" s="46">
        <f t="shared" si="466"/>
        <v>873086.97483179625</v>
      </c>
      <c r="CL61" s="46">
        <f t="shared" si="466"/>
        <v>833635.54745382397</v>
      </c>
      <c r="CM61" s="54">
        <f t="shared" si="466"/>
        <v>3307899.0773527604</v>
      </c>
      <c r="CN61" s="46">
        <f t="shared" si="466"/>
        <v>846215.94670011406</v>
      </c>
      <c r="CO61" s="46">
        <f t="shared" si="466"/>
        <v>908611.61684804782</v>
      </c>
      <c r="CP61" s="46">
        <f t="shared" si="466"/>
        <v>915388.22970108525</v>
      </c>
      <c r="CQ61" s="46">
        <f t="shared" si="466"/>
        <v>892820.01146578649</v>
      </c>
      <c r="CR61" s="54">
        <f t="shared" si="466"/>
        <v>3563035.8047150336</v>
      </c>
      <c r="CS61" s="46">
        <f t="shared" si="466"/>
        <v>910783.84193541808</v>
      </c>
      <c r="CT61" s="46">
        <f t="shared" si="466"/>
        <v>965213.78042871831</v>
      </c>
      <c r="CU61" s="46">
        <f t="shared" si="466"/>
        <v>965391.42127987673</v>
      </c>
      <c r="CV61" s="46">
        <f t="shared" si="466"/>
        <v>937271.53941176529</v>
      </c>
      <c r="CW61" s="54">
        <f t="shared" si="466"/>
        <v>3778660.5830557793</v>
      </c>
      <c r="CX61" s="46">
        <f t="shared" si="466"/>
        <v>961712.99122481886</v>
      </c>
      <c r="CY61" s="46">
        <f t="shared" si="466"/>
        <v>1015663.239145336</v>
      </c>
      <c r="CZ61" s="46">
        <f t="shared" si="466"/>
        <v>1013700.9254402407</v>
      </c>
      <c r="DA61" s="46">
        <f t="shared" si="466"/>
        <v>982717.24761348567</v>
      </c>
      <c r="DB61" s="54">
        <f t="shared" si="466"/>
        <v>3973794.4034238821</v>
      </c>
    </row>
    <row r="62" spans="1:107" ht="11.25" customHeight="1" x14ac:dyDescent="0.35">
      <c r="A62" s="176" t="s">
        <v>107</v>
      </c>
      <c r="B62" s="23">
        <f t="shared" ref="B62:AE62" si="469">B18+B21+B31+B32</f>
        <v>0</v>
      </c>
      <c r="C62" s="23">
        <f t="shared" si="469"/>
        <v>0</v>
      </c>
      <c r="D62" s="23">
        <f t="shared" si="469"/>
        <v>0</v>
      </c>
      <c r="E62" s="23">
        <f t="shared" si="469"/>
        <v>0</v>
      </c>
      <c r="F62" s="55">
        <f t="shared" si="469"/>
        <v>0</v>
      </c>
      <c r="G62" s="23">
        <f t="shared" si="469"/>
        <v>0</v>
      </c>
      <c r="H62" s="23">
        <f t="shared" si="469"/>
        <v>0</v>
      </c>
      <c r="I62" s="23">
        <f t="shared" si="469"/>
        <v>0</v>
      </c>
      <c r="J62" s="23">
        <f t="shared" si="469"/>
        <v>0</v>
      </c>
      <c r="K62" s="55">
        <f t="shared" si="469"/>
        <v>0</v>
      </c>
      <c r="L62" s="23">
        <f t="shared" si="469"/>
        <v>0</v>
      </c>
      <c r="M62" s="23">
        <f t="shared" si="469"/>
        <v>0</v>
      </c>
      <c r="N62" s="23">
        <f t="shared" si="469"/>
        <v>0</v>
      </c>
      <c r="O62" s="23">
        <f t="shared" si="469"/>
        <v>0</v>
      </c>
      <c r="P62" s="55">
        <f t="shared" si="469"/>
        <v>0</v>
      </c>
      <c r="Q62" s="23">
        <f t="shared" si="469"/>
        <v>0</v>
      </c>
      <c r="R62" s="23">
        <f t="shared" si="469"/>
        <v>0</v>
      </c>
      <c r="S62" s="23">
        <f t="shared" si="469"/>
        <v>0</v>
      </c>
      <c r="T62" s="23">
        <f t="shared" si="469"/>
        <v>0</v>
      </c>
      <c r="U62" s="55">
        <f t="shared" si="469"/>
        <v>0</v>
      </c>
      <c r="V62" s="23">
        <f t="shared" si="469"/>
        <v>0</v>
      </c>
      <c r="W62" s="23">
        <f t="shared" si="469"/>
        <v>0</v>
      </c>
      <c r="X62" s="23">
        <f t="shared" si="469"/>
        <v>0</v>
      </c>
      <c r="Y62" s="23">
        <f t="shared" si="469"/>
        <v>0</v>
      </c>
      <c r="Z62" s="55">
        <f t="shared" si="469"/>
        <v>0</v>
      </c>
      <c r="AA62" s="23">
        <f t="shared" si="469"/>
        <v>0</v>
      </c>
      <c r="AB62" s="23">
        <f t="shared" si="469"/>
        <v>0</v>
      </c>
      <c r="AC62" s="23">
        <f t="shared" si="469"/>
        <v>0</v>
      </c>
      <c r="AD62" s="23">
        <f t="shared" si="469"/>
        <v>0</v>
      </c>
      <c r="AE62" s="55">
        <f t="shared" si="469"/>
        <v>0</v>
      </c>
      <c r="AF62" s="23">
        <f t="shared" ref="AF62:AG62" si="470">AF18+AF21+AF31+AF32</f>
        <v>0</v>
      </c>
      <c r="AG62" s="23">
        <f t="shared" si="470"/>
        <v>0</v>
      </c>
      <c r="AH62" s="23">
        <f t="shared" ref="AH62:BM62" si="471">AH18+AH21+AH31+AH32</f>
        <v>0</v>
      </c>
      <c r="AI62" s="23">
        <f t="shared" si="471"/>
        <v>0</v>
      </c>
      <c r="AJ62" s="55">
        <f t="shared" si="471"/>
        <v>0</v>
      </c>
      <c r="AK62" s="23">
        <f t="shared" si="471"/>
        <v>-25387.343000000001</v>
      </c>
      <c r="AL62" s="23">
        <f t="shared" si="471"/>
        <v>-38155.907000000007</v>
      </c>
      <c r="AM62" s="23">
        <f t="shared" si="471"/>
        <v>-21284.617999999988</v>
      </c>
      <c r="AN62" s="23">
        <f t="shared" si="471"/>
        <v>-32520.057000000001</v>
      </c>
      <c r="AO62" s="55">
        <f t="shared" si="471"/>
        <v>-117347.92500000002</v>
      </c>
      <c r="AP62" s="23">
        <f t="shared" si="471"/>
        <v>-23402.464999999997</v>
      </c>
      <c r="AQ62" s="23">
        <f t="shared" si="471"/>
        <v>-32214.599000000006</v>
      </c>
      <c r="AR62" s="23">
        <f t="shared" si="471"/>
        <v>-35230.821999999993</v>
      </c>
      <c r="AS62" s="23">
        <f t="shared" si="471"/>
        <v>-31382.326999999997</v>
      </c>
      <c r="AT62" s="55">
        <f t="shared" si="471"/>
        <v>-122230.21300000002</v>
      </c>
      <c r="AU62" s="23">
        <f t="shared" si="471"/>
        <v>-26262</v>
      </c>
      <c r="AV62" s="23">
        <f t="shared" si="471"/>
        <v>-20683</v>
      </c>
      <c r="AW62" s="23">
        <f t="shared" si="471"/>
        <v>-32058</v>
      </c>
      <c r="AX62" s="23">
        <f t="shared" si="471"/>
        <v>-40859</v>
      </c>
      <c r="AY62" s="55">
        <f t="shared" si="471"/>
        <v>-119862</v>
      </c>
      <c r="AZ62" s="23">
        <f t="shared" si="471"/>
        <v>-53601</v>
      </c>
      <c r="BA62" s="23">
        <f t="shared" si="471"/>
        <v>-38486</v>
      </c>
      <c r="BB62" s="23">
        <f t="shared" si="471"/>
        <v>-56363</v>
      </c>
      <c r="BC62" s="23">
        <f t="shared" si="471"/>
        <v>-57278</v>
      </c>
      <c r="BD62" s="55">
        <f t="shared" si="471"/>
        <v>-205728</v>
      </c>
      <c r="BE62" s="23">
        <f t="shared" si="471"/>
        <v>-57499</v>
      </c>
      <c r="BF62" s="23">
        <f t="shared" si="471"/>
        <v>-73901</v>
      </c>
      <c r="BG62" s="23">
        <f t="shared" si="471"/>
        <v>-87978</v>
      </c>
      <c r="BH62" s="23">
        <f t="shared" si="471"/>
        <v>-49852</v>
      </c>
      <c r="BI62" s="55">
        <f t="shared" si="471"/>
        <v>-269230</v>
      </c>
      <c r="BJ62" s="23">
        <f t="shared" si="471"/>
        <v>-86525</v>
      </c>
      <c r="BK62" s="23">
        <f t="shared" si="471"/>
        <v>-103360</v>
      </c>
      <c r="BL62" s="23">
        <f t="shared" si="471"/>
        <v>-120249</v>
      </c>
      <c r="BM62" s="23">
        <f t="shared" si="471"/>
        <v>-97696</v>
      </c>
      <c r="BN62" s="55">
        <f t="shared" ref="BN62:CS62" si="472">BN18+BN21+BN31+BN32</f>
        <v>-407830</v>
      </c>
      <c r="BO62" s="23">
        <f t="shared" si="472"/>
        <v>-108216</v>
      </c>
      <c r="BP62" s="23">
        <f t="shared" si="472"/>
        <v>-127384</v>
      </c>
      <c r="BQ62" s="23">
        <f t="shared" si="472"/>
        <v>-148043</v>
      </c>
      <c r="BR62" s="23">
        <f t="shared" si="472"/>
        <v>-131417</v>
      </c>
      <c r="BS62" s="55">
        <f t="shared" si="472"/>
        <v>-515060</v>
      </c>
      <c r="BT62" s="23">
        <f t="shared" si="472"/>
        <v>-138735</v>
      </c>
      <c r="BU62" s="23">
        <f t="shared" si="472"/>
        <v>-183398</v>
      </c>
      <c r="BV62" s="23">
        <f t="shared" si="472"/>
        <v>-201633</v>
      </c>
      <c r="BW62" s="23">
        <f t="shared" si="472"/>
        <v>-178033</v>
      </c>
      <c r="BX62" s="55">
        <f t="shared" si="472"/>
        <v>-701799</v>
      </c>
      <c r="BY62" s="23">
        <f t="shared" si="472"/>
        <v>-196329</v>
      </c>
      <c r="BZ62" s="23">
        <f t="shared" si="472"/>
        <v>-219643</v>
      </c>
      <c r="CA62" s="23">
        <f t="shared" si="472"/>
        <v>-240034</v>
      </c>
      <c r="CB62" s="23">
        <f t="shared" ref="CB62" si="473">CB18+CB21+CB31+CB32</f>
        <v>-229911</v>
      </c>
      <c r="CC62" s="55">
        <f t="shared" si="472"/>
        <v>-885917</v>
      </c>
      <c r="CD62" s="23">
        <f t="shared" ref="CD62:CE62" si="474">CD18+CD21+CD31+CD32</f>
        <v>-228793</v>
      </c>
      <c r="CE62" s="23">
        <f t="shared" si="474"/>
        <v>-290951</v>
      </c>
      <c r="CF62" s="23">
        <f t="shared" si="472"/>
        <v>-300774.01781058271</v>
      </c>
      <c r="CG62" s="23">
        <f t="shared" si="472"/>
        <v>-280396.94303760002</v>
      </c>
      <c r="CH62" s="55">
        <f t="shared" si="472"/>
        <v>-1100914.9608481829</v>
      </c>
      <c r="CI62" s="23">
        <f t="shared" si="472"/>
        <v>-297139.62206439377</v>
      </c>
      <c r="CJ62" s="23">
        <f t="shared" si="472"/>
        <v>-369251.66068616312</v>
      </c>
      <c r="CK62" s="23">
        <f t="shared" si="472"/>
        <v>-347492.46546811966</v>
      </c>
      <c r="CL62" s="23">
        <f t="shared" si="472"/>
        <v>-321173.01617687207</v>
      </c>
      <c r="CM62" s="55">
        <f t="shared" si="472"/>
        <v>-1335056.7643955483</v>
      </c>
      <c r="CN62" s="23">
        <f t="shared" si="472"/>
        <v>-307239.50345687219</v>
      </c>
      <c r="CO62" s="23">
        <f t="shared" si="472"/>
        <v>-378110.80966381426</v>
      </c>
      <c r="CP62" s="23">
        <f t="shared" si="472"/>
        <v>-355275.08074432879</v>
      </c>
      <c r="CQ62" s="23">
        <f t="shared" si="472"/>
        <v>-330325.50628512597</v>
      </c>
      <c r="CR62" s="55">
        <f t="shared" si="472"/>
        <v>-1370950.9001501414</v>
      </c>
      <c r="CS62" s="23">
        <f t="shared" si="472"/>
        <v>-328203.34363320359</v>
      </c>
      <c r="CT62" s="23">
        <f t="shared" ref="CT62:DB62" si="475">CT18+CT21+CT31+CT32</f>
        <v>-400269.57162166364</v>
      </c>
      <c r="CU62" s="23">
        <f t="shared" si="475"/>
        <v>-374553.04118619917</v>
      </c>
      <c r="CV62" s="23">
        <f t="shared" si="475"/>
        <v>-347284.49438863836</v>
      </c>
      <c r="CW62" s="55">
        <f t="shared" si="475"/>
        <v>-1450310.4508297048</v>
      </c>
      <c r="CX62" s="23">
        <f t="shared" si="475"/>
        <v>-343909.16431288642</v>
      </c>
      <c r="CY62" s="23">
        <f t="shared" si="475"/>
        <v>-418414.85091717436</v>
      </c>
      <c r="CZ62" s="23">
        <f t="shared" si="475"/>
        <v>-391232.5816099756</v>
      </c>
      <c r="DA62" s="23">
        <f t="shared" si="475"/>
        <v>-362556.82125827332</v>
      </c>
      <c r="DB62" s="55">
        <f t="shared" si="475"/>
        <v>-1516113.4180983098</v>
      </c>
    </row>
    <row r="63" spans="1:107" ht="11.25" customHeight="1" x14ac:dyDescent="0.35">
      <c r="A63" s="176" t="s">
        <v>108</v>
      </c>
      <c r="B63" s="23">
        <f t="shared" ref="B63:AE63" si="476">B61+B62</f>
        <v>0</v>
      </c>
      <c r="C63" s="23">
        <f t="shared" si="476"/>
        <v>0</v>
      </c>
      <c r="D63" s="23">
        <f t="shared" si="476"/>
        <v>0</v>
      </c>
      <c r="E63" s="23">
        <f t="shared" si="476"/>
        <v>0</v>
      </c>
      <c r="F63" s="55">
        <f t="shared" si="476"/>
        <v>0</v>
      </c>
      <c r="G63" s="23">
        <f t="shared" si="476"/>
        <v>0</v>
      </c>
      <c r="H63" s="23">
        <f t="shared" si="476"/>
        <v>0</v>
      </c>
      <c r="I63" s="23">
        <f t="shared" si="476"/>
        <v>0</v>
      </c>
      <c r="J63" s="23">
        <f t="shared" si="476"/>
        <v>0</v>
      </c>
      <c r="K63" s="55">
        <f t="shared" si="476"/>
        <v>0</v>
      </c>
      <c r="L63" s="23">
        <f t="shared" si="476"/>
        <v>0</v>
      </c>
      <c r="M63" s="23">
        <f t="shared" si="476"/>
        <v>0</v>
      </c>
      <c r="N63" s="23">
        <f t="shared" si="476"/>
        <v>0</v>
      </c>
      <c r="O63" s="23">
        <f t="shared" si="476"/>
        <v>0</v>
      </c>
      <c r="P63" s="55">
        <f t="shared" si="476"/>
        <v>0</v>
      </c>
      <c r="Q63" s="23">
        <f t="shared" si="476"/>
        <v>0</v>
      </c>
      <c r="R63" s="23">
        <f t="shared" si="476"/>
        <v>0</v>
      </c>
      <c r="S63" s="23">
        <f t="shared" si="476"/>
        <v>0</v>
      </c>
      <c r="T63" s="23">
        <f t="shared" si="476"/>
        <v>0</v>
      </c>
      <c r="U63" s="55">
        <f t="shared" si="476"/>
        <v>0</v>
      </c>
      <c r="V63" s="23">
        <f t="shared" si="476"/>
        <v>0</v>
      </c>
      <c r="W63" s="23">
        <f t="shared" si="476"/>
        <v>0</v>
      </c>
      <c r="X63" s="23">
        <f t="shared" si="476"/>
        <v>0</v>
      </c>
      <c r="Y63" s="23">
        <f t="shared" si="476"/>
        <v>0</v>
      </c>
      <c r="Z63" s="55">
        <f t="shared" si="476"/>
        <v>0</v>
      </c>
      <c r="AA63" s="23">
        <f t="shared" si="476"/>
        <v>0</v>
      </c>
      <c r="AB63" s="23">
        <f t="shared" si="476"/>
        <v>0</v>
      </c>
      <c r="AC63" s="23">
        <f t="shared" si="476"/>
        <v>0</v>
      </c>
      <c r="AD63" s="23">
        <f t="shared" si="476"/>
        <v>0</v>
      </c>
      <c r="AE63" s="55">
        <f t="shared" si="476"/>
        <v>0</v>
      </c>
      <c r="AF63" s="23">
        <f t="shared" ref="AF63:AG63" si="477">AF61+AF62</f>
        <v>0</v>
      </c>
      <c r="AG63" s="23">
        <f t="shared" si="477"/>
        <v>0</v>
      </c>
      <c r="AH63" s="23">
        <f t="shared" ref="AH63:BM63" si="478">AH61+AH62</f>
        <v>0</v>
      </c>
      <c r="AI63" s="23">
        <f t="shared" si="478"/>
        <v>0</v>
      </c>
      <c r="AJ63" s="55">
        <f t="shared" si="478"/>
        <v>0</v>
      </c>
      <c r="AK63" s="23">
        <f t="shared" si="478"/>
        <v>12809.244000000013</v>
      </c>
      <c r="AL63" s="23">
        <f t="shared" si="478"/>
        <v>17018.728999999963</v>
      </c>
      <c r="AM63" s="23">
        <f t="shared" si="478"/>
        <v>44316.434000000037</v>
      </c>
      <c r="AN63" s="23">
        <f t="shared" si="478"/>
        <v>52351.856000000058</v>
      </c>
      <c r="AO63" s="55">
        <f t="shared" si="478"/>
        <v>126496.26300000006</v>
      </c>
      <c r="AP63" s="23">
        <f t="shared" si="478"/>
        <v>21136.271999999997</v>
      </c>
      <c r="AQ63" s="23">
        <f t="shared" si="478"/>
        <v>40340.403999999995</v>
      </c>
      <c r="AR63" s="23">
        <f t="shared" si="478"/>
        <v>62328.315000000053</v>
      </c>
      <c r="AS63" s="23">
        <f t="shared" si="478"/>
        <v>68692.685999999987</v>
      </c>
      <c r="AT63" s="55">
        <f t="shared" si="478"/>
        <v>192497.677</v>
      </c>
      <c r="AU63" s="23">
        <f t="shared" si="478"/>
        <v>30853</v>
      </c>
      <c r="AV63" s="23">
        <f t="shared" si="478"/>
        <v>81597</v>
      </c>
      <c r="AW63" s="23">
        <f t="shared" si="478"/>
        <v>49923</v>
      </c>
      <c r="AX63" s="23">
        <f t="shared" si="478"/>
        <v>79976</v>
      </c>
      <c r="AY63" s="55">
        <f t="shared" si="478"/>
        <v>242349</v>
      </c>
      <c r="AZ63" s="23">
        <f t="shared" si="478"/>
        <v>25904</v>
      </c>
      <c r="BA63" s="23">
        <f t="shared" si="478"/>
        <v>50267</v>
      </c>
      <c r="BB63" s="23">
        <f t="shared" si="478"/>
        <v>67402</v>
      </c>
      <c r="BC63" s="23">
        <f t="shared" si="478"/>
        <v>83304</v>
      </c>
      <c r="BD63" s="55">
        <f t="shared" si="478"/>
        <v>226877</v>
      </c>
      <c r="BE63" s="23">
        <f t="shared" si="478"/>
        <v>62965</v>
      </c>
      <c r="BF63" s="23">
        <f t="shared" si="478"/>
        <v>89157</v>
      </c>
      <c r="BG63" s="23">
        <f t="shared" si="478"/>
        <v>87332</v>
      </c>
      <c r="BH63" s="23">
        <f t="shared" si="478"/>
        <v>137321</v>
      </c>
      <c r="BI63" s="55">
        <f t="shared" si="478"/>
        <v>376775</v>
      </c>
      <c r="BJ63" s="23">
        <f t="shared" si="478"/>
        <v>79991</v>
      </c>
      <c r="BK63" s="23">
        <f t="shared" si="478"/>
        <v>112701</v>
      </c>
      <c r="BL63" s="23">
        <f t="shared" si="478"/>
        <v>114594</v>
      </c>
      <c r="BM63" s="23">
        <f t="shared" si="478"/>
        <v>125060</v>
      </c>
      <c r="BN63" s="55">
        <f t="shared" ref="BN63:CS63" si="479">BN61+BN62</f>
        <v>432346</v>
      </c>
      <c r="BO63" s="23">
        <f t="shared" si="479"/>
        <v>116245</v>
      </c>
      <c r="BP63" s="23">
        <f t="shared" si="479"/>
        <v>148585</v>
      </c>
      <c r="BQ63" s="23">
        <f t="shared" si="479"/>
        <v>137349</v>
      </c>
      <c r="BR63" s="23">
        <f t="shared" si="479"/>
        <v>184078</v>
      </c>
      <c r="BS63" s="55">
        <f t="shared" si="479"/>
        <v>586257</v>
      </c>
      <c r="BT63" s="23">
        <f t="shared" si="479"/>
        <v>179730</v>
      </c>
      <c r="BU63" s="23">
        <f t="shared" si="479"/>
        <v>201260</v>
      </c>
      <c r="BV63" s="23">
        <f t="shared" si="479"/>
        <v>209854</v>
      </c>
      <c r="BW63" s="23">
        <f t="shared" si="479"/>
        <v>228658</v>
      </c>
      <c r="BX63" s="55">
        <f t="shared" si="479"/>
        <v>819502</v>
      </c>
      <c r="BY63" s="23">
        <f t="shared" si="479"/>
        <v>280270</v>
      </c>
      <c r="BZ63" s="23">
        <f t="shared" si="479"/>
        <v>316590</v>
      </c>
      <c r="CA63" s="23">
        <f t="shared" si="479"/>
        <v>329254</v>
      </c>
      <c r="CB63" s="23">
        <f t="shared" ref="CB63" si="480">CB61+CB62</f>
        <v>347112</v>
      </c>
      <c r="CC63" s="55">
        <f t="shared" si="479"/>
        <v>1273226</v>
      </c>
      <c r="CD63" s="23">
        <f t="shared" ref="CD63:CE63" si="481">CD61+CD62</f>
        <v>405106</v>
      </c>
      <c r="CE63" s="23">
        <f t="shared" si="481"/>
        <v>382686</v>
      </c>
      <c r="CF63" s="23">
        <f t="shared" si="479"/>
        <v>398709.7643651056</v>
      </c>
      <c r="CG63" s="23">
        <f t="shared" si="479"/>
        <v>427959.58437283779</v>
      </c>
      <c r="CH63" s="55">
        <f t="shared" si="479"/>
        <v>1614461.348737943</v>
      </c>
      <c r="CI63" s="23">
        <f t="shared" si="479"/>
        <v>449505.34401482478</v>
      </c>
      <c r="CJ63" s="23">
        <f t="shared" si="479"/>
        <v>485279.92830175871</v>
      </c>
      <c r="CK63" s="23">
        <f t="shared" si="479"/>
        <v>525594.50936367665</v>
      </c>
      <c r="CL63" s="23">
        <f t="shared" si="479"/>
        <v>512462.53127695189</v>
      </c>
      <c r="CM63" s="55">
        <f t="shared" si="479"/>
        <v>1972842.3129572121</v>
      </c>
      <c r="CN63" s="23">
        <f t="shared" si="479"/>
        <v>538976.44324324187</v>
      </c>
      <c r="CO63" s="23">
        <f t="shared" si="479"/>
        <v>530500.80718423356</v>
      </c>
      <c r="CP63" s="23">
        <f t="shared" si="479"/>
        <v>560113.14895675646</v>
      </c>
      <c r="CQ63" s="23">
        <f t="shared" si="479"/>
        <v>562494.50518066052</v>
      </c>
      <c r="CR63" s="55">
        <f t="shared" si="479"/>
        <v>2192084.9045648919</v>
      </c>
      <c r="CS63" s="23">
        <f t="shared" si="479"/>
        <v>582580.49830221455</v>
      </c>
      <c r="CT63" s="23">
        <f t="shared" ref="CT63:DB63" si="482">CT61+CT62</f>
        <v>564944.20880705467</v>
      </c>
      <c r="CU63" s="23">
        <f t="shared" si="482"/>
        <v>590838.38009367755</v>
      </c>
      <c r="CV63" s="23">
        <f t="shared" si="482"/>
        <v>589987.04502312699</v>
      </c>
      <c r="CW63" s="55">
        <f t="shared" si="482"/>
        <v>2328350.1322260746</v>
      </c>
      <c r="CX63" s="23">
        <f t="shared" si="482"/>
        <v>617803.82691193244</v>
      </c>
      <c r="CY63" s="23">
        <f t="shared" si="482"/>
        <v>597248.38822816161</v>
      </c>
      <c r="CZ63" s="23">
        <f t="shared" si="482"/>
        <v>622468.3438302651</v>
      </c>
      <c r="DA63" s="23">
        <f t="shared" si="482"/>
        <v>620160.42635521234</v>
      </c>
      <c r="DB63" s="55">
        <f t="shared" si="482"/>
        <v>2457680.9853255721</v>
      </c>
    </row>
    <row r="64" spans="1:107" s="11" customFormat="1" ht="11.25" customHeight="1" x14ac:dyDescent="0.35">
      <c r="A64" s="177" t="s">
        <v>110</v>
      </c>
      <c r="B64" s="148"/>
      <c r="C64" s="148"/>
      <c r="D64" s="148"/>
      <c r="E64" s="148"/>
      <c r="F64" s="20">
        <f t="shared" ref="F64" si="483">SUM(B64:E64)</f>
        <v>0</v>
      </c>
      <c r="G64" s="148"/>
      <c r="H64" s="148"/>
      <c r="I64" s="148"/>
      <c r="J64" s="148"/>
      <c r="K64" s="20">
        <f t="shared" ref="K64" si="484">SUM(G64:J64)</f>
        <v>0</v>
      </c>
      <c r="L64" s="148"/>
      <c r="M64" s="148"/>
      <c r="N64" s="148"/>
      <c r="O64" s="148"/>
      <c r="P64" s="20">
        <f t="shared" ref="P64" si="485">SUM(L64:O64)</f>
        <v>0</v>
      </c>
      <c r="Q64" s="148"/>
      <c r="R64" s="148"/>
      <c r="S64" s="148"/>
      <c r="T64" s="148"/>
      <c r="U64" s="20">
        <f t="shared" ref="U64" si="486">SUM(Q64:T64)</f>
        <v>0</v>
      </c>
      <c r="V64" s="148"/>
      <c r="W64" s="148"/>
      <c r="X64" s="148"/>
      <c r="Y64" s="148"/>
      <c r="Z64" s="20">
        <f t="shared" ref="Z64" si="487">SUM(V64:Y64)</f>
        <v>0</v>
      </c>
      <c r="AA64" s="148"/>
      <c r="AB64" s="148"/>
      <c r="AC64" s="148"/>
      <c r="AD64" s="148"/>
      <c r="AE64" s="20">
        <f t="shared" ref="AE64" si="488">SUM(AA64:AD64)</f>
        <v>0</v>
      </c>
      <c r="AF64" s="148"/>
      <c r="AG64" s="148"/>
      <c r="AH64" s="148"/>
      <c r="AI64" s="148"/>
      <c r="AJ64" s="20">
        <f>SUM(AF64:AI64)</f>
        <v>0</v>
      </c>
      <c r="AK64" s="148"/>
      <c r="AL64" s="148"/>
      <c r="AM64" s="148"/>
      <c r="AN64" s="148"/>
      <c r="AO64" s="20">
        <f>SUM(AK64:AN64)</f>
        <v>0</v>
      </c>
      <c r="AP64" s="148"/>
      <c r="AQ64" s="148"/>
      <c r="AR64" s="148"/>
      <c r="AS64" s="148"/>
      <c r="AT64" s="20">
        <f>SUM(AP64:AS64)</f>
        <v>0</v>
      </c>
      <c r="AU64" s="148">
        <f>-AU32</f>
        <v>1854</v>
      </c>
      <c r="AV64" s="148">
        <f>-AV32</f>
        <v>179</v>
      </c>
      <c r="AW64" s="148">
        <f>-AW32</f>
        <v>399</v>
      </c>
      <c r="AX64" s="148">
        <f>-AX32</f>
        <v>-1277</v>
      </c>
      <c r="AY64" s="20">
        <f>SUM(AU64:AX64)</f>
        <v>1155</v>
      </c>
      <c r="AZ64" s="148">
        <f>-AZ32</f>
        <v>2925</v>
      </c>
      <c r="BA64" s="148">
        <f>-BA32</f>
        <v>307</v>
      </c>
      <c r="BB64" s="148">
        <f>-BB32</f>
        <v>365</v>
      </c>
      <c r="BC64" s="148">
        <f>-BC32</f>
        <v>-2038</v>
      </c>
      <c r="BD64" s="20">
        <f>SUM(AZ64:BC64)</f>
        <v>1559</v>
      </c>
      <c r="BE64" s="148">
        <f>-BE32</f>
        <v>335</v>
      </c>
      <c r="BF64" s="148">
        <f>-BF32</f>
        <v>355</v>
      </c>
      <c r="BG64" s="148">
        <f>-BG32</f>
        <v>365</v>
      </c>
      <c r="BH64" s="148">
        <f>-BH32</f>
        <v>383</v>
      </c>
      <c r="BI64" s="20">
        <f>SUM(BE64:BH64)</f>
        <v>1438</v>
      </c>
      <c r="BJ64" s="148">
        <f>-BJ32</f>
        <v>454</v>
      </c>
      <c r="BK64" s="148">
        <f>-BK32</f>
        <v>459</v>
      </c>
      <c r="BL64" s="148">
        <f>-BL32</f>
        <v>416</v>
      </c>
      <c r="BM64" s="148">
        <f>-BM32</f>
        <v>523</v>
      </c>
      <c r="BN64" s="20">
        <f>SUM(BJ64:BM64)</f>
        <v>1852</v>
      </c>
      <c r="BO64" s="148">
        <f>-BO32</f>
        <v>776</v>
      </c>
      <c r="BP64" s="148">
        <f>-BP32</f>
        <v>721</v>
      </c>
      <c r="BQ64" s="148">
        <f>-BQ32</f>
        <v>696</v>
      </c>
      <c r="BR64" s="148">
        <f>-BR32</f>
        <v>782</v>
      </c>
      <c r="BS64" s="20">
        <f>SUM(BO64:BR64)</f>
        <v>2975</v>
      </c>
      <c r="BT64" s="148">
        <f>-BT32</f>
        <v>529</v>
      </c>
      <c r="BU64" s="148">
        <f>-BU32</f>
        <v>728</v>
      </c>
      <c r="BV64" s="148">
        <f>-BV32</f>
        <v>725</v>
      </c>
      <c r="BW64" s="148">
        <f>-BW32</f>
        <v>691</v>
      </c>
      <c r="BX64" s="20">
        <f>SUM(BT64:BW64)</f>
        <v>2673</v>
      </c>
      <c r="BY64" s="148">
        <f>-BY32</f>
        <v>204</v>
      </c>
      <c r="BZ64" s="148">
        <f>-BZ32</f>
        <v>226</v>
      </c>
      <c r="CA64" s="148">
        <f>-CA32</f>
        <v>219</v>
      </c>
      <c r="CB64" s="148">
        <f>-CB32</f>
        <v>216</v>
      </c>
      <c r="CC64" s="55">
        <f>SUM(BY64:CB64)</f>
        <v>865</v>
      </c>
      <c r="CD64" s="148">
        <f>-CD32</f>
        <v>212</v>
      </c>
      <c r="CE64" s="148">
        <f>-CE32</f>
        <v>198</v>
      </c>
      <c r="CF64" s="23">
        <f>'BS &amp; FCF'!CF121</f>
        <v>218.36232290341363</v>
      </c>
      <c r="CG64" s="23">
        <f>'BS &amp; FCF'!CG121</f>
        <v>218.45555763037734</v>
      </c>
      <c r="CH64" s="55">
        <f>SUM(CD64:CG64)</f>
        <v>846.81788053379103</v>
      </c>
      <c r="CI64" s="23">
        <f>'BS &amp; FCF'!CI121</f>
        <v>218.54883216601405</v>
      </c>
      <c r="CJ64" s="23">
        <f>'BS &amp; FCF'!CJ121</f>
        <v>218.64214652732099</v>
      </c>
      <c r="CK64" s="23">
        <f>'BS &amp; FCF'!CK121</f>
        <v>218.73550073130261</v>
      </c>
      <c r="CL64" s="23">
        <f>'BS &amp; FCF'!CL121</f>
        <v>218.82889479497069</v>
      </c>
      <c r="CM64" s="55">
        <f>SUM(CI64:CL64)</f>
        <v>874.75537421960837</v>
      </c>
      <c r="CN64" s="23">
        <f>'BS &amp; FCF'!CN121</f>
        <v>218.92232873534422</v>
      </c>
      <c r="CO64" s="23">
        <f>'BS &amp; FCF'!CO121</f>
        <v>219.01580256944942</v>
      </c>
      <c r="CP64" s="23">
        <f>'BS &amp; FCF'!CP121</f>
        <v>219.10931631431984</v>
      </c>
      <c r="CQ64" s="23">
        <f>'BS &amp; FCF'!CQ121</f>
        <v>219.20286998699623</v>
      </c>
      <c r="CR64" s="55">
        <f>SUM(CN64:CQ64)</f>
        <v>876.25031760610966</v>
      </c>
      <c r="CS64" s="23">
        <f>'BS &amp; FCF'!CS121</f>
        <v>219.29646360452674</v>
      </c>
      <c r="CT64" s="23">
        <f>'BS &amp; FCF'!CT121</f>
        <v>219.39009718396667</v>
      </c>
      <c r="CU64" s="23">
        <f>'BS &amp; FCF'!CU121</f>
        <v>219.48377074237874</v>
      </c>
      <c r="CV64" s="23">
        <f>'BS &amp; FCF'!CV121</f>
        <v>219.57748429683281</v>
      </c>
      <c r="CW64" s="55">
        <f>SUM(CS64:CV64)</f>
        <v>877.74781582770493</v>
      </c>
      <c r="CX64" s="23">
        <f>'BS &amp; FCF'!CX121</f>
        <v>219.67123786440612</v>
      </c>
      <c r="CY64" s="23">
        <f>'BS &amp; FCF'!CY121</f>
        <v>219.76503146218317</v>
      </c>
      <c r="CZ64" s="23">
        <f>'BS &amp; FCF'!CZ121</f>
        <v>219.85886510725575</v>
      </c>
      <c r="DA64" s="23">
        <f>'BS &amp; FCF'!DA121</f>
        <v>219.95273881672296</v>
      </c>
      <c r="DB64" s="55">
        <f>SUM(CX64:DA64)</f>
        <v>879.24787325056809</v>
      </c>
    </row>
    <row r="65" spans="1:106" s="11" customFormat="1" ht="11.25" customHeight="1" x14ac:dyDescent="0.35">
      <c r="A65" s="173" t="s">
        <v>109</v>
      </c>
      <c r="B65" s="37">
        <f t="shared" ref="B65:AE65" si="489">B63+B64</f>
        <v>0</v>
      </c>
      <c r="C65" s="37">
        <f t="shared" si="489"/>
        <v>0</v>
      </c>
      <c r="D65" s="37">
        <f t="shared" si="489"/>
        <v>0</v>
      </c>
      <c r="E65" s="37">
        <f t="shared" si="489"/>
        <v>0</v>
      </c>
      <c r="F65" s="38">
        <f t="shared" si="489"/>
        <v>0</v>
      </c>
      <c r="G65" s="37">
        <f t="shared" si="489"/>
        <v>0</v>
      </c>
      <c r="H65" s="37">
        <f t="shared" si="489"/>
        <v>0</v>
      </c>
      <c r="I65" s="37">
        <f t="shared" si="489"/>
        <v>0</v>
      </c>
      <c r="J65" s="37">
        <f t="shared" si="489"/>
        <v>0</v>
      </c>
      <c r="K65" s="38">
        <f t="shared" si="489"/>
        <v>0</v>
      </c>
      <c r="L65" s="37">
        <f t="shared" si="489"/>
        <v>0</v>
      </c>
      <c r="M65" s="37">
        <f t="shared" si="489"/>
        <v>0</v>
      </c>
      <c r="N65" s="37">
        <f t="shared" si="489"/>
        <v>0</v>
      </c>
      <c r="O65" s="37">
        <f t="shared" si="489"/>
        <v>0</v>
      </c>
      <c r="P65" s="38">
        <f t="shared" si="489"/>
        <v>0</v>
      </c>
      <c r="Q65" s="37">
        <f t="shared" si="489"/>
        <v>0</v>
      </c>
      <c r="R65" s="37">
        <f t="shared" si="489"/>
        <v>0</v>
      </c>
      <c r="S65" s="37">
        <f t="shared" si="489"/>
        <v>0</v>
      </c>
      <c r="T65" s="37">
        <f t="shared" si="489"/>
        <v>0</v>
      </c>
      <c r="U65" s="38">
        <f t="shared" si="489"/>
        <v>0</v>
      </c>
      <c r="V65" s="37">
        <f t="shared" si="489"/>
        <v>0</v>
      </c>
      <c r="W65" s="37">
        <f t="shared" si="489"/>
        <v>0</v>
      </c>
      <c r="X65" s="37">
        <f t="shared" si="489"/>
        <v>0</v>
      </c>
      <c r="Y65" s="37">
        <f t="shared" si="489"/>
        <v>0</v>
      </c>
      <c r="Z65" s="38">
        <f t="shared" si="489"/>
        <v>0</v>
      </c>
      <c r="AA65" s="37">
        <f t="shared" si="489"/>
        <v>0</v>
      </c>
      <c r="AB65" s="37">
        <f t="shared" si="489"/>
        <v>0</v>
      </c>
      <c r="AC65" s="37">
        <f t="shared" si="489"/>
        <v>0</v>
      </c>
      <c r="AD65" s="37">
        <f t="shared" si="489"/>
        <v>0</v>
      </c>
      <c r="AE65" s="38">
        <f t="shared" si="489"/>
        <v>0</v>
      </c>
      <c r="AF65" s="37">
        <f t="shared" ref="AF65:AG65" si="490">AF63+AF64</f>
        <v>0</v>
      </c>
      <c r="AG65" s="37">
        <f t="shared" si="490"/>
        <v>0</v>
      </c>
      <c r="AH65" s="37">
        <f t="shared" ref="AH65:BM65" si="491">AH63+AH64</f>
        <v>0</v>
      </c>
      <c r="AI65" s="37">
        <f t="shared" si="491"/>
        <v>0</v>
      </c>
      <c r="AJ65" s="38">
        <f t="shared" si="491"/>
        <v>0</v>
      </c>
      <c r="AK65" s="37">
        <f t="shared" si="491"/>
        <v>12809.244000000013</v>
      </c>
      <c r="AL65" s="37">
        <f t="shared" si="491"/>
        <v>17018.728999999963</v>
      </c>
      <c r="AM65" s="37">
        <f t="shared" si="491"/>
        <v>44316.434000000037</v>
      </c>
      <c r="AN65" s="37">
        <f t="shared" si="491"/>
        <v>52351.856000000058</v>
      </c>
      <c r="AO65" s="38">
        <f t="shared" si="491"/>
        <v>126496.26300000006</v>
      </c>
      <c r="AP65" s="37">
        <f t="shared" si="491"/>
        <v>21136.271999999997</v>
      </c>
      <c r="AQ65" s="37">
        <f t="shared" si="491"/>
        <v>40340.403999999995</v>
      </c>
      <c r="AR65" s="37">
        <f t="shared" si="491"/>
        <v>62328.315000000053</v>
      </c>
      <c r="AS65" s="37">
        <f t="shared" si="491"/>
        <v>68692.685999999987</v>
      </c>
      <c r="AT65" s="38">
        <f t="shared" si="491"/>
        <v>192497.677</v>
      </c>
      <c r="AU65" s="37">
        <f t="shared" si="491"/>
        <v>32707</v>
      </c>
      <c r="AV65" s="37">
        <f t="shared" si="491"/>
        <v>81776</v>
      </c>
      <c r="AW65" s="37">
        <f t="shared" si="491"/>
        <v>50322</v>
      </c>
      <c r="AX65" s="37">
        <f t="shared" si="491"/>
        <v>78699</v>
      </c>
      <c r="AY65" s="38">
        <f t="shared" si="491"/>
        <v>243504</v>
      </c>
      <c r="AZ65" s="37">
        <f t="shared" si="491"/>
        <v>28829</v>
      </c>
      <c r="BA65" s="37">
        <f t="shared" si="491"/>
        <v>50574</v>
      </c>
      <c r="BB65" s="37">
        <f t="shared" si="491"/>
        <v>67767</v>
      </c>
      <c r="BC65" s="37">
        <f t="shared" si="491"/>
        <v>81266</v>
      </c>
      <c r="BD65" s="38">
        <f t="shared" si="491"/>
        <v>228436</v>
      </c>
      <c r="BE65" s="37">
        <f t="shared" si="491"/>
        <v>63300</v>
      </c>
      <c r="BF65" s="37">
        <f t="shared" si="491"/>
        <v>89512</v>
      </c>
      <c r="BG65" s="37">
        <f t="shared" si="491"/>
        <v>87697</v>
      </c>
      <c r="BH65" s="37">
        <f t="shared" si="491"/>
        <v>137704</v>
      </c>
      <c r="BI65" s="38">
        <f t="shared" si="491"/>
        <v>378213</v>
      </c>
      <c r="BJ65" s="37">
        <f t="shared" si="491"/>
        <v>80445</v>
      </c>
      <c r="BK65" s="37">
        <f t="shared" si="491"/>
        <v>113160</v>
      </c>
      <c r="BL65" s="37">
        <f t="shared" si="491"/>
        <v>115010</v>
      </c>
      <c r="BM65" s="37">
        <f t="shared" si="491"/>
        <v>125583</v>
      </c>
      <c r="BN65" s="38">
        <f t="shared" ref="BN65:CS65" si="492">BN63+BN64</f>
        <v>434198</v>
      </c>
      <c r="BO65" s="37">
        <f t="shared" si="492"/>
        <v>117021</v>
      </c>
      <c r="BP65" s="37">
        <f t="shared" si="492"/>
        <v>149306</v>
      </c>
      <c r="BQ65" s="37">
        <f t="shared" si="492"/>
        <v>138045</v>
      </c>
      <c r="BR65" s="37">
        <f t="shared" si="492"/>
        <v>184860</v>
      </c>
      <c r="BS65" s="38">
        <f t="shared" si="492"/>
        <v>589232</v>
      </c>
      <c r="BT65" s="37">
        <f t="shared" si="492"/>
        <v>180259</v>
      </c>
      <c r="BU65" s="37">
        <f t="shared" si="492"/>
        <v>201988</v>
      </c>
      <c r="BV65" s="37">
        <f t="shared" si="492"/>
        <v>210579</v>
      </c>
      <c r="BW65" s="37">
        <f t="shared" si="492"/>
        <v>229349</v>
      </c>
      <c r="BX65" s="38">
        <f t="shared" si="492"/>
        <v>822175</v>
      </c>
      <c r="BY65" s="37">
        <f t="shared" si="492"/>
        <v>280474</v>
      </c>
      <c r="BZ65" s="37">
        <f t="shared" si="492"/>
        <v>316816</v>
      </c>
      <c r="CA65" s="37">
        <f t="shared" si="492"/>
        <v>329473</v>
      </c>
      <c r="CB65" s="37">
        <f t="shared" ref="CB65" si="493">CB63+CB64</f>
        <v>347328</v>
      </c>
      <c r="CC65" s="38">
        <f t="shared" si="492"/>
        <v>1274091</v>
      </c>
      <c r="CD65" s="37">
        <f t="shared" ref="CD65:CE65" si="494">CD63+CD64</f>
        <v>405318</v>
      </c>
      <c r="CE65" s="37">
        <f t="shared" si="494"/>
        <v>382884</v>
      </c>
      <c r="CF65" s="37">
        <f t="shared" si="492"/>
        <v>398928.12668800901</v>
      </c>
      <c r="CG65" s="37">
        <f t="shared" si="492"/>
        <v>428178.03993046819</v>
      </c>
      <c r="CH65" s="38">
        <f t="shared" si="492"/>
        <v>1615308.1666184769</v>
      </c>
      <c r="CI65" s="37">
        <f t="shared" si="492"/>
        <v>449723.89284699078</v>
      </c>
      <c r="CJ65" s="37">
        <f t="shared" si="492"/>
        <v>485498.57044828602</v>
      </c>
      <c r="CK65" s="37">
        <f t="shared" si="492"/>
        <v>525813.24486440793</v>
      </c>
      <c r="CL65" s="37">
        <f t="shared" si="492"/>
        <v>512681.36017174687</v>
      </c>
      <c r="CM65" s="38">
        <f t="shared" si="492"/>
        <v>1973717.0683314316</v>
      </c>
      <c r="CN65" s="37">
        <f t="shared" si="492"/>
        <v>539195.36557197722</v>
      </c>
      <c r="CO65" s="37">
        <f t="shared" si="492"/>
        <v>530719.82298680302</v>
      </c>
      <c r="CP65" s="37">
        <f t="shared" si="492"/>
        <v>560332.25827307079</v>
      </c>
      <c r="CQ65" s="37">
        <f t="shared" si="492"/>
        <v>562713.70805064752</v>
      </c>
      <c r="CR65" s="38">
        <f t="shared" si="492"/>
        <v>2192961.1548824981</v>
      </c>
      <c r="CS65" s="37">
        <f t="shared" si="492"/>
        <v>582799.7947658191</v>
      </c>
      <c r="CT65" s="37">
        <f t="shared" ref="CT65:DB65" si="495">CT63+CT64</f>
        <v>565163.59890423866</v>
      </c>
      <c r="CU65" s="37">
        <f t="shared" si="495"/>
        <v>591057.86386441998</v>
      </c>
      <c r="CV65" s="37">
        <f t="shared" si="495"/>
        <v>590206.62250742386</v>
      </c>
      <c r="CW65" s="38">
        <f t="shared" si="495"/>
        <v>2329227.8800419024</v>
      </c>
      <c r="CX65" s="37">
        <f t="shared" si="495"/>
        <v>618023.49814979685</v>
      </c>
      <c r="CY65" s="37">
        <f t="shared" si="495"/>
        <v>597468.1532596238</v>
      </c>
      <c r="CZ65" s="37">
        <f t="shared" si="495"/>
        <v>622688.2026953724</v>
      </c>
      <c r="DA65" s="37">
        <f t="shared" si="495"/>
        <v>620380.37909402908</v>
      </c>
      <c r="DB65" s="38">
        <f t="shared" si="495"/>
        <v>2458560.2331988225</v>
      </c>
    </row>
    <row r="66" spans="1:106" ht="11.25" customHeight="1" x14ac:dyDescent="0.35">
      <c r="A66" s="176" t="s">
        <v>224</v>
      </c>
      <c r="B66" s="23">
        <f t="shared" ref="B66:AE66" si="496">B67+B68</f>
        <v>0</v>
      </c>
      <c r="C66" s="23">
        <f t="shared" si="496"/>
        <v>0</v>
      </c>
      <c r="D66" s="23">
        <f t="shared" si="496"/>
        <v>0</v>
      </c>
      <c r="E66" s="23">
        <f t="shared" si="496"/>
        <v>0</v>
      </c>
      <c r="F66" s="55">
        <f t="shared" si="496"/>
        <v>0</v>
      </c>
      <c r="G66" s="23">
        <f t="shared" si="496"/>
        <v>0</v>
      </c>
      <c r="H66" s="23">
        <f t="shared" si="496"/>
        <v>0</v>
      </c>
      <c r="I66" s="23">
        <f t="shared" si="496"/>
        <v>0</v>
      </c>
      <c r="J66" s="23">
        <f t="shared" si="496"/>
        <v>0</v>
      </c>
      <c r="K66" s="55">
        <f t="shared" si="496"/>
        <v>0</v>
      </c>
      <c r="L66" s="23">
        <f t="shared" si="496"/>
        <v>0</v>
      </c>
      <c r="M66" s="23">
        <f t="shared" si="496"/>
        <v>0</v>
      </c>
      <c r="N66" s="23">
        <f t="shared" si="496"/>
        <v>0</v>
      </c>
      <c r="O66" s="23">
        <f t="shared" si="496"/>
        <v>0</v>
      </c>
      <c r="P66" s="55">
        <f t="shared" si="496"/>
        <v>0</v>
      </c>
      <c r="Q66" s="23">
        <f t="shared" si="496"/>
        <v>0</v>
      </c>
      <c r="R66" s="23">
        <f t="shared" si="496"/>
        <v>0</v>
      </c>
      <c r="S66" s="23">
        <f t="shared" si="496"/>
        <v>0</v>
      </c>
      <c r="T66" s="23">
        <f t="shared" si="496"/>
        <v>0</v>
      </c>
      <c r="U66" s="55">
        <f t="shared" si="496"/>
        <v>0</v>
      </c>
      <c r="V66" s="23">
        <f t="shared" si="496"/>
        <v>0</v>
      </c>
      <c r="W66" s="23">
        <f t="shared" si="496"/>
        <v>0</v>
      </c>
      <c r="X66" s="23">
        <f t="shared" si="496"/>
        <v>0</v>
      </c>
      <c r="Y66" s="23">
        <f t="shared" si="496"/>
        <v>0</v>
      </c>
      <c r="Z66" s="55">
        <f t="shared" si="496"/>
        <v>0</v>
      </c>
      <c r="AA66" s="23">
        <f t="shared" si="496"/>
        <v>0</v>
      </c>
      <c r="AB66" s="23">
        <f t="shared" si="496"/>
        <v>0</v>
      </c>
      <c r="AC66" s="23">
        <f t="shared" si="496"/>
        <v>0</v>
      </c>
      <c r="AD66" s="23">
        <f t="shared" si="496"/>
        <v>0</v>
      </c>
      <c r="AE66" s="55">
        <f t="shared" si="496"/>
        <v>0</v>
      </c>
      <c r="AF66" s="23">
        <f t="shared" ref="AF66:AG66" si="497">AF67+AF68</f>
        <v>0</v>
      </c>
      <c r="AG66" s="23">
        <f t="shared" si="497"/>
        <v>0</v>
      </c>
      <c r="AH66" s="23">
        <f t="shared" ref="AH66:BM66" si="498">AH67+AH68</f>
        <v>0</v>
      </c>
      <c r="AI66" s="23">
        <f t="shared" si="498"/>
        <v>0</v>
      </c>
      <c r="AJ66" s="55">
        <f t="shared" si="498"/>
        <v>0</v>
      </c>
      <c r="AK66" s="23">
        <f t="shared" si="498"/>
        <v>3661.1949999999997</v>
      </c>
      <c r="AL66" s="23">
        <f t="shared" si="498"/>
        <v>3156.2980000000002</v>
      </c>
      <c r="AM66" s="23">
        <f t="shared" si="498"/>
        <v>5088.3469999999998</v>
      </c>
      <c r="AN66" s="23">
        <f t="shared" si="498"/>
        <v>3151.1269999999986</v>
      </c>
      <c r="AO66" s="55">
        <f t="shared" si="498"/>
        <v>15056.966999999999</v>
      </c>
      <c r="AP66" s="23">
        <f t="shared" si="498"/>
        <v>2109.9359999999997</v>
      </c>
      <c r="AQ66" s="23">
        <f t="shared" si="498"/>
        <v>1101.4350000000004</v>
      </c>
      <c r="AR66" s="23">
        <f t="shared" si="498"/>
        <v>-340.32699999999932</v>
      </c>
      <c r="AS66" s="23">
        <f t="shared" si="498"/>
        <v>-408.82900000000063</v>
      </c>
      <c r="AT66" s="55">
        <f t="shared" si="498"/>
        <v>2462.2150000000001</v>
      </c>
      <c r="AU66" s="23">
        <f t="shared" si="498"/>
        <v>-2237</v>
      </c>
      <c r="AV66" s="23">
        <f t="shared" si="498"/>
        <v>-1267</v>
      </c>
      <c r="AW66" s="23">
        <f t="shared" si="498"/>
        <v>-5589</v>
      </c>
      <c r="AX66" s="23">
        <f t="shared" si="498"/>
        <v>-8647</v>
      </c>
      <c r="AY66" s="55">
        <f t="shared" si="498"/>
        <v>-17740</v>
      </c>
      <c r="AZ66" s="23">
        <f t="shared" si="498"/>
        <v>-3540</v>
      </c>
      <c r="BA66" s="23">
        <f t="shared" si="498"/>
        <v>-4578</v>
      </c>
      <c r="BB66" s="23">
        <f t="shared" si="498"/>
        <v>-1620</v>
      </c>
      <c r="BC66" s="23">
        <f t="shared" si="498"/>
        <v>-3287</v>
      </c>
      <c r="BD66" s="55">
        <f t="shared" si="498"/>
        <v>-13025</v>
      </c>
      <c r="BE66" s="23">
        <f t="shared" si="498"/>
        <v>-5156</v>
      </c>
      <c r="BF66" s="23">
        <f t="shared" si="498"/>
        <v>-5518</v>
      </c>
      <c r="BG66" s="23">
        <f t="shared" si="498"/>
        <v>-1410</v>
      </c>
      <c r="BH66" s="23">
        <f t="shared" si="498"/>
        <v>-13977</v>
      </c>
      <c r="BI66" s="55">
        <f t="shared" si="498"/>
        <v>-26061</v>
      </c>
      <c r="BJ66" s="23">
        <f t="shared" si="498"/>
        <v>-4692</v>
      </c>
      <c r="BK66" s="23">
        <f t="shared" si="498"/>
        <v>-5173</v>
      </c>
      <c r="BL66" s="23">
        <f t="shared" si="498"/>
        <v>-5165</v>
      </c>
      <c r="BM66" s="23">
        <f t="shared" si="498"/>
        <v>-12691</v>
      </c>
      <c r="BN66" s="55">
        <f t="shared" ref="BN66:CS66" si="499">BN67+BN68</f>
        <v>-27721</v>
      </c>
      <c r="BO66" s="23">
        <f t="shared" si="499"/>
        <v>-6743</v>
      </c>
      <c r="BP66" s="23">
        <f t="shared" si="499"/>
        <v>-7016</v>
      </c>
      <c r="BQ66" s="23">
        <f t="shared" si="499"/>
        <v>-5035</v>
      </c>
      <c r="BR66" s="23">
        <f t="shared" si="499"/>
        <v>-1081</v>
      </c>
      <c r="BS66" s="55">
        <f t="shared" si="499"/>
        <v>-19875</v>
      </c>
      <c r="BT66" s="23">
        <f t="shared" si="499"/>
        <v>-6773</v>
      </c>
      <c r="BU66" s="23">
        <f t="shared" si="499"/>
        <v>-7876</v>
      </c>
      <c r="BV66" s="23">
        <f t="shared" si="499"/>
        <v>-9654</v>
      </c>
      <c r="BW66" s="23">
        <f t="shared" si="499"/>
        <v>-15142</v>
      </c>
      <c r="BX66" s="55">
        <f t="shared" si="499"/>
        <v>-39445</v>
      </c>
      <c r="BY66" s="23">
        <f t="shared" si="499"/>
        <v>-16291</v>
      </c>
      <c r="BZ66" s="23">
        <f t="shared" si="499"/>
        <v>-19085</v>
      </c>
      <c r="CA66" s="23">
        <f t="shared" si="499"/>
        <v>-11755</v>
      </c>
      <c r="CB66" s="23">
        <f t="shared" ref="CB66" si="500">CB67+CB68</f>
        <v>-13239</v>
      </c>
      <c r="CC66" s="55">
        <f t="shared" si="499"/>
        <v>-60370</v>
      </c>
      <c r="CD66" s="23">
        <f t="shared" ref="CD66:CE66" si="501">CD67+CD68</f>
        <v>-14952</v>
      </c>
      <c r="CE66" s="23">
        <f t="shared" si="501"/>
        <v>-27395</v>
      </c>
      <c r="CF66" s="23">
        <f t="shared" ca="1" si="499"/>
        <v>-7822.771749998712</v>
      </c>
      <c r="CG66" s="23">
        <f t="shared" ca="1" si="499"/>
        <v>-4618.3837957774449</v>
      </c>
      <c r="CH66" s="55">
        <f t="shared" ca="1" si="499"/>
        <v>-54788.155545776157</v>
      </c>
      <c r="CI66" s="23">
        <f t="shared" ca="1" si="499"/>
        <v>-8593.9852513923179</v>
      </c>
      <c r="CJ66" s="23">
        <f t="shared" ca="1" si="499"/>
        <v>-4900.0044000229609</v>
      </c>
      <c r="CK66" s="23">
        <f t="shared" ca="1" si="499"/>
        <v>-8492.4943527549913</v>
      </c>
      <c r="CL66" s="23">
        <f t="shared" ca="1" si="499"/>
        <v>-8587.5335584275381</v>
      </c>
      <c r="CM66" s="55">
        <f t="shared" ca="1" si="499"/>
        <v>-30574.017562597786</v>
      </c>
      <c r="CN66" s="23">
        <f t="shared" ca="1" si="499"/>
        <v>4604.1372112075478</v>
      </c>
      <c r="CO66" s="23">
        <f t="shared" ca="1" si="499"/>
        <v>5902.3601618672619</v>
      </c>
      <c r="CP66" s="23">
        <f t="shared" ca="1" si="499"/>
        <v>-1274.7117649274151</v>
      </c>
      <c r="CQ66" s="23">
        <f t="shared" ca="1" si="499"/>
        <v>-1760.5681710808931</v>
      </c>
      <c r="CR66" s="55">
        <f t="shared" ca="1" si="499"/>
        <v>7471.2174370665452</v>
      </c>
      <c r="CS66" s="23">
        <f t="shared" ca="1" si="499"/>
        <v>5962.4164891036853</v>
      </c>
      <c r="CT66" s="23">
        <f t="shared" ref="CT66:DB66" ca="1" si="502">CT67+CT68</f>
        <v>6917.9584549700012</v>
      </c>
      <c r="CU66" s="23">
        <f t="shared" ca="1" si="502"/>
        <v>-1885.6372398167878</v>
      </c>
      <c r="CV66" s="23">
        <f t="shared" ca="1" si="502"/>
        <v>-2412.7719189835625</v>
      </c>
      <c r="CW66" s="55">
        <f t="shared" ca="1" si="502"/>
        <v>8581.9657852733217</v>
      </c>
      <c r="CX66" s="23">
        <f t="shared" ca="1" si="502"/>
        <v>6313.6535091093974</v>
      </c>
      <c r="CY66" s="23">
        <f t="shared" ca="1" si="502"/>
        <v>7653.3056875772163</v>
      </c>
      <c r="CZ66" s="23">
        <f t="shared" ca="1" si="502"/>
        <v>-1839.6553591419433</v>
      </c>
      <c r="DA66" s="23">
        <f t="shared" ca="1" si="502"/>
        <v>-2723.2478871549101</v>
      </c>
      <c r="DB66" s="55">
        <f t="shared" ca="1" si="502"/>
        <v>9404.0559503897384</v>
      </c>
    </row>
    <row r="67" spans="1:106" ht="11.25" customHeight="1" outlineLevel="1" x14ac:dyDescent="0.35">
      <c r="A67" s="174" t="s">
        <v>116</v>
      </c>
      <c r="B67" s="23">
        <f t="shared" ref="B67:AE67" si="503">B24+B28</f>
        <v>0</v>
      </c>
      <c r="C67" s="23">
        <f t="shared" si="503"/>
        <v>0</v>
      </c>
      <c r="D67" s="23">
        <f t="shared" si="503"/>
        <v>0</v>
      </c>
      <c r="E67" s="23">
        <f t="shared" si="503"/>
        <v>0</v>
      </c>
      <c r="F67" s="55">
        <f t="shared" si="503"/>
        <v>0</v>
      </c>
      <c r="G67" s="23">
        <f t="shared" si="503"/>
        <v>0</v>
      </c>
      <c r="H67" s="23">
        <f t="shared" si="503"/>
        <v>0</v>
      </c>
      <c r="I67" s="23">
        <f t="shared" si="503"/>
        <v>0</v>
      </c>
      <c r="J67" s="23">
        <f t="shared" si="503"/>
        <v>0</v>
      </c>
      <c r="K67" s="55">
        <f t="shared" si="503"/>
        <v>0</v>
      </c>
      <c r="L67" s="23">
        <f t="shared" si="503"/>
        <v>0</v>
      </c>
      <c r="M67" s="23">
        <f t="shared" si="503"/>
        <v>0</v>
      </c>
      <c r="N67" s="23">
        <f t="shared" si="503"/>
        <v>0</v>
      </c>
      <c r="O67" s="23">
        <f t="shared" si="503"/>
        <v>0</v>
      </c>
      <c r="P67" s="55">
        <f t="shared" si="503"/>
        <v>0</v>
      </c>
      <c r="Q67" s="23">
        <f t="shared" si="503"/>
        <v>0</v>
      </c>
      <c r="R67" s="23">
        <f t="shared" si="503"/>
        <v>0</v>
      </c>
      <c r="S67" s="23">
        <f t="shared" si="503"/>
        <v>0</v>
      </c>
      <c r="T67" s="23">
        <f t="shared" si="503"/>
        <v>0</v>
      </c>
      <c r="U67" s="55">
        <f t="shared" si="503"/>
        <v>0</v>
      </c>
      <c r="V67" s="23">
        <f t="shared" si="503"/>
        <v>0</v>
      </c>
      <c r="W67" s="23">
        <f t="shared" si="503"/>
        <v>0</v>
      </c>
      <c r="X67" s="23">
        <f t="shared" si="503"/>
        <v>0</v>
      </c>
      <c r="Y67" s="23">
        <f t="shared" si="503"/>
        <v>0</v>
      </c>
      <c r="Z67" s="55">
        <f t="shared" si="503"/>
        <v>0</v>
      </c>
      <c r="AA67" s="23">
        <f t="shared" si="503"/>
        <v>0</v>
      </c>
      <c r="AB67" s="23">
        <f t="shared" si="503"/>
        <v>0</v>
      </c>
      <c r="AC67" s="23">
        <f t="shared" si="503"/>
        <v>0</v>
      </c>
      <c r="AD67" s="23">
        <f t="shared" si="503"/>
        <v>0</v>
      </c>
      <c r="AE67" s="55">
        <f t="shared" si="503"/>
        <v>0</v>
      </c>
      <c r="AF67" s="23">
        <f t="shared" ref="AF67:AG67" si="504">AF24+AF28</f>
        <v>0</v>
      </c>
      <c r="AG67" s="23">
        <f t="shared" si="504"/>
        <v>0</v>
      </c>
      <c r="AH67" s="23">
        <f t="shared" ref="AH67:BM67" si="505">AH24+AH28</f>
        <v>0</v>
      </c>
      <c r="AI67" s="23">
        <f t="shared" si="505"/>
        <v>0</v>
      </c>
      <c r="AJ67" s="55">
        <f t="shared" si="505"/>
        <v>0</v>
      </c>
      <c r="AK67" s="23">
        <f t="shared" si="505"/>
        <v>4427.3599999999997</v>
      </c>
      <c r="AL67" s="23">
        <f t="shared" si="505"/>
        <v>4201.6490000000003</v>
      </c>
      <c r="AM67" s="23">
        <f t="shared" si="505"/>
        <v>6442</v>
      </c>
      <c r="AN67" s="23">
        <f t="shared" si="505"/>
        <v>5265.7349999999988</v>
      </c>
      <c r="AO67" s="55">
        <f t="shared" si="505"/>
        <v>20336.743999999999</v>
      </c>
      <c r="AP67" s="23">
        <f t="shared" si="505"/>
        <v>2670.8409999999999</v>
      </c>
      <c r="AQ67" s="23">
        <f t="shared" si="505"/>
        <v>2209.2230000000004</v>
      </c>
      <c r="AR67" s="23">
        <f t="shared" si="505"/>
        <v>3401.0650000000005</v>
      </c>
      <c r="AS67" s="23">
        <f t="shared" si="505"/>
        <v>2850.5199999999986</v>
      </c>
      <c r="AT67" s="55">
        <f t="shared" si="505"/>
        <v>11131.648999999999</v>
      </c>
      <c r="AU67" s="23">
        <f t="shared" si="505"/>
        <v>3012</v>
      </c>
      <c r="AV67" s="23">
        <f t="shared" si="505"/>
        <v>5477</v>
      </c>
      <c r="AW67" s="23">
        <f t="shared" si="505"/>
        <v>3325</v>
      </c>
      <c r="AX67" s="23">
        <f t="shared" si="505"/>
        <v>3461</v>
      </c>
      <c r="AY67" s="55">
        <f t="shared" si="505"/>
        <v>15275</v>
      </c>
      <c r="AZ67" s="23">
        <f t="shared" si="505"/>
        <v>2784</v>
      </c>
      <c r="BA67" s="23">
        <f t="shared" si="505"/>
        <v>2827</v>
      </c>
      <c r="BB67" s="23">
        <f t="shared" si="505"/>
        <v>5428</v>
      </c>
      <c r="BC67" s="23">
        <f t="shared" si="505"/>
        <v>3634</v>
      </c>
      <c r="BD67" s="55">
        <f t="shared" si="505"/>
        <v>14673</v>
      </c>
      <c r="BE67" s="23">
        <f t="shared" si="505"/>
        <v>2222</v>
      </c>
      <c r="BF67" s="23">
        <f t="shared" si="505"/>
        <v>3924</v>
      </c>
      <c r="BG67" s="23">
        <f t="shared" si="505"/>
        <v>10356</v>
      </c>
      <c r="BH67" s="23">
        <f t="shared" si="505"/>
        <v>8485</v>
      </c>
      <c r="BI67" s="55">
        <f t="shared" si="505"/>
        <v>24987</v>
      </c>
      <c r="BJ67" s="23">
        <f t="shared" si="505"/>
        <v>12977</v>
      </c>
      <c r="BK67" s="23">
        <f t="shared" si="505"/>
        <v>17605</v>
      </c>
      <c r="BL67" s="23">
        <f t="shared" si="505"/>
        <v>18795</v>
      </c>
      <c r="BM67" s="23">
        <f t="shared" si="505"/>
        <v>14654</v>
      </c>
      <c r="BN67" s="55">
        <f t="shared" ref="BN67:CS67" si="506">BN24+BN28</f>
        <v>64031</v>
      </c>
      <c r="BO67" s="23">
        <f t="shared" si="506"/>
        <v>20228</v>
      </c>
      <c r="BP67" s="23">
        <f t="shared" si="506"/>
        <v>20425</v>
      </c>
      <c r="BQ67" s="23">
        <f t="shared" si="506"/>
        <v>19668</v>
      </c>
      <c r="BR67" s="23">
        <f t="shared" si="506"/>
        <v>25895</v>
      </c>
      <c r="BS67" s="55">
        <f t="shared" si="506"/>
        <v>86216</v>
      </c>
      <c r="BT67" s="23">
        <f t="shared" si="506"/>
        <v>19889</v>
      </c>
      <c r="BU67" s="23">
        <f t="shared" si="506"/>
        <v>25350</v>
      </c>
      <c r="BV67" s="23">
        <f t="shared" si="506"/>
        <v>32060</v>
      </c>
      <c r="BW67" s="23">
        <f t="shared" si="506"/>
        <v>28782</v>
      </c>
      <c r="BX67" s="55">
        <f t="shared" si="506"/>
        <v>106081</v>
      </c>
      <c r="BY67" s="23">
        <f t="shared" si="506"/>
        <v>36752</v>
      </c>
      <c r="BZ67" s="23">
        <f t="shared" si="506"/>
        <v>35218</v>
      </c>
      <c r="CA67" s="23">
        <f t="shared" si="506"/>
        <v>47368</v>
      </c>
      <c r="CB67" s="23">
        <f t="shared" ref="CB67" si="507">CB24+CB28</f>
        <v>50684</v>
      </c>
      <c r="CC67" s="55">
        <f t="shared" si="506"/>
        <v>170022</v>
      </c>
      <c r="CD67" s="23">
        <f t="shared" ref="CD67:CE67" si="508">CD24+CD28</f>
        <v>49093</v>
      </c>
      <c r="CE67" s="23">
        <f t="shared" si="508"/>
        <v>48168</v>
      </c>
      <c r="CF67" s="23">
        <f t="shared" ca="1" si="506"/>
        <v>45176.934546820856</v>
      </c>
      <c r="CG67" s="23">
        <f t="shared" ca="1" si="506"/>
        <v>48044.102232586702</v>
      </c>
      <c r="CH67" s="55">
        <f t="shared" ca="1" si="506"/>
        <v>190482.03677940756</v>
      </c>
      <c r="CI67" s="23">
        <f t="shared" ca="1" si="506"/>
        <v>54954.74465671771</v>
      </c>
      <c r="CJ67" s="23">
        <f t="shared" ca="1" si="506"/>
        <v>55568.920598247161</v>
      </c>
      <c r="CK67" s="23">
        <f t="shared" ca="1" si="506"/>
        <v>51347.010975412202</v>
      </c>
      <c r="CL67" s="23">
        <f t="shared" ca="1" si="506"/>
        <v>51314.596196849918</v>
      </c>
      <c r="CM67" s="55">
        <f t="shared" ca="1" si="506"/>
        <v>213185.272427227</v>
      </c>
      <c r="CN67" s="23">
        <f t="shared" ca="1" si="506"/>
        <v>57668.51948653099</v>
      </c>
      <c r="CO67" s="23">
        <f t="shared" ca="1" si="506"/>
        <v>59914.558560490041</v>
      </c>
      <c r="CP67" s="23">
        <f t="shared" ca="1" si="506"/>
        <v>56092.828884797302</v>
      </c>
      <c r="CQ67" s="23">
        <f t="shared" ca="1" si="506"/>
        <v>55927.822004763802</v>
      </c>
      <c r="CR67" s="55">
        <f t="shared" ca="1" si="506"/>
        <v>229603.72893658216</v>
      </c>
      <c r="CS67" s="23">
        <f t="shared" ca="1" si="506"/>
        <v>62314.782464599513</v>
      </c>
      <c r="CT67" s="23">
        <f t="shared" ref="CT67:DB67" ca="1" si="509">CT24+CT28</f>
        <v>64260.515917357836</v>
      </c>
      <c r="CU67" s="23">
        <f t="shared" ca="1" si="509"/>
        <v>59568.00415928282</v>
      </c>
      <c r="CV67" s="23">
        <f t="shared" ca="1" si="509"/>
        <v>59385.408338082314</v>
      </c>
      <c r="CW67" s="55">
        <f t="shared" ca="1" si="509"/>
        <v>245528.71087932249</v>
      </c>
      <c r="CX67" s="23">
        <f t="shared" ca="1" si="509"/>
        <v>66251.23673986533</v>
      </c>
      <c r="CY67" s="23">
        <f t="shared" ca="1" si="509"/>
        <v>68337.270654967884</v>
      </c>
      <c r="CZ67" s="23">
        <f t="shared" ca="1" si="509"/>
        <v>63187.881460067467</v>
      </c>
      <c r="DA67" s="23">
        <f t="shared" ca="1" si="509"/>
        <v>62565.66759170458</v>
      </c>
      <c r="DB67" s="55">
        <f t="shared" ca="1" si="509"/>
        <v>260342.05644660525</v>
      </c>
    </row>
    <row r="68" spans="1:106" ht="11.25" customHeight="1" outlineLevel="1" x14ac:dyDescent="0.35">
      <c r="A68" s="174" t="s">
        <v>117</v>
      </c>
      <c r="B68" s="23">
        <f t="shared" ref="B68:AE68" si="510">B26+B13</f>
        <v>0</v>
      </c>
      <c r="C68" s="23">
        <f t="shared" si="510"/>
        <v>0</v>
      </c>
      <c r="D68" s="23">
        <f t="shared" si="510"/>
        <v>0</v>
      </c>
      <c r="E68" s="23">
        <f t="shared" si="510"/>
        <v>0</v>
      </c>
      <c r="F68" s="55">
        <f t="shared" si="510"/>
        <v>0</v>
      </c>
      <c r="G68" s="23">
        <f t="shared" si="510"/>
        <v>0</v>
      </c>
      <c r="H68" s="23">
        <f t="shared" si="510"/>
        <v>0</v>
      </c>
      <c r="I68" s="23">
        <f t="shared" si="510"/>
        <v>0</v>
      </c>
      <c r="J68" s="23">
        <f t="shared" si="510"/>
        <v>0</v>
      </c>
      <c r="K68" s="55">
        <f t="shared" si="510"/>
        <v>0</v>
      </c>
      <c r="L68" s="23">
        <f t="shared" si="510"/>
        <v>0</v>
      </c>
      <c r="M68" s="23">
        <f t="shared" si="510"/>
        <v>0</v>
      </c>
      <c r="N68" s="23">
        <f t="shared" si="510"/>
        <v>0</v>
      </c>
      <c r="O68" s="23">
        <f t="shared" si="510"/>
        <v>0</v>
      </c>
      <c r="P68" s="55">
        <f t="shared" si="510"/>
        <v>0</v>
      </c>
      <c r="Q68" s="23">
        <f t="shared" si="510"/>
        <v>0</v>
      </c>
      <c r="R68" s="23">
        <f t="shared" si="510"/>
        <v>0</v>
      </c>
      <c r="S68" s="23">
        <f t="shared" si="510"/>
        <v>0</v>
      </c>
      <c r="T68" s="23">
        <f t="shared" si="510"/>
        <v>0</v>
      </c>
      <c r="U68" s="55">
        <f t="shared" si="510"/>
        <v>0</v>
      </c>
      <c r="V68" s="23">
        <f t="shared" si="510"/>
        <v>0</v>
      </c>
      <c r="W68" s="23">
        <f t="shared" si="510"/>
        <v>0</v>
      </c>
      <c r="X68" s="23">
        <f t="shared" si="510"/>
        <v>0</v>
      </c>
      <c r="Y68" s="23">
        <f t="shared" si="510"/>
        <v>0</v>
      </c>
      <c r="Z68" s="55">
        <f t="shared" si="510"/>
        <v>0</v>
      </c>
      <c r="AA68" s="23">
        <f t="shared" si="510"/>
        <v>0</v>
      </c>
      <c r="AB68" s="23">
        <f t="shared" si="510"/>
        <v>0</v>
      </c>
      <c r="AC68" s="23">
        <f t="shared" si="510"/>
        <v>0</v>
      </c>
      <c r="AD68" s="23">
        <f t="shared" si="510"/>
        <v>0</v>
      </c>
      <c r="AE68" s="55">
        <f t="shared" si="510"/>
        <v>0</v>
      </c>
      <c r="AF68" s="23">
        <f t="shared" ref="AF68:AG68" si="511">AF26+AF13</f>
        <v>0</v>
      </c>
      <c r="AG68" s="23">
        <f t="shared" si="511"/>
        <v>0</v>
      </c>
      <c r="AH68" s="23">
        <f t="shared" ref="AH68:BM68" si="512">AH26+AH13</f>
        <v>0</v>
      </c>
      <c r="AI68" s="23">
        <f t="shared" si="512"/>
        <v>0</v>
      </c>
      <c r="AJ68" s="55">
        <f t="shared" si="512"/>
        <v>0</v>
      </c>
      <c r="AK68" s="23">
        <f t="shared" si="512"/>
        <v>-766.16499999999996</v>
      </c>
      <c r="AL68" s="23">
        <f t="shared" si="512"/>
        <v>-1045.3510000000001</v>
      </c>
      <c r="AM68" s="23">
        <f t="shared" si="512"/>
        <v>-1353.6529999999998</v>
      </c>
      <c r="AN68" s="23">
        <f t="shared" si="512"/>
        <v>-2114.6080000000002</v>
      </c>
      <c r="AO68" s="55">
        <f t="shared" si="512"/>
        <v>-5279.777</v>
      </c>
      <c r="AP68" s="23">
        <f t="shared" si="512"/>
        <v>-560.90499999999997</v>
      </c>
      <c r="AQ68" s="23">
        <f t="shared" si="512"/>
        <v>-1107.788</v>
      </c>
      <c r="AR68" s="23">
        <f t="shared" si="512"/>
        <v>-3741.3919999999998</v>
      </c>
      <c r="AS68" s="23">
        <f t="shared" si="512"/>
        <v>-3259.3489999999993</v>
      </c>
      <c r="AT68" s="55">
        <f t="shared" si="512"/>
        <v>-8669.4339999999993</v>
      </c>
      <c r="AU68" s="23">
        <f t="shared" si="512"/>
        <v>-5249</v>
      </c>
      <c r="AV68" s="23">
        <f t="shared" si="512"/>
        <v>-6744</v>
      </c>
      <c r="AW68" s="23">
        <f t="shared" si="512"/>
        <v>-8914</v>
      </c>
      <c r="AX68" s="23">
        <f t="shared" si="512"/>
        <v>-12108</v>
      </c>
      <c r="AY68" s="55">
        <f t="shared" si="512"/>
        <v>-33015</v>
      </c>
      <c r="AZ68" s="23">
        <f t="shared" si="512"/>
        <v>-6324</v>
      </c>
      <c r="BA68" s="23">
        <f t="shared" si="512"/>
        <v>-7405</v>
      </c>
      <c r="BB68" s="23">
        <f t="shared" si="512"/>
        <v>-7048</v>
      </c>
      <c r="BC68" s="23">
        <f t="shared" si="512"/>
        <v>-6921</v>
      </c>
      <c r="BD68" s="55">
        <f t="shared" si="512"/>
        <v>-27698</v>
      </c>
      <c r="BE68" s="23">
        <f t="shared" si="512"/>
        <v>-7378</v>
      </c>
      <c r="BF68" s="23">
        <f t="shared" si="512"/>
        <v>-9442</v>
      </c>
      <c r="BG68" s="23">
        <f t="shared" si="512"/>
        <v>-11766</v>
      </c>
      <c r="BH68" s="23">
        <f t="shared" si="512"/>
        <v>-22462</v>
      </c>
      <c r="BI68" s="55">
        <f t="shared" si="512"/>
        <v>-51048</v>
      </c>
      <c r="BJ68" s="23">
        <f t="shared" si="512"/>
        <v>-17669</v>
      </c>
      <c r="BK68" s="23">
        <f t="shared" si="512"/>
        <v>-22778</v>
      </c>
      <c r="BL68" s="23">
        <f t="shared" si="512"/>
        <v>-23960</v>
      </c>
      <c r="BM68" s="23">
        <f t="shared" si="512"/>
        <v>-27345</v>
      </c>
      <c r="BN68" s="55">
        <f t="shared" ref="BN68:CS68" si="513">BN26+BN13</f>
        <v>-91752</v>
      </c>
      <c r="BO68" s="23">
        <f t="shared" si="513"/>
        <v>-26971</v>
      </c>
      <c r="BP68" s="23">
        <f t="shared" si="513"/>
        <v>-27441</v>
      </c>
      <c r="BQ68" s="23">
        <f t="shared" si="513"/>
        <v>-24703</v>
      </c>
      <c r="BR68" s="23">
        <f t="shared" si="513"/>
        <v>-26976</v>
      </c>
      <c r="BS68" s="55">
        <f t="shared" si="513"/>
        <v>-106091</v>
      </c>
      <c r="BT68" s="23">
        <f t="shared" si="513"/>
        <v>-26662</v>
      </c>
      <c r="BU68" s="23">
        <f t="shared" si="513"/>
        <v>-33226</v>
      </c>
      <c r="BV68" s="23">
        <f t="shared" si="513"/>
        <v>-41714</v>
      </c>
      <c r="BW68" s="23">
        <f t="shared" si="513"/>
        <v>-43924</v>
      </c>
      <c r="BX68" s="55">
        <f t="shared" si="513"/>
        <v>-145526</v>
      </c>
      <c r="BY68" s="23">
        <f t="shared" si="513"/>
        <v>-53043</v>
      </c>
      <c r="BZ68" s="23">
        <f t="shared" si="513"/>
        <v>-54303</v>
      </c>
      <c r="CA68" s="23">
        <f t="shared" si="513"/>
        <v>-59123</v>
      </c>
      <c r="CB68" s="23">
        <f t="shared" ref="CB68" si="514">CB26+CB13</f>
        <v>-63923</v>
      </c>
      <c r="CC68" s="55">
        <f t="shared" si="513"/>
        <v>-230392</v>
      </c>
      <c r="CD68" s="23">
        <f t="shared" ref="CD68:CE68" si="515">CD26+CD13</f>
        <v>-64045</v>
      </c>
      <c r="CE68" s="23">
        <f t="shared" si="515"/>
        <v>-75563</v>
      </c>
      <c r="CF68" s="23">
        <f t="shared" si="513"/>
        <v>-52999.706296819568</v>
      </c>
      <c r="CG68" s="23">
        <f t="shared" si="513"/>
        <v>-52662.486028364146</v>
      </c>
      <c r="CH68" s="55">
        <f t="shared" si="513"/>
        <v>-245270.19232518371</v>
      </c>
      <c r="CI68" s="23">
        <f t="shared" si="513"/>
        <v>-63548.729908110028</v>
      </c>
      <c r="CJ68" s="23">
        <f t="shared" si="513"/>
        <v>-60468.924998270122</v>
      </c>
      <c r="CK68" s="23">
        <f t="shared" si="513"/>
        <v>-59839.505328167194</v>
      </c>
      <c r="CL68" s="23">
        <f t="shared" si="513"/>
        <v>-59902.129755277456</v>
      </c>
      <c r="CM68" s="55">
        <f t="shared" si="513"/>
        <v>-243759.28998982479</v>
      </c>
      <c r="CN68" s="23">
        <f t="shared" si="513"/>
        <v>-53064.382275323442</v>
      </c>
      <c r="CO68" s="23">
        <f t="shared" si="513"/>
        <v>-54012.198398622779</v>
      </c>
      <c r="CP68" s="23">
        <f t="shared" si="513"/>
        <v>-57367.540649724717</v>
      </c>
      <c r="CQ68" s="23">
        <f t="shared" si="513"/>
        <v>-57688.390175844695</v>
      </c>
      <c r="CR68" s="55">
        <f t="shared" si="513"/>
        <v>-222132.51149951562</v>
      </c>
      <c r="CS68" s="23">
        <f t="shared" si="513"/>
        <v>-56352.365975495828</v>
      </c>
      <c r="CT68" s="23">
        <f t="shared" ref="CT68:DB68" si="516">CT26+CT13</f>
        <v>-57342.557462387835</v>
      </c>
      <c r="CU68" s="23">
        <f t="shared" si="516"/>
        <v>-61453.641399099608</v>
      </c>
      <c r="CV68" s="23">
        <f t="shared" si="516"/>
        <v>-61798.180257065877</v>
      </c>
      <c r="CW68" s="55">
        <f t="shared" si="516"/>
        <v>-236946.74509404917</v>
      </c>
      <c r="CX68" s="23">
        <f t="shared" si="516"/>
        <v>-59937.583230755932</v>
      </c>
      <c r="CY68" s="23">
        <f t="shared" si="516"/>
        <v>-60683.964967390668</v>
      </c>
      <c r="CZ68" s="23">
        <f t="shared" si="516"/>
        <v>-65027.53681920941</v>
      </c>
      <c r="DA68" s="23">
        <f t="shared" si="516"/>
        <v>-65288.91547885949</v>
      </c>
      <c r="DB68" s="55">
        <f t="shared" si="516"/>
        <v>-250938.00049621551</v>
      </c>
    </row>
    <row r="69" spans="1:106" ht="11.25" customHeight="1" x14ac:dyDescent="0.35">
      <c r="A69" s="176" t="s">
        <v>112</v>
      </c>
      <c r="B69" s="23">
        <f t="shared" ref="B69:AE69" si="517">B34+B36+B33</f>
        <v>0</v>
      </c>
      <c r="C69" s="23">
        <f t="shared" si="517"/>
        <v>0</v>
      </c>
      <c r="D69" s="23">
        <f t="shared" si="517"/>
        <v>0</v>
      </c>
      <c r="E69" s="23">
        <f t="shared" si="517"/>
        <v>0</v>
      </c>
      <c r="F69" s="55">
        <f t="shared" si="517"/>
        <v>0</v>
      </c>
      <c r="G69" s="23">
        <f t="shared" si="517"/>
        <v>0</v>
      </c>
      <c r="H69" s="23">
        <f t="shared" si="517"/>
        <v>0</v>
      </c>
      <c r="I69" s="23">
        <f t="shared" si="517"/>
        <v>0</v>
      </c>
      <c r="J69" s="23">
        <f t="shared" si="517"/>
        <v>0</v>
      </c>
      <c r="K69" s="55">
        <f t="shared" si="517"/>
        <v>0</v>
      </c>
      <c r="L69" s="23">
        <f t="shared" si="517"/>
        <v>0</v>
      </c>
      <c r="M69" s="23">
        <f t="shared" si="517"/>
        <v>0</v>
      </c>
      <c r="N69" s="23">
        <f t="shared" si="517"/>
        <v>0</v>
      </c>
      <c r="O69" s="23">
        <f t="shared" si="517"/>
        <v>0</v>
      </c>
      <c r="P69" s="55">
        <f t="shared" si="517"/>
        <v>0</v>
      </c>
      <c r="Q69" s="23">
        <f t="shared" si="517"/>
        <v>0</v>
      </c>
      <c r="R69" s="23">
        <f t="shared" si="517"/>
        <v>0</v>
      </c>
      <c r="S69" s="23">
        <f t="shared" si="517"/>
        <v>0</v>
      </c>
      <c r="T69" s="23">
        <f t="shared" si="517"/>
        <v>0</v>
      </c>
      <c r="U69" s="55">
        <f t="shared" si="517"/>
        <v>0</v>
      </c>
      <c r="V69" s="23">
        <f t="shared" si="517"/>
        <v>0</v>
      </c>
      <c r="W69" s="23">
        <f t="shared" si="517"/>
        <v>0</v>
      </c>
      <c r="X69" s="23">
        <f t="shared" si="517"/>
        <v>0</v>
      </c>
      <c r="Y69" s="23">
        <f t="shared" si="517"/>
        <v>0</v>
      </c>
      <c r="Z69" s="55">
        <f t="shared" si="517"/>
        <v>0</v>
      </c>
      <c r="AA69" s="23">
        <f t="shared" si="517"/>
        <v>0</v>
      </c>
      <c r="AB69" s="23">
        <f t="shared" si="517"/>
        <v>0</v>
      </c>
      <c r="AC69" s="23">
        <f t="shared" si="517"/>
        <v>0</v>
      </c>
      <c r="AD69" s="23">
        <f t="shared" si="517"/>
        <v>0</v>
      </c>
      <c r="AE69" s="55">
        <f t="shared" si="517"/>
        <v>0</v>
      </c>
      <c r="AF69" s="23">
        <f t="shared" ref="AF69:AG69" si="518">AF34+AF36+AF33</f>
        <v>0</v>
      </c>
      <c r="AG69" s="23">
        <f t="shared" si="518"/>
        <v>0</v>
      </c>
      <c r="AH69" s="23">
        <f t="shared" ref="AH69:BM69" si="519">AH34+AH36+AH33</f>
        <v>0</v>
      </c>
      <c r="AI69" s="23">
        <f t="shared" si="519"/>
        <v>0</v>
      </c>
      <c r="AJ69" s="55">
        <f t="shared" si="519"/>
        <v>0</v>
      </c>
      <c r="AK69" s="23">
        <f t="shared" si="519"/>
        <v>-5.3710000000000004</v>
      </c>
      <c r="AL69" s="23">
        <f t="shared" si="519"/>
        <v>-88.245000000000005</v>
      </c>
      <c r="AM69" s="23">
        <f t="shared" si="519"/>
        <v>469.95799999999997</v>
      </c>
      <c r="AN69" s="23">
        <f t="shared" si="519"/>
        <v>665.8370000000001</v>
      </c>
      <c r="AO69" s="55">
        <f t="shared" si="519"/>
        <v>1042.1790000000001</v>
      </c>
      <c r="AP69" s="23">
        <f t="shared" si="519"/>
        <v>350.71199999999999</v>
      </c>
      <c r="AQ69" s="23">
        <f t="shared" si="519"/>
        <v>3178.105</v>
      </c>
      <c r="AR69" s="23">
        <f t="shared" si="519"/>
        <v>-3157.2020000000002</v>
      </c>
      <c r="AS69" s="23">
        <f t="shared" si="519"/>
        <v>-869.85799999999995</v>
      </c>
      <c r="AT69" s="55">
        <f t="shared" si="519"/>
        <v>-498.24300000000017</v>
      </c>
      <c r="AU69" s="23">
        <f t="shared" si="519"/>
        <v>-359</v>
      </c>
      <c r="AV69" s="23">
        <f t="shared" si="519"/>
        <v>-1062</v>
      </c>
      <c r="AW69" s="23">
        <f t="shared" si="519"/>
        <v>849</v>
      </c>
      <c r="AX69" s="23">
        <f t="shared" si="519"/>
        <v>2058</v>
      </c>
      <c r="AY69" s="55">
        <f t="shared" si="519"/>
        <v>1486</v>
      </c>
      <c r="AZ69" s="23">
        <f t="shared" si="519"/>
        <v>791</v>
      </c>
      <c r="BA69" s="23">
        <f t="shared" si="519"/>
        <v>195</v>
      </c>
      <c r="BB69" s="23">
        <f t="shared" si="519"/>
        <v>336</v>
      </c>
      <c r="BC69" s="23">
        <f t="shared" si="519"/>
        <v>1038</v>
      </c>
      <c r="BD69" s="55">
        <f t="shared" si="519"/>
        <v>2360</v>
      </c>
      <c r="BE69" s="23">
        <f t="shared" si="519"/>
        <v>1138</v>
      </c>
      <c r="BF69" s="23">
        <f t="shared" si="519"/>
        <v>1726</v>
      </c>
      <c r="BG69" s="23">
        <f t="shared" si="519"/>
        <v>-946</v>
      </c>
      <c r="BH69" s="23">
        <f t="shared" si="519"/>
        <v>-991</v>
      </c>
      <c r="BI69" s="55">
        <f t="shared" si="519"/>
        <v>927</v>
      </c>
      <c r="BJ69" s="23">
        <f t="shared" si="519"/>
        <v>-311</v>
      </c>
      <c r="BK69" s="23">
        <f t="shared" si="519"/>
        <v>-141</v>
      </c>
      <c r="BL69" s="23">
        <f t="shared" si="519"/>
        <v>976</v>
      </c>
      <c r="BM69" s="23">
        <f t="shared" si="519"/>
        <v>-145</v>
      </c>
      <c r="BN69" s="55">
        <f t="shared" ref="BN69:CS69" si="520">BN34+BN36+BN33</f>
        <v>379</v>
      </c>
      <c r="BO69" s="23">
        <f t="shared" si="520"/>
        <v>-110</v>
      </c>
      <c r="BP69" s="23">
        <f t="shared" si="520"/>
        <v>696</v>
      </c>
      <c r="BQ69" s="23">
        <f t="shared" si="520"/>
        <v>-295</v>
      </c>
      <c r="BR69" s="23">
        <f t="shared" si="520"/>
        <v>1356</v>
      </c>
      <c r="BS69" s="55">
        <f t="shared" si="520"/>
        <v>1647</v>
      </c>
      <c r="BT69" s="23">
        <f t="shared" si="520"/>
        <v>1299</v>
      </c>
      <c r="BU69" s="23">
        <f t="shared" si="520"/>
        <v>2806</v>
      </c>
      <c r="BV69" s="23">
        <f t="shared" si="520"/>
        <v>3390</v>
      </c>
      <c r="BW69" s="23">
        <f t="shared" si="520"/>
        <v>1044</v>
      </c>
      <c r="BX69" s="55">
        <f t="shared" si="520"/>
        <v>8539</v>
      </c>
      <c r="BY69" s="23">
        <f t="shared" si="520"/>
        <v>688</v>
      </c>
      <c r="BZ69" s="23">
        <f t="shared" si="520"/>
        <v>1091</v>
      </c>
      <c r="CA69" s="23">
        <f t="shared" si="520"/>
        <v>2474</v>
      </c>
      <c r="CB69" s="23">
        <f t="shared" ref="CB69" si="521">CB34+CB36+CB33</f>
        <v>3137</v>
      </c>
      <c r="CC69" s="55">
        <f t="shared" si="520"/>
        <v>7390</v>
      </c>
      <c r="CD69" s="23">
        <f t="shared" ref="CD69:CE69" si="522">CD34+CD36+CD33</f>
        <v>2282</v>
      </c>
      <c r="CE69" s="23">
        <f t="shared" si="522"/>
        <v>1014</v>
      </c>
      <c r="CF69" s="23">
        <f t="shared" si="520"/>
        <v>771.25258988636301</v>
      </c>
      <c r="CG69" s="23">
        <f t="shared" si="520"/>
        <v>779.28350539895791</v>
      </c>
      <c r="CH69" s="55">
        <f t="shared" si="520"/>
        <v>4846.5360952853207</v>
      </c>
      <c r="CI69" s="23">
        <f t="shared" si="520"/>
        <v>833.88023109718711</v>
      </c>
      <c r="CJ69" s="23">
        <f t="shared" si="520"/>
        <v>874.54796388973773</v>
      </c>
      <c r="CK69" s="23">
        <f t="shared" si="520"/>
        <v>894.26501380295747</v>
      </c>
      <c r="CL69" s="23">
        <f t="shared" si="520"/>
        <v>909.47125272685378</v>
      </c>
      <c r="CM69" s="55">
        <f t="shared" si="520"/>
        <v>3512.1644615167361</v>
      </c>
      <c r="CN69" s="23">
        <f t="shared" si="520"/>
        <v>957.0362263251742</v>
      </c>
      <c r="CO69" s="23">
        <f t="shared" si="520"/>
        <v>978.94700173076671</v>
      </c>
      <c r="CP69" s="23">
        <f t="shared" si="520"/>
        <v>981.66975538872873</v>
      </c>
      <c r="CQ69" s="23">
        <f t="shared" si="520"/>
        <v>993.91158725549531</v>
      </c>
      <c r="CR69" s="55">
        <f t="shared" si="520"/>
        <v>3911.5645707001649</v>
      </c>
      <c r="CS69" s="23">
        <f t="shared" si="520"/>
        <v>1034.1950416858017</v>
      </c>
      <c r="CT69" s="23">
        <f t="shared" ref="CT69:DB69" si="523">CT34+CT36+CT33</f>
        <v>1054.8700055303848</v>
      </c>
      <c r="CU69" s="23">
        <f t="shared" si="523"/>
        <v>1055.3506152341629</v>
      </c>
      <c r="CV69" s="23">
        <f t="shared" si="523"/>
        <v>1060.9873635509227</v>
      </c>
      <c r="CW69" s="55">
        <f t="shared" si="523"/>
        <v>4205.4030260012723</v>
      </c>
      <c r="CX69" s="23">
        <f t="shared" si="523"/>
        <v>1097.4912135562058</v>
      </c>
      <c r="CY69" s="23">
        <f t="shared" si="523"/>
        <v>1109.4365871465588</v>
      </c>
      <c r="CZ69" s="23">
        <f t="shared" si="523"/>
        <v>1096.5199941978981</v>
      </c>
      <c r="DA69" s="23">
        <f t="shared" si="523"/>
        <v>1086.2048345180492</v>
      </c>
      <c r="DB69" s="55">
        <f t="shared" si="523"/>
        <v>4389.6526294187115</v>
      </c>
    </row>
    <row r="70" spans="1:106" ht="11.25" customHeight="1" x14ac:dyDescent="0.35">
      <c r="A70" s="176" t="s">
        <v>113</v>
      </c>
      <c r="B70" s="23">
        <f t="shared" ref="B70:AE70" si="524">B37</f>
        <v>0</v>
      </c>
      <c r="C70" s="23">
        <f t="shared" si="524"/>
        <v>0</v>
      </c>
      <c r="D70" s="23">
        <f t="shared" si="524"/>
        <v>0</v>
      </c>
      <c r="E70" s="23">
        <f t="shared" si="524"/>
        <v>0</v>
      </c>
      <c r="F70" s="55">
        <f t="shared" si="524"/>
        <v>0</v>
      </c>
      <c r="G70" s="23">
        <f t="shared" si="524"/>
        <v>0</v>
      </c>
      <c r="H70" s="23">
        <f t="shared" si="524"/>
        <v>0</v>
      </c>
      <c r="I70" s="23">
        <f t="shared" si="524"/>
        <v>0</v>
      </c>
      <c r="J70" s="23">
        <f t="shared" si="524"/>
        <v>0</v>
      </c>
      <c r="K70" s="55">
        <f t="shared" si="524"/>
        <v>0</v>
      </c>
      <c r="L70" s="23">
        <f t="shared" si="524"/>
        <v>0</v>
      </c>
      <c r="M70" s="23">
        <f t="shared" si="524"/>
        <v>0</v>
      </c>
      <c r="N70" s="23">
        <f t="shared" si="524"/>
        <v>0</v>
      </c>
      <c r="O70" s="23">
        <f t="shared" si="524"/>
        <v>0</v>
      </c>
      <c r="P70" s="55">
        <f t="shared" si="524"/>
        <v>0</v>
      </c>
      <c r="Q70" s="23">
        <f t="shared" si="524"/>
        <v>0</v>
      </c>
      <c r="R70" s="23">
        <f t="shared" si="524"/>
        <v>0</v>
      </c>
      <c r="S70" s="23">
        <f t="shared" si="524"/>
        <v>0</v>
      </c>
      <c r="T70" s="23">
        <f t="shared" si="524"/>
        <v>0</v>
      </c>
      <c r="U70" s="55">
        <f t="shared" si="524"/>
        <v>0</v>
      </c>
      <c r="V70" s="23">
        <f t="shared" si="524"/>
        <v>0</v>
      </c>
      <c r="W70" s="23">
        <f t="shared" si="524"/>
        <v>0</v>
      </c>
      <c r="X70" s="23">
        <f t="shared" si="524"/>
        <v>0</v>
      </c>
      <c r="Y70" s="23">
        <f t="shared" si="524"/>
        <v>0</v>
      </c>
      <c r="Z70" s="55">
        <f t="shared" si="524"/>
        <v>0</v>
      </c>
      <c r="AA70" s="23">
        <f t="shared" si="524"/>
        <v>0</v>
      </c>
      <c r="AB70" s="23">
        <f t="shared" si="524"/>
        <v>0</v>
      </c>
      <c r="AC70" s="23">
        <f t="shared" si="524"/>
        <v>0</v>
      </c>
      <c r="AD70" s="23">
        <f t="shared" si="524"/>
        <v>0</v>
      </c>
      <c r="AE70" s="55">
        <f t="shared" si="524"/>
        <v>0</v>
      </c>
      <c r="AF70" s="23">
        <f t="shared" ref="AF70:AG70" si="525">AF37</f>
        <v>0</v>
      </c>
      <c r="AG70" s="23">
        <f t="shared" si="525"/>
        <v>0</v>
      </c>
      <c r="AH70" s="23">
        <f t="shared" ref="AH70:BM70" si="526">AH37</f>
        <v>0</v>
      </c>
      <c r="AI70" s="23">
        <f t="shared" si="526"/>
        <v>0</v>
      </c>
      <c r="AJ70" s="55">
        <f t="shared" si="526"/>
        <v>0</v>
      </c>
      <c r="AK70" s="23">
        <f t="shared" si="526"/>
        <v>16465.068000000014</v>
      </c>
      <c r="AL70" s="23">
        <f t="shared" si="526"/>
        <v>20086.781999999963</v>
      </c>
      <c r="AM70" s="23">
        <f t="shared" si="526"/>
        <v>49874.739000000031</v>
      </c>
      <c r="AN70" s="23">
        <f t="shared" si="526"/>
        <v>56168.820000000058</v>
      </c>
      <c r="AO70" s="55">
        <f t="shared" si="526"/>
        <v>142595.40900000007</v>
      </c>
      <c r="AP70" s="23">
        <f t="shared" si="526"/>
        <v>23596.92</v>
      </c>
      <c r="AQ70" s="23">
        <f t="shared" si="526"/>
        <v>44619.943999999989</v>
      </c>
      <c r="AR70" s="23">
        <f t="shared" si="526"/>
        <v>58830.786000000058</v>
      </c>
      <c r="AS70" s="23">
        <f t="shared" si="526"/>
        <v>67413.998999999982</v>
      </c>
      <c r="AT70" s="55">
        <f t="shared" si="526"/>
        <v>194461.64900000003</v>
      </c>
      <c r="AU70" s="23">
        <f t="shared" si="526"/>
        <v>28257</v>
      </c>
      <c r="AV70" s="23">
        <f t="shared" si="526"/>
        <v>79268</v>
      </c>
      <c r="AW70" s="23">
        <f t="shared" si="526"/>
        <v>45183</v>
      </c>
      <c r="AX70" s="23">
        <f t="shared" si="526"/>
        <v>73387</v>
      </c>
      <c r="AY70" s="55">
        <f t="shared" si="526"/>
        <v>226095</v>
      </c>
      <c r="AZ70" s="23">
        <f t="shared" si="526"/>
        <v>23155</v>
      </c>
      <c r="BA70" s="23">
        <f t="shared" si="526"/>
        <v>45884</v>
      </c>
      <c r="BB70" s="23">
        <f t="shared" si="526"/>
        <v>66118</v>
      </c>
      <c r="BC70" s="23">
        <f t="shared" si="526"/>
        <v>81055</v>
      </c>
      <c r="BD70" s="55">
        <f t="shared" si="526"/>
        <v>216212</v>
      </c>
      <c r="BE70" s="23">
        <f t="shared" si="526"/>
        <v>58947</v>
      </c>
      <c r="BF70" s="23">
        <f t="shared" si="526"/>
        <v>85365</v>
      </c>
      <c r="BG70" s="23">
        <f t="shared" si="526"/>
        <v>84976</v>
      </c>
      <c r="BH70" s="23">
        <f t="shared" si="526"/>
        <v>122353</v>
      </c>
      <c r="BI70" s="55">
        <f t="shared" si="526"/>
        <v>351641</v>
      </c>
      <c r="BJ70" s="23">
        <f t="shared" si="526"/>
        <v>74988</v>
      </c>
      <c r="BK70" s="23">
        <f t="shared" si="526"/>
        <v>107387</v>
      </c>
      <c r="BL70" s="23">
        <f t="shared" si="526"/>
        <v>110405</v>
      </c>
      <c r="BM70" s="23">
        <f t="shared" si="526"/>
        <v>112224</v>
      </c>
      <c r="BN70" s="55">
        <f t="shared" ref="BN70:CS70" si="527">BN37</f>
        <v>405004</v>
      </c>
      <c r="BO70" s="23">
        <f t="shared" si="527"/>
        <v>109392</v>
      </c>
      <c r="BP70" s="23">
        <f t="shared" si="527"/>
        <v>142265</v>
      </c>
      <c r="BQ70" s="23">
        <f t="shared" si="527"/>
        <v>132019</v>
      </c>
      <c r="BR70" s="23">
        <f t="shared" si="527"/>
        <v>184353</v>
      </c>
      <c r="BS70" s="55">
        <f t="shared" si="527"/>
        <v>568029</v>
      </c>
      <c r="BT70" s="23">
        <f t="shared" si="527"/>
        <v>174256</v>
      </c>
      <c r="BU70" s="23">
        <f t="shared" si="527"/>
        <v>196190</v>
      </c>
      <c r="BV70" s="23">
        <f t="shared" si="527"/>
        <v>203590</v>
      </c>
      <c r="BW70" s="23">
        <f t="shared" si="527"/>
        <v>214560</v>
      </c>
      <c r="BX70" s="55">
        <f t="shared" si="527"/>
        <v>788596</v>
      </c>
      <c r="BY70" s="23">
        <f t="shared" si="527"/>
        <v>264667</v>
      </c>
      <c r="BZ70" s="23">
        <f t="shared" si="527"/>
        <v>298596</v>
      </c>
      <c r="CA70" s="23">
        <f t="shared" si="527"/>
        <v>319973</v>
      </c>
      <c r="CB70" s="23">
        <f t="shared" ref="CB70" si="528">CB37</f>
        <v>337010</v>
      </c>
      <c r="CC70" s="55">
        <f t="shared" si="527"/>
        <v>1220246</v>
      </c>
      <c r="CD70" s="23">
        <f t="shared" ref="CD70:CE70" si="529">CD37</f>
        <v>392436</v>
      </c>
      <c r="CE70" s="23">
        <f t="shared" si="529"/>
        <v>356305</v>
      </c>
      <c r="CF70" s="23">
        <f t="shared" ca="1" si="527"/>
        <v>391658.24520499329</v>
      </c>
      <c r="CG70" s="23">
        <f t="shared" ca="1" si="527"/>
        <v>424120.48408245941</v>
      </c>
      <c r="CH70" s="55">
        <f t="shared" ca="1" si="527"/>
        <v>1564519.7292874528</v>
      </c>
      <c r="CI70" s="23">
        <f t="shared" ca="1" si="527"/>
        <v>441745.23899452953</v>
      </c>
      <c r="CJ70" s="23">
        <f t="shared" ca="1" si="527"/>
        <v>481254.47186562541</v>
      </c>
      <c r="CK70" s="23">
        <f t="shared" ca="1" si="527"/>
        <v>517996.28002472461</v>
      </c>
      <c r="CL70" s="23">
        <f t="shared" ca="1" si="527"/>
        <v>504784.4689712511</v>
      </c>
      <c r="CM70" s="55">
        <f t="shared" ca="1" si="527"/>
        <v>1945780.4598561306</v>
      </c>
      <c r="CN70" s="23">
        <f t="shared" ca="1" si="527"/>
        <v>544537.6166807746</v>
      </c>
      <c r="CO70" s="23">
        <f t="shared" ca="1" si="527"/>
        <v>537382.11434783158</v>
      </c>
      <c r="CP70" s="23">
        <f t="shared" ca="1" si="527"/>
        <v>559820.10694721784</v>
      </c>
      <c r="CQ70" s="23">
        <f t="shared" ca="1" si="527"/>
        <v>561727.84859683504</v>
      </c>
      <c r="CR70" s="55">
        <f t="shared" ca="1" si="527"/>
        <v>2203467.6865726588</v>
      </c>
      <c r="CS70" s="23">
        <f t="shared" ca="1" si="527"/>
        <v>589577.10983300395</v>
      </c>
      <c r="CT70" s="23">
        <f t="shared" ref="CT70:DB70" ca="1" si="530">CT37</f>
        <v>572917.03726755502</v>
      </c>
      <c r="CU70" s="23">
        <f t="shared" ca="1" si="530"/>
        <v>590008.09346909495</v>
      </c>
      <c r="CV70" s="23">
        <f t="shared" ca="1" si="530"/>
        <v>588635.26046769426</v>
      </c>
      <c r="CW70" s="55">
        <f t="shared" ca="1" si="530"/>
        <v>2341137.5010373481</v>
      </c>
      <c r="CX70" s="23">
        <f t="shared" ca="1" si="530"/>
        <v>625214.97163459798</v>
      </c>
      <c r="CY70" s="23">
        <f t="shared" ca="1" si="530"/>
        <v>606011.13050288521</v>
      </c>
      <c r="CZ70" s="23">
        <f t="shared" ca="1" si="530"/>
        <v>621725.20846532099</v>
      </c>
      <c r="DA70" s="23">
        <f t="shared" ca="1" si="530"/>
        <v>618523.38330257556</v>
      </c>
      <c r="DB70" s="55">
        <f t="shared" ca="1" si="530"/>
        <v>2471474.6939053796</v>
      </c>
    </row>
    <row r="71" spans="1:106" ht="11.25" customHeight="1" x14ac:dyDescent="0.35">
      <c r="A71" s="176" t="s">
        <v>114</v>
      </c>
      <c r="B71" s="23">
        <f t="shared" ref="B71:AE71" si="531">B38+B40</f>
        <v>0</v>
      </c>
      <c r="C71" s="23">
        <f t="shared" si="531"/>
        <v>0</v>
      </c>
      <c r="D71" s="23">
        <f t="shared" si="531"/>
        <v>0</v>
      </c>
      <c r="E71" s="23">
        <f t="shared" si="531"/>
        <v>0</v>
      </c>
      <c r="F71" s="55">
        <f t="shared" si="531"/>
        <v>0</v>
      </c>
      <c r="G71" s="23">
        <f t="shared" si="531"/>
        <v>0</v>
      </c>
      <c r="H71" s="23">
        <f t="shared" si="531"/>
        <v>0</v>
      </c>
      <c r="I71" s="23">
        <f t="shared" si="531"/>
        <v>0</v>
      </c>
      <c r="J71" s="23">
        <f t="shared" si="531"/>
        <v>0</v>
      </c>
      <c r="K71" s="55">
        <f t="shared" si="531"/>
        <v>0</v>
      </c>
      <c r="L71" s="23">
        <f t="shared" si="531"/>
        <v>0</v>
      </c>
      <c r="M71" s="23">
        <f t="shared" si="531"/>
        <v>0</v>
      </c>
      <c r="N71" s="23">
        <f t="shared" si="531"/>
        <v>0</v>
      </c>
      <c r="O71" s="23">
        <f t="shared" si="531"/>
        <v>0</v>
      </c>
      <c r="P71" s="55">
        <f t="shared" si="531"/>
        <v>0</v>
      </c>
      <c r="Q71" s="23">
        <f t="shared" si="531"/>
        <v>0</v>
      </c>
      <c r="R71" s="23">
        <f t="shared" si="531"/>
        <v>0</v>
      </c>
      <c r="S71" s="23">
        <f t="shared" si="531"/>
        <v>0</v>
      </c>
      <c r="T71" s="23">
        <f t="shared" si="531"/>
        <v>0</v>
      </c>
      <c r="U71" s="55">
        <f t="shared" si="531"/>
        <v>0</v>
      </c>
      <c r="V71" s="23">
        <f t="shared" si="531"/>
        <v>0</v>
      </c>
      <c r="W71" s="23">
        <f t="shared" si="531"/>
        <v>0</v>
      </c>
      <c r="X71" s="23">
        <f t="shared" si="531"/>
        <v>0</v>
      </c>
      <c r="Y71" s="23">
        <f t="shared" si="531"/>
        <v>0</v>
      </c>
      <c r="Z71" s="55">
        <f t="shared" si="531"/>
        <v>0</v>
      </c>
      <c r="AA71" s="23">
        <f t="shared" si="531"/>
        <v>0</v>
      </c>
      <c r="AB71" s="23">
        <f t="shared" si="531"/>
        <v>0</v>
      </c>
      <c r="AC71" s="23">
        <f t="shared" si="531"/>
        <v>0</v>
      </c>
      <c r="AD71" s="23">
        <f t="shared" si="531"/>
        <v>0</v>
      </c>
      <c r="AE71" s="55">
        <f t="shared" si="531"/>
        <v>0</v>
      </c>
      <c r="AF71" s="23">
        <f t="shared" ref="AF71:AG71" si="532">AF38+AF40</f>
        <v>0</v>
      </c>
      <c r="AG71" s="23">
        <f t="shared" si="532"/>
        <v>0</v>
      </c>
      <c r="AH71" s="23">
        <f t="shared" ref="AH71:BM71" si="533">AH38+AH40</f>
        <v>0</v>
      </c>
      <c r="AI71" s="23">
        <f t="shared" si="533"/>
        <v>0</v>
      </c>
      <c r="AJ71" s="55">
        <f t="shared" si="533"/>
        <v>0</v>
      </c>
      <c r="AK71" s="23">
        <f t="shared" si="533"/>
        <v>-2531.3939999999998</v>
      </c>
      <c r="AL71" s="23">
        <f t="shared" si="533"/>
        <v>-1974.1320000000001</v>
      </c>
      <c r="AM71" s="23">
        <f t="shared" si="533"/>
        <v>-3848.1929999999993</v>
      </c>
      <c r="AN71" s="23">
        <f t="shared" si="533"/>
        <v>-5466.1830000000009</v>
      </c>
      <c r="AO71" s="55">
        <f t="shared" si="533"/>
        <v>-13819.902</v>
      </c>
      <c r="AP71" s="23">
        <f t="shared" si="533"/>
        <v>-2836.9920000000002</v>
      </c>
      <c r="AQ71" s="23">
        <f t="shared" si="533"/>
        <v>-4774.8620000000001</v>
      </c>
      <c r="AR71" s="23">
        <f t="shared" si="533"/>
        <v>-5401.951</v>
      </c>
      <c r="AS71" s="23">
        <f t="shared" si="533"/>
        <v>-5436.5540000000001</v>
      </c>
      <c r="AT71" s="55">
        <f t="shared" si="533"/>
        <v>-18450.359</v>
      </c>
      <c r="AU71" s="23">
        <f t="shared" si="533"/>
        <v>-4751</v>
      </c>
      <c r="AV71" s="23">
        <f t="shared" si="533"/>
        <v>-5534</v>
      </c>
      <c r="AW71" s="23">
        <f t="shared" si="533"/>
        <v>-4879</v>
      </c>
      <c r="AX71" s="23">
        <f t="shared" si="533"/>
        <v>-6875</v>
      </c>
      <c r="AY71" s="55">
        <f t="shared" si="533"/>
        <v>-22039</v>
      </c>
      <c r="AZ71" s="23">
        <f t="shared" si="533"/>
        <v>-7737</v>
      </c>
      <c r="BA71" s="23">
        <f t="shared" si="533"/>
        <v>-4872</v>
      </c>
      <c r="BB71" s="23">
        <f t="shared" si="533"/>
        <v>-6903</v>
      </c>
      <c r="BC71" s="23">
        <f t="shared" si="533"/>
        <v>-6702</v>
      </c>
      <c r="BD71" s="55">
        <f t="shared" si="533"/>
        <v>-26214</v>
      </c>
      <c r="BE71" s="23">
        <f t="shared" si="533"/>
        <v>-6879</v>
      </c>
      <c r="BF71" s="23">
        <f t="shared" si="533"/>
        <v>-8414</v>
      </c>
      <c r="BG71" s="23">
        <f t="shared" si="533"/>
        <v>-10329</v>
      </c>
      <c r="BH71" s="23">
        <f t="shared" si="533"/>
        <v>-10710</v>
      </c>
      <c r="BI71" s="55">
        <f t="shared" si="533"/>
        <v>-36332</v>
      </c>
      <c r="BJ71" s="23">
        <f t="shared" si="533"/>
        <v>-11637</v>
      </c>
      <c r="BK71" s="23">
        <f t="shared" si="533"/>
        <v>-14448</v>
      </c>
      <c r="BL71" s="23">
        <f t="shared" si="533"/>
        <v>-15534</v>
      </c>
      <c r="BM71" s="23">
        <f t="shared" si="533"/>
        <v>-14945</v>
      </c>
      <c r="BN71" s="55">
        <f t="shared" ref="BN71:CS71" si="534">BN38+BN40</f>
        <v>-56564</v>
      </c>
      <c r="BO71" s="23">
        <f t="shared" si="534"/>
        <v>-15336</v>
      </c>
      <c r="BP71" s="23">
        <f t="shared" si="534"/>
        <v>-18195</v>
      </c>
      <c r="BQ71" s="23">
        <f t="shared" si="534"/>
        <v>-19128</v>
      </c>
      <c r="BR71" s="23">
        <f t="shared" si="534"/>
        <v>-19759</v>
      </c>
      <c r="BS71" s="55">
        <f t="shared" si="534"/>
        <v>-72418</v>
      </c>
      <c r="BT71" s="23">
        <f t="shared" si="534"/>
        <v>-20186</v>
      </c>
      <c r="BU71" s="23">
        <f t="shared" si="534"/>
        <v>-20908</v>
      </c>
      <c r="BV71" s="23">
        <f t="shared" si="534"/>
        <v>-23002</v>
      </c>
      <c r="BW71" s="23">
        <f t="shared" si="534"/>
        <v>-25688</v>
      </c>
      <c r="BX71" s="55">
        <f t="shared" si="534"/>
        <v>-89784</v>
      </c>
      <c r="BY71" s="23">
        <f t="shared" si="534"/>
        <v>-31003</v>
      </c>
      <c r="BZ71" s="23">
        <f t="shared" si="534"/>
        <v>-31439</v>
      </c>
      <c r="CA71" s="23">
        <f t="shared" si="534"/>
        <v>-36763</v>
      </c>
      <c r="CB71" s="23">
        <f t="shared" ref="CB71" si="535">CB38+CB40</f>
        <v>-39821</v>
      </c>
      <c r="CC71" s="55">
        <f t="shared" si="534"/>
        <v>-139026</v>
      </c>
      <c r="CD71" s="23">
        <f t="shared" ref="CD71:CE71" si="536">CD38+CD40</f>
        <v>-41250</v>
      </c>
      <c r="CE71" s="23">
        <f t="shared" si="536"/>
        <v>-45114</v>
      </c>
      <c r="CF71" s="23">
        <f t="shared" si="534"/>
        <v>-46730.045625124745</v>
      </c>
      <c r="CG71" s="23">
        <f t="shared" si="534"/>
        <v>-47498.167535001288</v>
      </c>
      <c r="CH71" s="55">
        <f t="shared" si="534"/>
        <v>-180592.21316012603</v>
      </c>
      <c r="CI71" s="23">
        <f t="shared" si="534"/>
        <v>-50235.997223056416</v>
      </c>
      <c r="CJ71" s="23">
        <f t="shared" si="534"/>
        <v>-57166.190464373474</v>
      </c>
      <c r="CK71" s="23">
        <f t="shared" si="534"/>
        <v>-57819.16057207952</v>
      </c>
      <c r="CL71" s="23">
        <f t="shared" si="534"/>
        <v>-54926.553184363416</v>
      </c>
      <c r="CM71" s="55">
        <f t="shared" si="534"/>
        <v>-220147.90144387286</v>
      </c>
      <c r="CN71" s="23">
        <f t="shared" si="534"/>
        <v>-41533.597734215662</v>
      </c>
      <c r="CO71" s="23">
        <f t="shared" si="534"/>
        <v>-44813.463255401388</v>
      </c>
      <c r="CP71" s="23">
        <f t="shared" si="534"/>
        <v>-45249.777125218272</v>
      </c>
      <c r="CQ71" s="23">
        <f t="shared" si="534"/>
        <v>-44187.338503629326</v>
      </c>
      <c r="CR71" s="55">
        <f t="shared" si="534"/>
        <v>-175784.17661846464</v>
      </c>
      <c r="CS71" s="23">
        <f t="shared" si="534"/>
        <v>-45721.904037597698</v>
      </c>
      <c r="CT71" s="23">
        <f t="shared" ref="CT71:DB71" si="537">CT38+CT40</f>
        <v>-48698.674824085829</v>
      </c>
      <c r="CU71" s="23">
        <f t="shared" si="537"/>
        <v>-48822.941228211414</v>
      </c>
      <c r="CV71" s="23">
        <f t="shared" si="537"/>
        <v>-47460.836855191912</v>
      </c>
      <c r="CW71" s="55">
        <f t="shared" si="537"/>
        <v>-190704.35694508685</v>
      </c>
      <c r="CX71" s="23">
        <f t="shared" si="537"/>
        <v>-48849.067041456707</v>
      </c>
      <c r="CY71" s="23">
        <f t="shared" si="537"/>
        <v>-51773.436709207977</v>
      </c>
      <c r="CZ71" s="23">
        <f t="shared" si="537"/>
        <v>-51760.348770889868</v>
      </c>
      <c r="DA71" s="23">
        <f t="shared" si="537"/>
        <v>-50223.546940555389</v>
      </c>
      <c r="DB71" s="55">
        <f t="shared" si="537"/>
        <v>-202606.39946210996</v>
      </c>
    </row>
    <row r="72" spans="1:106" ht="11.25" customHeight="1" x14ac:dyDescent="0.35">
      <c r="A72" s="176" t="s">
        <v>115</v>
      </c>
      <c r="B72" s="23">
        <f t="shared" ref="B72:AE72" si="538">B43</f>
        <v>0</v>
      </c>
      <c r="C72" s="23">
        <f t="shared" si="538"/>
        <v>0</v>
      </c>
      <c r="D72" s="23">
        <f t="shared" si="538"/>
        <v>0</v>
      </c>
      <c r="E72" s="23">
        <f t="shared" si="538"/>
        <v>0</v>
      </c>
      <c r="F72" s="55">
        <f t="shared" si="538"/>
        <v>0</v>
      </c>
      <c r="G72" s="23">
        <f t="shared" si="538"/>
        <v>0</v>
      </c>
      <c r="H72" s="23">
        <f t="shared" si="538"/>
        <v>0</v>
      </c>
      <c r="I72" s="23">
        <f t="shared" si="538"/>
        <v>0</v>
      </c>
      <c r="J72" s="23">
        <f t="shared" si="538"/>
        <v>0</v>
      </c>
      <c r="K72" s="55">
        <f t="shared" si="538"/>
        <v>0</v>
      </c>
      <c r="L72" s="23">
        <f t="shared" si="538"/>
        <v>0</v>
      </c>
      <c r="M72" s="23">
        <f t="shared" si="538"/>
        <v>0</v>
      </c>
      <c r="N72" s="23">
        <f t="shared" si="538"/>
        <v>0</v>
      </c>
      <c r="O72" s="23">
        <f t="shared" si="538"/>
        <v>0</v>
      </c>
      <c r="P72" s="55">
        <f t="shared" si="538"/>
        <v>0</v>
      </c>
      <c r="Q72" s="23">
        <f t="shared" si="538"/>
        <v>0</v>
      </c>
      <c r="R72" s="23">
        <f t="shared" si="538"/>
        <v>0</v>
      </c>
      <c r="S72" s="23">
        <f t="shared" si="538"/>
        <v>0</v>
      </c>
      <c r="T72" s="23">
        <f t="shared" si="538"/>
        <v>0</v>
      </c>
      <c r="U72" s="55">
        <f t="shared" si="538"/>
        <v>0</v>
      </c>
      <c r="V72" s="23">
        <f t="shared" si="538"/>
        <v>0</v>
      </c>
      <c r="W72" s="23">
        <f t="shared" si="538"/>
        <v>0</v>
      </c>
      <c r="X72" s="23">
        <f t="shared" si="538"/>
        <v>0</v>
      </c>
      <c r="Y72" s="23">
        <f t="shared" si="538"/>
        <v>0</v>
      </c>
      <c r="Z72" s="55">
        <f t="shared" si="538"/>
        <v>0</v>
      </c>
      <c r="AA72" s="23">
        <f t="shared" si="538"/>
        <v>0</v>
      </c>
      <c r="AB72" s="23">
        <f t="shared" si="538"/>
        <v>0</v>
      </c>
      <c r="AC72" s="23">
        <f t="shared" si="538"/>
        <v>0</v>
      </c>
      <c r="AD72" s="23">
        <f t="shared" si="538"/>
        <v>0</v>
      </c>
      <c r="AE72" s="55">
        <f t="shared" si="538"/>
        <v>0</v>
      </c>
      <c r="AF72" s="23">
        <f t="shared" ref="AF72:AG72" si="539">AF43</f>
        <v>0</v>
      </c>
      <c r="AG72" s="23">
        <f t="shared" si="539"/>
        <v>0</v>
      </c>
      <c r="AH72" s="23">
        <f t="shared" ref="AH72:BM72" si="540">AH43</f>
        <v>0</v>
      </c>
      <c r="AI72" s="23">
        <f t="shared" si="540"/>
        <v>0</v>
      </c>
      <c r="AJ72" s="55">
        <f t="shared" si="540"/>
        <v>0</v>
      </c>
      <c r="AK72" s="23">
        <f t="shared" si="540"/>
        <v>-1288.9079999999999</v>
      </c>
      <c r="AL72" s="23">
        <f t="shared" si="540"/>
        <v>1501</v>
      </c>
      <c r="AM72" s="23">
        <f t="shared" si="540"/>
        <v>-12400</v>
      </c>
      <c r="AN72" s="23">
        <f t="shared" si="540"/>
        <v>-3753.424</v>
      </c>
      <c r="AO72" s="55">
        <f t="shared" si="540"/>
        <v>-15941.331999999999</v>
      </c>
      <c r="AP72" s="23">
        <f t="shared" si="540"/>
        <v>-652.35</v>
      </c>
      <c r="AQ72" s="23">
        <f t="shared" si="540"/>
        <v>-8289.8289999999997</v>
      </c>
      <c r="AR72" s="23">
        <f t="shared" si="540"/>
        <v>-17211.594000000001</v>
      </c>
      <c r="AS72" s="23">
        <f t="shared" si="540"/>
        <v>-18858.055</v>
      </c>
      <c r="AT72" s="55">
        <f t="shared" si="540"/>
        <v>-45011.828000000001</v>
      </c>
      <c r="AU72" s="23">
        <f t="shared" si="540"/>
        <v>-5130</v>
      </c>
      <c r="AV72" s="23">
        <f t="shared" si="540"/>
        <v>-12661</v>
      </c>
      <c r="AW72" s="23">
        <f t="shared" si="540"/>
        <v>-9996</v>
      </c>
      <c r="AX72" s="23">
        <f t="shared" si="540"/>
        <v>-16141</v>
      </c>
      <c r="AY72" s="55">
        <f t="shared" si="540"/>
        <v>-43928</v>
      </c>
      <c r="AZ72" s="23">
        <f t="shared" si="540"/>
        <v>-8918</v>
      </c>
      <c r="BA72" s="23">
        <f t="shared" si="540"/>
        <v>-4023</v>
      </c>
      <c r="BB72" s="23">
        <f t="shared" si="540"/>
        <v>-9861</v>
      </c>
      <c r="BC72" s="23">
        <f t="shared" si="540"/>
        <v>-6384</v>
      </c>
      <c r="BD72" s="55">
        <f t="shared" si="540"/>
        <v>-29186</v>
      </c>
      <c r="BE72" s="23">
        <f t="shared" si="540"/>
        <v>-2075</v>
      </c>
      <c r="BF72" s="23">
        <f t="shared" si="540"/>
        <v>1652</v>
      </c>
      <c r="BG72" s="23">
        <f t="shared" si="540"/>
        <v>-7242</v>
      </c>
      <c r="BH72" s="23">
        <f t="shared" si="540"/>
        <v>-7895</v>
      </c>
      <c r="BI72" s="55">
        <f t="shared" si="540"/>
        <v>-15560</v>
      </c>
      <c r="BJ72" s="23">
        <f t="shared" si="540"/>
        <v>-1448</v>
      </c>
      <c r="BK72" s="23">
        <f t="shared" si="540"/>
        <v>-6614</v>
      </c>
      <c r="BL72" s="23">
        <f t="shared" si="540"/>
        <v>-4999</v>
      </c>
      <c r="BM72" s="23">
        <f t="shared" si="540"/>
        <v>-5494</v>
      </c>
      <c r="BN72" s="55">
        <f t="shared" ref="BN72:CS72" si="541">BN43</f>
        <v>-18555</v>
      </c>
      <c r="BO72" s="23">
        <f t="shared" si="541"/>
        <v>-2207</v>
      </c>
      <c r="BP72" s="23">
        <f t="shared" si="541"/>
        <v>-2697</v>
      </c>
      <c r="BQ72" s="23">
        <f t="shared" si="541"/>
        <v>-4671</v>
      </c>
      <c r="BR72" s="23">
        <f t="shared" si="541"/>
        <v>-4271</v>
      </c>
      <c r="BS72" s="55">
        <f t="shared" si="541"/>
        <v>-13846</v>
      </c>
      <c r="BT72" s="23">
        <f t="shared" si="541"/>
        <v>-12829</v>
      </c>
      <c r="BU72" s="23">
        <f t="shared" si="541"/>
        <v>-3035</v>
      </c>
      <c r="BV72" s="23">
        <f t="shared" si="541"/>
        <v>-10017</v>
      </c>
      <c r="BW72" s="23">
        <f t="shared" si="541"/>
        <v>-23088</v>
      </c>
      <c r="BX72" s="55">
        <f t="shared" si="541"/>
        <v>-48969</v>
      </c>
      <c r="BY72" s="23">
        <f t="shared" si="541"/>
        <v>-20189</v>
      </c>
      <c r="BZ72" s="23">
        <f t="shared" si="541"/>
        <v>-30426</v>
      </c>
      <c r="CA72" s="23">
        <f t="shared" si="541"/>
        <v>-27957</v>
      </c>
      <c r="CB72" s="23">
        <f t="shared" ref="CB72" si="542">CB43</f>
        <v>-27112</v>
      </c>
      <c r="CC72" s="55">
        <f t="shared" si="541"/>
        <v>-105684</v>
      </c>
      <c r="CD72" s="23">
        <f t="shared" ref="CD72:CE72" si="543">CD43</f>
        <v>-48319</v>
      </c>
      <c r="CE72" s="23">
        <f t="shared" si="543"/>
        <v>-40740</v>
      </c>
      <c r="CF72" s="23">
        <f t="shared" si="541"/>
        <v>-39381.700000000004</v>
      </c>
      <c r="CG72" s="23">
        <f t="shared" si="541"/>
        <v>-39871.665674415388</v>
      </c>
      <c r="CH72" s="55">
        <f t="shared" si="541"/>
        <v>-168312.3656744154</v>
      </c>
      <c r="CI72" s="23">
        <f t="shared" si="541"/>
        <v>-45322.697486319994</v>
      </c>
      <c r="CJ72" s="23">
        <f t="shared" si="541"/>
        <v>-48498.012843851669</v>
      </c>
      <c r="CK72" s="23">
        <f t="shared" si="541"/>
        <v>-50863.225681081749</v>
      </c>
      <c r="CL72" s="23">
        <f t="shared" si="541"/>
        <v>-52009.958394334833</v>
      </c>
      <c r="CM72" s="55">
        <f t="shared" si="541"/>
        <v>-196693.89440558822</v>
      </c>
      <c r="CN72" s="23">
        <f t="shared" si="541"/>
        <v>-52894.344836339165</v>
      </c>
      <c r="CO72" s="23">
        <f t="shared" si="541"/>
        <v>-55660.697382499908</v>
      </c>
      <c r="CP72" s="23">
        <f t="shared" si="541"/>
        <v>-56935.015956572592</v>
      </c>
      <c r="CQ72" s="23">
        <f t="shared" si="541"/>
        <v>-57093.369802784699</v>
      </c>
      <c r="CR72" s="55">
        <f t="shared" si="541"/>
        <v>-222583.42797819636</v>
      </c>
      <c r="CS72" s="23">
        <f t="shared" si="541"/>
        <v>-57805.347970591305</v>
      </c>
      <c r="CT72" s="23">
        <f t="shared" ref="CT72:DB72" si="544">CT43</f>
        <v>-60148.211390899458</v>
      </c>
      <c r="CU72" s="23">
        <f t="shared" si="544"/>
        <v>-61350.655848374416</v>
      </c>
      <c r="CV72" s="23">
        <f t="shared" si="544"/>
        <v>-61378.607842818565</v>
      </c>
      <c r="CW72" s="55">
        <f t="shared" si="544"/>
        <v>-240682.82305268376</v>
      </c>
      <c r="CX72" s="23">
        <f t="shared" si="544"/>
        <v>-61706.438006035278</v>
      </c>
      <c r="CY72" s="23">
        <f t="shared" si="544"/>
        <v>-63829.481724288285</v>
      </c>
      <c r="CZ72" s="23">
        <f t="shared" si="544"/>
        <v>-64524.218042772889</v>
      </c>
      <c r="DA72" s="23">
        <f t="shared" si="544"/>
        <v>-63772.996143797391</v>
      </c>
      <c r="DB72" s="55">
        <f t="shared" si="544"/>
        <v>-253833.13391689383</v>
      </c>
    </row>
    <row r="73" spans="1:106" s="11" customFormat="1" ht="11.25" customHeight="1" x14ac:dyDescent="0.35">
      <c r="A73" s="175" t="s">
        <v>122</v>
      </c>
      <c r="B73" s="46">
        <f t="shared" ref="B73:AE73" si="545">B45</f>
        <v>0</v>
      </c>
      <c r="C73" s="46">
        <f t="shared" si="545"/>
        <v>0</v>
      </c>
      <c r="D73" s="46">
        <f t="shared" si="545"/>
        <v>0</v>
      </c>
      <c r="E73" s="46">
        <f t="shared" si="545"/>
        <v>0</v>
      </c>
      <c r="F73" s="54">
        <f t="shared" si="545"/>
        <v>0</v>
      </c>
      <c r="G73" s="46">
        <f t="shared" si="545"/>
        <v>0</v>
      </c>
      <c r="H73" s="46">
        <f t="shared" si="545"/>
        <v>0</v>
      </c>
      <c r="I73" s="46">
        <f t="shared" si="545"/>
        <v>0</v>
      </c>
      <c r="J73" s="46">
        <f t="shared" si="545"/>
        <v>0</v>
      </c>
      <c r="K73" s="54">
        <f t="shared" si="545"/>
        <v>0</v>
      </c>
      <c r="L73" s="46">
        <f t="shared" si="545"/>
        <v>0</v>
      </c>
      <c r="M73" s="46">
        <f t="shared" si="545"/>
        <v>0</v>
      </c>
      <c r="N73" s="46">
        <f t="shared" si="545"/>
        <v>0</v>
      </c>
      <c r="O73" s="46">
        <f t="shared" si="545"/>
        <v>0</v>
      </c>
      <c r="P73" s="54">
        <f t="shared" si="545"/>
        <v>0</v>
      </c>
      <c r="Q73" s="46">
        <f t="shared" si="545"/>
        <v>0</v>
      </c>
      <c r="R73" s="46">
        <f t="shared" si="545"/>
        <v>0</v>
      </c>
      <c r="S73" s="46">
        <f t="shared" si="545"/>
        <v>0</v>
      </c>
      <c r="T73" s="46">
        <f t="shared" si="545"/>
        <v>0</v>
      </c>
      <c r="U73" s="54">
        <f t="shared" si="545"/>
        <v>0</v>
      </c>
      <c r="V73" s="46">
        <f t="shared" si="545"/>
        <v>0</v>
      </c>
      <c r="W73" s="46">
        <f t="shared" si="545"/>
        <v>0</v>
      </c>
      <c r="X73" s="46">
        <f t="shared" si="545"/>
        <v>0</v>
      </c>
      <c r="Y73" s="46">
        <f t="shared" si="545"/>
        <v>0</v>
      </c>
      <c r="Z73" s="54">
        <f t="shared" si="545"/>
        <v>0</v>
      </c>
      <c r="AA73" s="46">
        <f t="shared" si="545"/>
        <v>0</v>
      </c>
      <c r="AB73" s="46">
        <f t="shared" si="545"/>
        <v>0</v>
      </c>
      <c r="AC73" s="46">
        <f t="shared" si="545"/>
        <v>0</v>
      </c>
      <c r="AD73" s="46">
        <f t="shared" si="545"/>
        <v>0</v>
      </c>
      <c r="AE73" s="54">
        <f t="shared" si="545"/>
        <v>0</v>
      </c>
      <c r="AF73" s="46">
        <f t="shared" ref="AF73:AG73" si="546">AF45</f>
        <v>0</v>
      </c>
      <c r="AG73" s="46">
        <f t="shared" si="546"/>
        <v>0</v>
      </c>
      <c r="AH73" s="46">
        <f t="shared" ref="AH73:BM73" si="547">AH45</f>
        <v>0</v>
      </c>
      <c r="AI73" s="46">
        <f t="shared" si="547"/>
        <v>0</v>
      </c>
      <c r="AJ73" s="54">
        <f t="shared" si="547"/>
        <v>0</v>
      </c>
      <c r="AK73" s="46">
        <f t="shared" si="547"/>
        <v>12644.766000000014</v>
      </c>
      <c r="AL73" s="46">
        <f t="shared" si="547"/>
        <v>19613.649999999961</v>
      </c>
      <c r="AM73" s="46">
        <f t="shared" si="547"/>
        <v>33626.546000000031</v>
      </c>
      <c r="AN73" s="46">
        <f t="shared" si="547"/>
        <v>46949.213000000062</v>
      </c>
      <c r="AO73" s="54">
        <f t="shared" si="547"/>
        <v>112834.17500000006</v>
      </c>
      <c r="AP73" s="46">
        <f t="shared" si="547"/>
        <v>20107.578000000001</v>
      </c>
      <c r="AQ73" s="46">
        <f t="shared" si="547"/>
        <v>31555.25299999999</v>
      </c>
      <c r="AR73" s="46">
        <f t="shared" si="547"/>
        <v>36217.241000000053</v>
      </c>
      <c r="AS73" s="46">
        <f t="shared" si="547"/>
        <v>43119.389999999978</v>
      </c>
      <c r="AT73" s="54">
        <f t="shared" si="547"/>
        <v>130999.46200000003</v>
      </c>
      <c r="AU73" s="46">
        <f t="shared" si="547"/>
        <v>18376</v>
      </c>
      <c r="AV73" s="46">
        <f t="shared" si="547"/>
        <v>61073</v>
      </c>
      <c r="AW73" s="46">
        <f t="shared" si="547"/>
        <v>30308</v>
      </c>
      <c r="AX73" s="46">
        <f t="shared" si="547"/>
        <v>50371</v>
      </c>
      <c r="AY73" s="54">
        <f t="shared" si="547"/>
        <v>160128</v>
      </c>
      <c r="AZ73" s="46">
        <f t="shared" si="547"/>
        <v>6500</v>
      </c>
      <c r="BA73" s="46">
        <f t="shared" si="547"/>
        <v>36989</v>
      </c>
      <c r="BB73" s="46">
        <f t="shared" si="547"/>
        <v>49354</v>
      </c>
      <c r="BC73" s="46">
        <f t="shared" si="547"/>
        <v>67969</v>
      </c>
      <c r="BD73" s="54">
        <f t="shared" si="547"/>
        <v>160812</v>
      </c>
      <c r="BE73" s="46">
        <f t="shared" si="547"/>
        <v>49993</v>
      </c>
      <c r="BF73" s="46">
        <f t="shared" si="547"/>
        <v>78603</v>
      </c>
      <c r="BG73" s="46">
        <f t="shared" si="547"/>
        <v>67405</v>
      </c>
      <c r="BH73" s="46">
        <f t="shared" si="547"/>
        <v>103748</v>
      </c>
      <c r="BI73" s="54">
        <f t="shared" si="547"/>
        <v>299749</v>
      </c>
      <c r="BJ73" s="46">
        <f t="shared" si="547"/>
        <v>61903</v>
      </c>
      <c r="BK73" s="46">
        <f t="shared" si="547"/>
        <v>86325</v>
      </c>
      <c r="BL73" s="46">
        <f t="shared" si="547"/>
        <v>89872</v>
      </c>
      <c r="BM73" s="46">
        <f t="shared" si="547"/>
        <v>91785</v>
      </c>
      <c r="BN73" s="54">
        <f t="shared" ref="BN73:CS73" si="548">BN45</f>
        <v>329885</v>
      </c>
      <c r="BO73" s="46">
        <f t="shared" si="548"/>
        <v>91849</v>
      </c>
      <c r="BP73" s="46">
        <f t="shared" si="548"/>
        <v>121373</v>
      </c>
      <c r="BQ73" s="46">
        <f t="shared" si="548"/>
        <v>108220</v>
      </c>
      <c r="BR73" s="46">
        <f t="shared" si="548"/>
        <v>160323</v>
      </c>
      <c r="BS73" s="54">
        <f t="shared" si="548"/>
        <v>481765</v>
      </c>
      <c r="BT73" s="46">
        <f t="shared" si="548"/>
        <v>141241</v>
      </c>
      <c r="BU73" s="46">
        <f t="shared" si="548"/>
        <v>172247</v>
      </c>
      <c r="BV73" s="46">
        <f t="shared" si="548"/>
        <v>170571</v>
      </c>
      <c r="BW73" s="46">
        <f t="shared" si="548"/>
        <v>165784</v>
      </c>
      <c r="BX73" s="54">
        <f t="shared" si="548"/>
        <v>649843</v>
      </c>
      <c r="BY73" s="46">
        <f t="shared" si="548"/>
        <v>213475</v>
      </c>
      <c r="BZ73" s="46">
        <f t="shared" si="548"/>
        <v>236731</v>
      </c>
      <c r="CA73" s="46">
        <f t="shared" si="548"/>
        <v>255253</v>
      </c>
      <c r="CB73" s="46">
        <f t="shared" ref="CB73" si="549">CB45</f>
        <v>270077</v>
      </c>
      <c r="CC73" s="54">
        <f t="shared" si="548"/>
        <v>975536</v>
      </c>
      <c r="CD73" s="46">
        <f t="shared" ref="CD73:CE73" si="550">CD45</f>
        <v>302867</v>
      </c>
      <c r="CE73" s="46">
        <f t="shared" si="550"/>
        <v>270451</v>
      </c>
      <c r="CF73" s="46">
        <f t="shared" ca="1" si="548"/>
        <v>305546.49957986851</v>
      </c>
      <c r="CG73" s="46">
        <f t="shared" ca="1" si="548"/>
        <v>336750.65087304276</v>
      </c>
      <c r="CH73" s="54">
        <f t="shared" ca="1" si="548"/>
        <v>1215615.1504529114</v>
      </c>
      <c r="CI73" s="46">
        <f t="shared" ca="1" si="548"/>
        <v>346186.54428515316</v>
      </c>
      <c r="CJ73" s="46">
        <f t="shared" ca="1" si="548"/>
        <v>375590.26855740021</v>
      </c>
      <c r="CK73" s="46">
        <f t="shared" ca="1" si="548"/>
        <v>409313.89377156331</v>
      </c>
      <c r="CL73" s="46">
        <f t="shared" ca="1" si="548"/>
        <v>397847.95739255287</v>
      </c>
      <c r="CM73" s="54">
        <f t="shared" ca="1" si="548"/>
        <v>1528938.6640066695</v>
      </c>
      <c r="CN73" s="46">
        <f t="shared" ca="1" si="548"/>
        <v>450109.67411021976</v>
      </c>
      <c r="CO73" s="46">
        <f t="shared" ca="1" si="548"/>
        <v>436907.9537099303</v>
      </c>
      <c r="CP73" s="46">
        <f t="shared" ca="1" si="548"/>
        <v>457635.31386542699</v>
      </c>
      <c r="CQ73" s="46">
        <f t="shared" ca="1" si="548"/>
        <v>460447.14029042103</v>
      </c>
      <c r="CR73" s="54">
        <f t="shared" ca="1" si="548"/>
        <v>1805100.0819759979</v>
      </c>
      <c r="CS73" s="46">
        <f t="shared" ca="1" si="548"/>
        <v>486049.85782481497</v>
      </c>
      <c r="CT73" s="46">
        <f t="shared" ref="CT73:DB73" ca="1" si="551">CT45</f>
        <v>464070.15105256968</v>
      </c>
      <c r="CU73" s="46">
        <f t="shared" ca="1" si="551"/>
        <v>479834.49639250914</v>
      </c>
      <c r="CV73" s="46">
        <f t="shared" ca="1" si="551"/>
        <v>479795.81576968374</v>
      </c>
      <c r="CW73" s="54">
        <f t="shared" ca="1" si="551"/>
        <v>1909750.3210395777</v>
      </c>
      <c r="CX73" s="46">
        <f t="shared" ca="1" si="551"/>
        <v>514659.466587106</v>
      </c>
      <c r="CY73" s="46">
        <f t="shared" ca="1" si="551"/>
        <v>490408.21206938894</v>
      </c>
      <c r="CZ73" s="46">
        <f t="shared" ca="1" si="551"/>
        <v>505440.64165165828</v>
      </c>
      <c r="DA73" s="46">
        <f t="shared" ca="1" si="551"/>
        <v>504526.8402182227</v>
      </c>
      <c r="DB73" s="54">
        <f t="shared" ca="1" si="551"/>
        <v>2015035.160526376</v>
      </c>
    </row>
    <row r="74" spans="1:106" s="11" customFormat="1" ht="11.25" customHeight="1" outlineLevel="1" x14ac:dyDescent="0.35">
      <c r="A74" s="172" t="s">
        <v>123</v>
      </c>
      <c r="B74" s="47">
        <f t="shared" ref="B74:AE74" si="552">B73-B33-B36</f>
        <v>0</v>
      </c>
      <c r="C74" s="47">
        <f t="shared" si="552"/>
        <v>0</v>
      </c>
      <c r="D74" s="47">
        <f t="shared" si="552"/>
        <v>0</v>
      </c>
      <c r="E74" s="47">
        <f t="shared" si="552"/>
        <v>0</v>
      </c>
      <c r="F74" s="48">
        <f t="shared" si="552"/>
        <v>0</v>
      </c>
      <c r="G74" s="47">
        <f t="shared" si="552"/>
        <v>0</v>
      </c>
      <c r="H74" s="47">
        <f t="shared" si="552"/>
        <v>0</v>
      </c>
      <c r="I74" s="47">
        <f t="shared" si="552"/>
        <v>0</v>
      </c>
      <c r="J74" s="47">
        <f t="shared" si="552"/>
        <v>0</v>
      </c>
      <c r="K74" s="48">
        <f t="shared" si="552"/>
        <v>0</v>
      </c>
      <c r="L74" s="47">
        <f t="shared" si="552"/>
        <v>0</v>
      </c>
      <c r="M74" s="47">
        <f t="shared" si="552"/>
        <v>0</v>
      </c>
      <c r="N74" s="47">
        <f t="shared" si="552"/>
        <v>0</v>
      </c>
      <c r="O74" s="47">
        <f t="shared" si="552"/>
        <v>0</v>
      </c>
      <c r="P74" s="48">
        <f t="shared" si="552"/>
        <v>0</v>
      </c>
      <c r="Q74" s="47">
        <f t="shared" si="552"/>
        <v>0</v>
      </c>
      <c r="R74" s="47">
        <f t="shared" si="552"/>
        <v>0</v>
      </c>
      <c r="S74" s="47">
        <f t="shared" si="552"/>
        <v>0</v>
      </c>
      <c r="T74" s="47">
        <f t="shared" si="552"/>
        <v>0</v>
      </c>
      <c r="U74" s="48">
        <f t="shared" si="552"/>
        <v>0</v>
      </c>
      <c r="V74" s="47">
        <f t="shared" si="552"/>
        <v>0</v>
      </c>
      <c r="W74" s="47">
        <f t="shared" si="552"/>
        <v>0</v>
      </c>
      <c r="X74" s="47">
        <f t="shared" si="552"/>
        <v>0</v>
      </c>
      <c r="Y74" s="47">
        <f t="shared" si="552"/>
        <v>0</v>
      </c>
      <c r="Z74" s="48">
        <f t="shared" si="552"/>
        <v>0</v>
      </c>
      <c r="AA74" s="47">
        <f t="shared" si="552"/>
        <v>0</v>
      </c>
      <c r="AB74" s="47">
        <f t="shared" si="552"/>
        <v>0</v>
      </c>
      <c r="AC74" s="47">
        <f t="shared" si="552"/>
        <v>0</v>
      </c>
      <c r="AD74" s="47">
        <f t="shared" si="552"/>
        <v>0</v>
      </c>
      <c r="AE74" s="48">
        <f t="shared" si="552"/>
        <v>0</v>
      </c>
      <c r="AF74" s="47">
        <f t="shared" ref="AF74:AG74" si="553">AF73-AF33-AF36</f>
        <v>0</v>
      </c>
      <c r="AG74" s="47">
        <f t="shared" si="553"/>
        <v>0</v>
      </c>
      <c r="AH74" s="47">
        <f t="shared" ref="AH74:BM74" si="554">AH73-AH33-AH36</f>
        <v>0</v>
      </c>
      <c r="AI74" s="47">
        <f t="shared" si="554"/>
        <v>0</v>
      </c>
      <c r="AJ74" s="48">
        <f t="shared" si="554"/>
        <v>0</v>
      </c>
      <c r="AK74" s="47">
        <f t="shared" si="554"/>
        <v>12644.766000000014</v>
      </c>
      <c r="AL74" s="47">
        <f t="shared" si="554"/>
        <v>19613.649999999961</v>
      </c>
      <c r="AM74" s="47">
        <f t="shared" si="554"/>
        <v>33626.546000000031</v>
      </c>
      <c r="AN74" s="47">
        <f t="shared" si="554"/>
        <v>46949.213000000062</v>
      </c>
      <c r="AO74" s="48">
        <f t="shared" si="554"/>
        <v>112834.17500000006</v>
      </c>
      <c r="AP74" s="47">
        <f t="shared" si="554"/>
        <v>20107.578000000001</v>
      </c>
      <c r="AQ74" s="47">
        <f t="shared" si="554"/>
        <v>31555.25299999999</v>
      </c>
      <c r="AR74" s="47">
        <f t="shared" si="554"/>
        <v>36217.241000000053</v>
      </c>
      <c r="AS74" s="47">
        <f t="shared" si="554"/>
        <v>43119.389999999978</v>
      </c>
      <c r="AT74" s="48">
        <f t="shared" si="554"/>
        <v>130999.46200000003</v>
      </c>
      <c r="AU74" s="47">
        <f t="shared" si="554"/>
        <v>18376</v>
      </c>
      <c r="AV74" s="47">
        <f t="shared" si="554"/>
        <v>61073</v>
      </c>
      <c r="AW74" s="47">
        <f t="shared" si="554"/>
        <v>30308</v>
      </c>
      <c r="AX74" s="47">
        <f t="shared" si="554"/>
        <v>50371</v>
      </c>
      <c r="AY74" s="48">
        <f t="shared" si="554"/>
        <v>160128</v>
      </c>
      <c r="AZ74" s="47">
        <f t="shared" si="554"/>
        <v>6500</v>
      </c>
      <c r="BA74" s="47">
        <f t="shared" si="554"/>
        <v>36989</v>
      </c>
      <c r="BB74" s="47">
        <f t="shared" si="554"/>
        <v>49354</v>
      </c>
      <c r="BC74" s="47">
        <f t="shared" si="554"/>
        <v>67969</v>
      </c>
      <c r="BD74" s="48">
        <f t="shared" si="554"/>
        <v>160812</v>
      </c>
      <c r="BE74" s="47">
        <f t="shared" si="554"/>
        <v>49993</v>
      </c>
      <c r="BF74" s="47">
        <f t="shared" si="554"/>
        <v>78603</v>
      </c>
      <c r="BG74" s="47">
        <f t="shared" si="554"/>
        <v>67405</v>
      </c>
      <c r="BH74" s="47">
        <f t="shared" si="554"/>
        <v>103748</v>
      </c>
      <c r="BI74" s="48">
        <f t="shared" si="554"/>
        <v>299749</v>
      </c>
      <c r="BJ74" s="47">
        <f t="shared" si="554"/>
        <v>61903</v>
      </c>
      <c r="BK74" s="47">
        <f t="shared" si="554"/>
        <v>86325</v>
      </c>
      <c r="BL74" s="47">
        <f t="shared" si="554"/>
        <v>89872</v>
      </c>
      <c r="BM74" s="47">
        <f t="shared" si="554"/>
        <v>91785</v>
      </c>
      <c r="BN74" s="48">
        <f t="shared" ref="BN74:CS74" si="555">BN73-BN33-BN36</f>
        <v>329885</v>
      </c>
      <c r="BO74" s="47">
        <f t="shared" si="555"/>
        <v>91849</v>
      </c>
      <c r="BP74" s="47">
        <f t="shared" si="555"/>
        <v>121373</v>
      </c>
      <c r="BQ74" s="47">
        <f t="shared" si="555"/>
        <v>108220</v>
      </c>
      <c r="BR74" s="47">
        <f t="shared" si="555"/>
        <v>160323</v>
      </c>
      <c r="BS74" s="48">
        <f t="shared" si="555"/>
        <v>481765</v>
      </c>
      <c r="BT74" s="47">
        <f t="shared" si="555"/>
        <v>141241</v>
      </c>
      <c r="BU74" s="47">
        <f t="shared" si="555"/>
        <v>172247</v>
      </c>
      <c r="BV74" s="47">
        <f t="shared" si="555"/>
        <v>170571</v>
      </c>
      <c r="BW74" s="47">
        <f t="shared" si="555"/>
        <v>165784</v>
      </c>
      <c r="BX74" s="48">
        <f t="shared" si="555"/>
        <v>649843</v>
      </c>
      <c r="BY74" s="47">
        <f t="shared" si="555"/>
        <v>213475</v>
      </c>
      <c r="BZ74" s="47">
        <f t="shared" si="555"/>
        <v>236731</v>
      </c>
      <c r="CA74" s="47">
        <f t="shared" si="555"/>
        <v>255253</v>
      </c>
      <c r="CB74" s="47">
        <f t="shared" ref="CB74" si="556">CB73-CB33-CB36</f>
        <v>270077</v>
      </c>
      <c r="CC74" s="48">
        <f t="shared" si="555"/>
        <v>975536</v>
      </c>
      <c r="CD74" s="47">
        <f t="shared" ref="CD74:CE74" si="557">CD73-CD33-CD36</f>
        <v>302867</v>
      </c>
      <c r="CE74" s="47">
        <f t="shared" si="557"/>
        <v>270451</v>
      </c>
      <c r="CF74" s="47">
        <f t="shared" ca="1" si="555"/>
        <v>305546.49957986851</v>
      </c>
      <c r="CG74" s="47">
        <f t="shared" ca="1" si="555"/>
        <v>336750.65087304276</v>
      </c>
      <c r="CH74" s="48">
        <f t="shared" ca="1" si="555"/>
        <v>1215615.1504529114</v>
      </c>
      <c r="CI74" s="47">
        <f t="shared" ca="1" si="555"/>
        <v>346186.54428515316</v>
      </c>
      <c r="CJ74" s="47">
        <f t="shared" ca="1" si="555"/>
        <v>375590.26855740021</v>
      </c>
      <c r="CK74" s="47">
        <f t="shared" ca="1" si="555"/>
        <v>409313.89377156331</v>
      </c>
      <c r="CL74" s="47">
        <f t="shared" ca="1" si="555"/>
        <v>397847.95739255287</v>
      </c>
      <c r="CM74" s="48">
        <f t="shared" ca="1" si="555"/>
        <v>1528938.6640066695</v>
      </c>
      <c r="CN74" s="47">
        <f t="shared" ca="1" si="555"/>
        <v>450109.67411021976</v>
      </c>
      <c r="CO74" s="47">
        <f t="shared" ca="1" si="555"/>
        <v>436907.9537099303</v>
      </c>
      <c r="CP74" s="47">
        <f t="shared" ca="1" si="555"/>
        <v>457635.31386542699</v>
      </c>
      <c r="CQ74" s="47">
        <f t="shared" ca="1" si="555"/>
        <v>460447.14029042103</v>
      </c>
      <c r="CR74" s="48">
        <f t="shared" ca="1" si="555"/>
        <v>1805100.0819759979</v>
      </c>
      <c r="CS74" s="47">
        <f t="shared" ca="1" si="555"/>
        <v>486049.85782481497</v>
      </c>
      <c r="CT74" s="47">
        <f t="shared" ref="CT74:DB74" ca="1" si="558">CT73-CT33-CT36</f>
        <v>464070.15105256968</v>
      </c>
      <c r="CU74" s="47">
        <f t="shared" ca="1" si="558"/>
        <v>479834.49639250914</v>
      </c>
      <c r="CV74" s="47">
        <f t="shared" ca="1" si="558"/>
        <v>479795.81576968374</v>
      </c>
      <c r="CW74" s="48">
        <f t="shared" ca="1" si="558"/>
        <v>1909750.3210395777</v>
      </c>
      <c r="CX74" s="47">
        <f t="shared" ca="1" si="558"/>
        <v>514659.466587106</v>
      </c>
      <c r="CY74" s="47">
        <f t="shared" ca="1" si="558"/>
        <v>490408.21206938894</v>
      </c>
      <c r="CZ74" s="47">
        <f t="shared" ca="1" si="558"/>
        <v>505440.64165165828</v>
      </c>
      <c r="DA74" s="47">
        <f t="shared" ca="1" si="558"/>
        <v>504526.8402182227</v>
      </c>
      <c r="DB74" s="48">
        <f t="shared" ca="1" si="558"/>
        <v>2015035.160526376</v>
      </c>
    </row>
    <row r="75" spans="1:106" s="11" customFormat="1" ht="11.25" customHeight="1" x14ac:dyDescent="0.35">
      <c r="A75" s="175"/>
      <c r="B75" s="46"/>
      <c r="C75" s="46"/>
      <c r="D75" s="46"/>
      <c r="E75" s="46"/>
      <c r="F75" s="54"/>
      <c r="G75" s="46"/>
      <c r="H75" s="46"/>
      <c r="I75" s="46"/>
      <c r="J75" s="46"/>
      <c r="K75" s="54"/>
      <c r="L75" s="46"/>
      <c r="M75" s="46"/>
      <c r="N75" s="46"/>
      <c r="O75" s="46"/>
      <c r="P75" s="54"/>
      <c r="Q75" s="46"/>
      <c r="R75" s="46"/>
      <c r="S75" s="46"/>
      <c r="T75" s="46"/>
      <c r="U75" s="54"/>
      <c r="V75" s="46"/>
      <c r="W75" s="46"/>
      <c r="X75" s="46"/>
      <c r="Y75" s="46"/>
      <c r="Z75" s="54"/>
      <c r="AA75" s="46"/>
      <c r="AB75" s="46"/>
      <c r="AC75" s="46"/>
      <c r="AD75" s="46"/>
      <c r="AE75" s="54"/>
      <c r="AF75" s="46"/>
      <c r="AG75" s="46"/>
      <c r="AH75" s="46"/>
      <c r="AI75" s="46"/>
      <c r="AJ75" s="54"/>
      <c r="AK75" s="46"/>
      <c r="AL75" s="46"/>
      <c r="AM75" s="46"/>
      <c r="AN75" s="46"/>
      <c r="AO75" s="54"/>
      <c r="AP75" s="46"/>
      <c r="AQ75" s="46"/>
      <c r="AR75" s="46"/>
      <c r="AS75" s="46"/>
      <c r="AT75" s="54"/>
      <c r="AU75" s="46"/>
      <c r="AV75" s="46"/>
      <c r="AW75" s="46"/>
      <c r="AX75" s="46"/>
      <c r="AY75" s="54"/>
      <c r="AZ75" s="46"/>
      <c r="BA75" s="46"/>
      <c r="BB75" s="46"/>
      <c r="BC75" s="46"/>
      <c r="BD75" s="54"/>
      <c r="BE75" s="46"/>
      <c r="BF75" s="46"/>
      <c r="BG75" s="46"/>
      <c r="BH75" s="46"/>
      <c r="BI75" s="54"/>
      <c r="BJ75" s="46"/>
      <c r="BK75" s="46"/>
      <c r="BL75" s="46"/>
      <c r="BM75" s="46"/>
      <c r="BN75" s="54"/>
      <c r="BO75" s="46"/>
      <c r="BP75" s="46"/>
      <c r="BQ75" s="46"/>
      <c r="BR75" s="46"/>
      <c r="BS75" s="54"/>
      <c r="BT75" s="46"/>
      <c r="BU75" s="46"/>
      <c r="BV75" s="46"/>
      <c r="BW75" s="46"/>
      <c r="BX75" s="54"/>
      <c r="BY75" s="46"/>
      <c r="BZ75" s="46"/>
      <c r="CA75" s="46"/>
      <c r="CB75" s="46"/>
      <c r="CC75" s="54"/>
      <c r="CD75" s="46"/>
      <c r="CE75" s="46"/>
      <c r="CF75" s="46"/>
      <c r="CG75" s="46"/>
      <c r="CH75" s="54"/>
      <c r="CI75" s="46"/>
      <c r="CJ75" s="46"/>
      <c r="CK75" s="46"/>
      <c r="CL75" s="46"/>
      <c r="CM75" s="54"/>
      <c r="CN75" s="46"/>
      <c r="CO75" s="46"/>
      <c r="CP75" s="46"/>
      <c r="CQ75" s="46"/>
      <c r="CR75" s="619">
        <f>CR77-CM77</f>
        <v>-1.1795953953436855E-2</v>
      </c>
      <c r="CS75" s="46"/>
      <c r="CT75" s="46"/>
      <c r="CU75" s="46"/>
      <c r="CV75" s="46"/>
      <c r="CW75" s="54"/>
      <c r="CX75" s="46"/>
      <c r="CY75" s="46"/>
      <c r="CZ75" s="46"/>
      <c r="DA75" s="46"/>
      <c r="DB75" s="54"/>
    </row>
    <row r="76" spans="1:106" s="11" customFormat="1" ht="11.25" customHeight="1" thickBot="1" x14ac:dyDescent="0.4">
      <c r="A76" s="119" t="s">
        <v>54</v>
      </c>
      <c r="B76" s="124" t="str">
        <f>Macro!B$3</f>
        <v>1Q10</v>
      </c>
      <c r="C76" s="124" t="str">
        <f>Macro!C$3</f>
        <v>2Q10</v>
      </c>
      <c r="D76" s="124" t="str">
        <f>Macro!D$3</f>
        <v>3Q10</v>
      </c>
      <c r="E76" s="125" t="str">
        <f>Macro!E$3</f>
        <v>4Q10</v>
      </c>
      <c r="F76" s="126" t="str">
        <f>Macro!F$3</f>
        <v>2010</v>
      </c>
      <c r="G76" s="124" t="str">
        <f>Macro!G$3</f>
        <v>1Q11</v>
      </c>
      <c r="H76" s="124" t="str">
        <f>Macro!H$3</f>
        <v>2Q11</v>
      </c>
      <c r="I76" s="124" t="str">
        <f>Macro!I$3</f>
        <v>3Q11</v>
      </c>
      <c r="J76" s="125" t="str">
        <f>Macro!J$3</f>
        <v>4Q11</v>
      </c>
      <c r="K76" s="126" t="str">
        <f>Macro!K$3</f>
        <v>2011</v>
      </c>
      <c r="L76" s="124" t="str">
        <f>Macro!L$3</f>
        <v>1Q12</v>
      </c>
      <c r="M76" s="124" t="str">
        <f>Macro!M$3</f>
        <v>2Q12</v>
      </c>
      <c r="N76" s="124" t="str">
        <f>Macro!N$3</f>
        <v>3Q12</v>
      </c>
      <c r="O76" s="125" t="str">
        <f>Macro!O$3</f>
        <v>4Q12</v>
      </c>
      <c r="P76" s="126" t="str">
        <f>Macro!P$3</f>
        <v>2012</v>
      </c>
      <c r="Q76" s="124" t="str">
        <f>Macro!Q$3</f>
        <v>1Q13</v>
      </c>
      <c r="R76" s="124" t="str">
        <f>Macro!R$3</f>
        <v>2Q13</v>
      </c>
      <c r="S76" s="124" t="str">
        <f>Macro!S$3</f>
        <v>3Q13</v>
      </c>
      <c r="T76" s="125" t="str">
        <f>Macro!T$3</f>
        <v>4Q13</v>
      </c>
      <c r="U76" s="126" t="str">
        <f>Macro!U$3</f>
        <v>2013</v>
      </c>
      <c r="V76" s="124" t="str">
        <f>Macro!V$3</f>
        <v>1Q14</v>
      </c>
      <c r="W76" s="124" t="str">
        <f>Macro!W$3</f>
        <v>2Q14</v>
      </c>
      <c r="X76" s="124" t="str">
        <f>Macro!X$3</f>
        <v>3Q14</v>
      </c>
      <c r="Y76" s="125" t="str">
        <f>Macro!Y$3</f>
        <v>4Q14</v>
      </c>
      <c r="Z76" s="126" t="str">
        <f>Macro!Z$3</f>
        <v>2014</v>
      </c>
      <c r="AA76" s="124" t="str">
        <f>Macro!AA$3</f>
        <v>1Q15</v>
      </c>
      <c r="AB76" s="124" t="str">
        <f>Macro!AB$3</f>
        <v>2Q15</v>
      </c>
      <c r="AC76" s="124" t="str">
        <f>Macro!AC$3</f>
        <v>3Q15</v>
      </c>
      <c r="AD76" s="125" t="str">
        <f>Macro!AD$3</f>
        <v>4Q15</v>
      </c>
      <c r="AE76" s="126" t="str">
        <f>Macro!AE$3</f>
        <v>2015</v>
      </c>
      <c r="AF76" s="124" t="str">
        <f>Macro!AF$3</f>
        <v>1Q16</v>
      </c>
      <c r="AG76" s="124" t="str">
        <f>Macro!AG$3</f>
        <v>2Q16</v>
      </c>
      <c r="AH76" s="124" t="str">
        <f>Macro!AH$3</f>
        <v>3Q16</v>
      </c>
      <c r="AI76" s="125" t="str">
        <f>Macro!AI$3</f>
        <v>4Q16</v>
      </c>
      <c r="AJ76" s="126" t="str">
        <f>Macro!AJ$3</f>
        <v>2016</v>
      </c>
      <c r="AK76" s="124" t="str">
        <f>Macro!AK$3</f>
        <v>1Q17</v>
      </c>
      <c r="AL76" s="124" t="str">
        <f>Macro!AL$3</f>
        <v>2Q17</v>
      </c>
      <c r="AM76" s="124" t="str">
        <f>Macro!AM$3</f>
        <v>3Q17</v>
      </c>
      <c r="AN76" s="125" t="str">
        <f>Macro!AN$3</f>
        <v>4Q17</v>
      </c>
      <c r="AO76" s="126" t="str">
        <f>Macro!AO$3</f>
        <v>2017</v>
      </c>
      <c r="AP76" s="124" t="str">
        <f>Macro!AP$3</f>
        <v>1Q18</v>
      </c>
      <c r="AQ76" s="124" t="str">
        <f>Macro!AQ$3</f>
        <v>2Q18</v>
      </c>
      <c r="AR76" s="124" t="str">
        <f>Macro!AR$3</f>
        <v>3Q18</v>
      </c>
      <c r="AS76" s="125" t="str">
        <f>Macro!AS$3</f>
        <v>4Q18</v>
      </c>
      <c r="AT76" s="126" t="str">
        <f>Macro!AT$3</f>
        <v>2018</v>
      </c>
      <c r="AU76" s="124" t="str">
        <f>Macro!AU$3</f>
        <v>1Q19</v>
      </c>
      <c r="AV76" s="124" t="str">
        <f>Macro!AV$3</f>
        <v>2Q19</v>
      </c>
      <c r="AW76" s="124" t="str">
        <f>Macro!AW$3</f>
        <v>3Q19</v>
      </c>
      <c r="AX76" s="125" t="str">
        <f>Macro!AX$3</f>
        <v>4Q19</v>
      </c>
      <c r="AY76" s="126" t="str">
        <f>Macro!AY$3</f>
        <v>2019</v>
      </c>
      <c r="AZ76" s="124" t="str">
        <f>Macro!AZ$3</f>
        <v>1Q20</v>
      </c>
      <c r="BA76" s="124" t="str">
        <f>Macro!BA$3</f>
        <v>2Q20</v>
      </c>
      <c r="BB76" s="124" t="str">
        <f>Macro!BB$3</f>
        <v>3Q20</v>
      </c>
      <c r="BC76" s="125" t="str">
        <f>Macro!BC$3</f>
        <v>4Q20</v>
      </c>
      <c r="BD76" s="126" t="str">
        <f>Macro!BD$3</f>
        <v>2020</v>
      </c>
      <c r="BE76" s="124" t="str">
        <f>Macro!BE$3</f>
        <v>1Q21</v>
      </c>
      <c r="BF76" s="124" t="str">
        <f>Macro!BF$3</f>
        <v>2Q21</v>
      </c>
      <c r="BG76" s="124" t="str">
        <f>Macro!BG$3</f>
        <v>3Q21</v>
      </c>
      <c r="BH76" s="125" t="str">
        <f>Macro!BH$3</f>
        <v>4Q21</v>
      </c>
      <c r="BI76" s="126" t="str">
        <f>Macro!BI$3</f>
        <v>2021</v>
      </c>
      <c r="BJ76" s="124" t="str">
        <f>Macro!BJ$3</f>
        <v>1Q22</v>
      </c>
      <c r="BK76" s="124" t="str">
        <f>Macro!BK$3</f>
        <v>2Q22</v>
      </c>
      <c r="BL76" s="124" t="str">
        <f>Macro!BL$3</f>
        <v>3Q22</v>
      </c>
      <c r="BM76" s="125" t="str">
        <f>Macro!BM$3</f>
        <v>4Q22</v>
      </c>
      <c r="BN76" s="126" t="str">
        <f>Macro!BN$3</f>
        <v>2022</v>
      </c>
      <c r="BO76" s="124" t="str">
        <f>Macro!BO$3</f>
        <v>1Q23</v>
      </c>
      <c r="BP76" s="124" t="str">
        <f>Macro!BP$3</f>
        <v>2Q23</v>
      </c>
      <c r="BQ76" s="124" t="str">
        <f>Macro!BQ$3</f>
        <v>3Q23</v>
      </c>
      <c r="BR76" s="125" t="str">
        <f>Macro!BR$3</f>
        <v>4Q23</v>
      </c>
      <c r="BS76" s="126" t="str">
        <f>Macro!BS$3</f>
        <v>2023</v>
      </c>
      <c r="BT76" s="124" t="str">
        <f>Macro!BT$3</f>
        <v>1Q24</v>
      </c>
      <c r="BU76" s="124" t="str">
        <f>Macro!BU$3</f>
        <v>2Q24</v>
      </c>
      <c r="BV76" s="124" t="str">
        <f>Macro!BV$3</f>
        <v>3Q24</v>
      </c>
      <c r="BW76" s="125" t="str">
        <f>Macro!BW$3</f>
        <v>4Q24</v>
      </c>
      <c r="BX76" s="126" t="str">
        <f>Macro!BX$3</f>
        <v>2024</v>
      </c>
      <c r="BY76" s="124" t="str">
        <f>Macro!BY$3</f>
        <v>1Q25</v>
      </c>
      <c r="BZ76" s="120" t="str">
        <f>Macro!BZ$3</f>
        <v>2Q25</v>
      </c>
      <c r="CA76" s="120" t="str">
        <f>Macro!CA$3</f>
        <v>3Q25</v>
      </c>
      <c r="CB76" s="120" t="str">
        <f>Macro!CB$3</f>
        <v>4Q25</v>
      </c>
      <c r="CC76" s="121" t="str">
        <f>Macro!CC$3</f>
        <v>2025</v>
      </c>
      <c r="CD76" s="120" t="str">
        <f>Macro!CD$3</f>
        <v>1Q26</v>
      </c>
      <c r="CE76" s="120" t="str">
        <f>Macro!CE$3</f>
        <v>2Q26E</v>
      </c>
      <c r="CF76" s="120" t="str">
        <f>Macro!CF$3</f>
        <v>3Q26E</v>
      </c>
      <c r="CG76" s="120" t="str">
        <f>Macro!CG$3</f>
        <v>4Q26E</v>
      </c>
      <c r="CH76" s="121" t="str">
        <f>Macro!CH$3</f>
        <v>2026E</v>
      </c>
      <c r="CI76" s="120" t="str">
        <f>Macro!CI$3</f>
        <v>1Q27E</v>
      </c>
      <c r="CJ76" s="120" t="str">
        <f>Macro!CJ$3</f>
        <v>2Q27E</v>
      </c>
      <c r="CK76" s="120" t="str">
        <f>Macro!CK$3</f>
        <v>3Q27E</v>
      </c>
      <c r="CL76" s="120" t="str">
        <f>Macro!CL$3</f>
        <v>4Q27E</v>
      </c>
      <c r="CM76" s="121" t="str">
        <f>Macro!CM$3</f>
        <v>2027E</v>
      </c>
      <c r="CN76" s="120" t="str">
        <f>Macro!CN$3</f>
        <v>1Q28E</v>
      </c>
      <c r="CO76" s="120" t="str">
        <f>Macro!CO$3</f>
        <v>2Q28E</v>
      </c>
      <c r="CP76" s="120" t="str">
        <f>Macro!CP$3</f>
        <v>3Q28E</v>
      </c>
      <c r="CQ76" s="120" t="str">
        <f>Macro!CQ$3</f>
        <v>4Q28E</v>
      </c>
      <c r="CR76" s="121" t="str">
        <f>Macro!CR$3</f>
        <v>2028E</v>
      </c>
      <c r="CS76" s="120" t="str">
        <f>Macro!CS$3</f>
        <v>1Q29E</v>
      </c>
      <c r="CT76" s="120" t="str">
        <f>Macro!CT$3</f>
        <v>2Q29E</v>
      </c>
      <c r="CU76" s="120" t="str">
        <f>Macro!CU$3</f>
        <v>3Q29E</v>
      </c>
      <c r="CV76" s="120" t="str">
        <f>Macro!CV$3</f>
        <v>4Q29E</v>
      </c>
      <c r="CW76" s="121" t="str">
        <f>Macro!CW$3</f>
        <v>2029E</v>
      </c>
      <c r="CX76" s="120" t="str">
        <f>Macro!CX$3</f>
        <v>1Q30E</v>
      </c>
      <c r="CY76" s="120" t="str">
        <f>Macro!CY$3</f>
        <v>2Q30E</v>
      </c>
      <c r="CZ76" s="120" t="str">
        <f>Macro!CZ$3</f>
        <v>3Q30E</v>
      </c>
      <c r="DA76" s="120" t="str">
        <f>Macro!DA$3</f>
        <v>4Q30E</v>
      </c>
      <c r="DB76" s="121" t="str">
        <f>Macro!DB$3</f>
        <v>2030E</v>
      </c>
    </row>
    <row r="77" spans="1:106" s="11" customFormat="1" ht="11.25" customHeight="1" thickTop="1" x14ac:dyDescent="0.35">
      <c r="A77" s="170" t="s">
        <v>150</v>
      </c>
      <c r="B77" s="130" t="e">
        <f t="shared" ref="B77:AE77" si="559">B61/B$59</f>
        <v>#DIV/0!</v>
      </c>
      <c r="C77" s="130" t="e">
        <f t="shared" si="559"/>
        <v>#DIV/0!</v>
      </c>
      <c r="D77" s="130" t="e">
        <f t="shared" si="559"/>
        <v>#DIV/0!</v>
      </c>
      <c r="E77" s="130" t="e">
        <f t="shared" si="559"/>
        <v>#DIV/0!</v>
      </c>
      <c r="F77" s="131" t="e">
        <f t="shared" si="559"/>
        <v>#DIV/0!</v>
      </c>
      <c r="G77" s="130" t="e">
        <f t="shared" si="559"/>
        <v>#DIV/0!</v>
      </c>
      <c r="H77" s="130" t="e">
        <f t="shared" si="559"/>
        <v>#DIV/0!</v>
      </c>
      <c r="I77" s="130" t="e">
        <f t="shared" si="559"/>
        <v>#DIV/0!</v>
      </c>
      <c r="J77" s="130" t="e">
        <f t="shared" si="559"/>
        <v>#DIV/0!</v>
      </c>
      <c r="K77" s="131" t="e">
        <f t="shared" si="559"/>
        <v>#DIV/0!</v>
      </c>
      <c r="L77" s="130" t="e">
        <f t="shared" si="559"/>
        <v>#DIV/0!</v>
      </c>
      <c r="M77" s="130" t="e">
        <f t="shared" si="559"/>
        <v>#DIV/0!</v>
      </c>
      <c r="N77" s="130" t="e">
        <f t="shared" si="559"/>
        <v>#DIV/0!</v>
      </c>
      <c r="O77" s="130" t="e">
        <f t="shared" si="559"/>
        <v>#DIV/0!</v>
      </c>
      <c r="P77" s="131" t="e">
        <f t="shared" si="559"/>
        <v>#DIV/0!</v>
      </c>
      <c r="Q77" s="130" t="e">
        <f t="shared" si="559"/>
        <v>#DIV/0!</v>
      </c>
      <c r="R77" s="130" t="e">
        <f t="shared" si="559"/>
        <v>#DIV/0!</v>
      </c>
      <c r="S77" s="130" t="e">
        <f t="shared" si="559"/>
        <v>#DIV/0!</v>
      </c>
      <c r="T77" s="130" t="e">
        <f t="shared" si="559"/>
        <v>#DIV/0!</v>
      </c>
      <c r="U77" s="131" t="e">
        <f t="shared" si="559"/>
        <v>#DIV/0!</v>
      </c>
      <c r="V77" s="130" t="e">
        <f t="shared" si="559"/>
        <v>#DIV/0!</v>
      </c>
      <c r="W77" s="130" t="e">
        <f t="shared" si="559"/>
        <v>#DIV/0!</v>
      </c>
      <c r="X77" s="130" t="e">
        <f t="shared" si="559"/>
        <v>#DIV/0!</v>
      </c>
      <c r="Y77" s="130" t="e">
        <f t="shared" si="559"/>
        <v>#DIV/0!</v>
      </c>
      <c r="Z77" s="131" t="e">
        <f t="shared" si="559"/>
        <v>#DIV/0!</v>
      </c>
      <c r="AA77" s="130" t="e">
        <f t="shared" si="559"/>
        <v>#DIV/0!</v>
      </c>
      <c r="AB77" s="130" t="e">
        <f t="shared" si="559"/>
        <v>#DIV/0!</v>
      </c>
      <c r="AC77" s="130" t="e">
        <f t="shared" si="559"/>
        <v>#DIV/0!</v>
      </c>
      <c r="AD77" s="130" t="e">
        <f t="shared" si="559"/>
        <v>#DIV/0!</v>
      </c>
      <c r="AE77" s="131" t="e">
        <f t="shared" si="559"/>
        <v>#DIV/0!</v>
      </c>
      <c r="AF77" s="130" t="e">
        <f t="shared" ref="AF77:AL77" si="560">AF61/AF$59</f>
        <v>#DIV/0!</v>
      </c>
      <c r="AG77" s="130" t="e">
        <f t="shared" si="560"/>
        <v>#DIV/0!</v>
      </c>
      <c r="AH77" s="130" t="e">
        <f t="shared" si="560"/>
        <v>#DIV/0!</v>
      </c>
      <c r="AI77" s="130" t="e">
        <f t="shared" si="560"/>
        <v>#DIV/0!</v>
      </c>
      <c r="AJ77" s="131" t="e">
        <f t="shared" si="560"/>
        <v>#DIV/0!</v>
      </c>
      <c r="AK77" s="130">
        <f t="shared" si="560"/>
        <v>0.22970074054438414</v>
      </c>
      <c r="AL77" s="130">
        <f t="shared" si="560"/>
        <v>0.26506023332372192</v>
      </c>
      <c r="AM77" s="130">
        <f t="shared" ref="AM77:BR77" si="561">AM61/AM$59</f>
        <v>0.3025322097903822</v>
      </c>
      <c r="AN77" s="130">
        <f t="shared" si="561"/>
        <v>0.38042560090493288</v>
      </c>
      <c r="AO77" s="131">
        <f t="shared" si="561"/>
        <v>0.29942144908422952</v>
      </c>
      <c r="AP77" s="130">
        <f t="shared" si="561"/>
        <v>0.30019343142239763</v>
      </c>
      <c r="AQ77" s="130">
        <f t="shared" si="561"/>
        <v>0.31277985319328683</v>
      </c>
      <c r="AR77" s="130">
        <f t="shared" si="561"/>
        <v>0.37051232018861158</v>
      </c>
      <c r="AS77" s="130">
        <f t="shared" si="561"/>
        <v>0.36179144262322505</v>
      </c>
      <c r="AT77" s="131">
        <f t="shared" si="561"/>
        <v>0.34200129786847339</v>
      </c>
      <c r="AU77" s="130">
        <f t="shared" si="561"/>
        <v>0.30320645538036844</v>
      </c>
      <c r="AV77" s="130">
        <f t="shared" si="561"/>
        <v>0.38202238797608062</v>
      </c>
      <c r="AW77" s="130">
        <f t="shared" si="561"/>
        <v>0.31347409797953535</v>
      </c>
      <c r="AX77" s="130">
        <f t="shared" si="561"/>
        <v>0.40058014254931212</v>
      </c>
      <c r="AY77" s="131">
        <f t="shared" si="561"/>
        <v>0.35536071156319626</v>
      </c>
      <c r="AZ77" s="130">
        <f t="shared" si="561"/>
        <v>0.34974771358563439</v>
      </c>
      <c r="BA77" s="130">
        <f t="shared" si="561"/>
        <v>0.36048561355623793</v>
      </c>
      <c r="BB77" s="130">
        <f t="shared" si="561"/>
        <v>0.37976722706867505</v>
      </c>
      <c r="BC77" s="130">
        <f t="shared" si="561"/>
        <v>0.4071771997914615</v>
      </c>
      <c r="BD77" s="131">
        <f t="shared" si="561"/>
        <v>0.37792592178439077</v>
      </c>
      <c r="BE77" s="130">
        <f t="shared" si="561"/>
        <v>0.35505149048295537</v>
      </c>
      <c r="BF77" s="130">
        <f t="shared" si="561"/>
        <v>0.36127771487823956</v>
      </c>
      <c r="BG77" s="130">
        <f t="shared" si="561"/>
        <v>0.38407357667559794</v>
      </c>
      <c r="BH77" s="130">
        <f t="shared" si="561"/>
        <v>0.38103468282226199</v>
      </c>
      <c r="BI77" s="131">
        <f t="shared" si="561"/>
        <v>0.37163139743254164</v>
      </c>
      <c r="BJ77" s="130">
        <f t="shared" si="561"/>
        <v>0.37220759364647921</v>
      </c>
      <c r="BK77" s="130">
        <f t="shared" si="561"/>
        <v>0.35843910661050493</v>
      </c>
      <c r="BL77" s="130">
        <f t="shared" si="561"/>
        <v>0.37475405284213581</v>
      </c>
      <c r="BM77" s="130">
        <f t="shared" si="561"/>
        <v>0.3837458094880426</v>
      </c>
      <c r="BN77" s="131">
        <f t="shared" si="561"/>
        <v>0.37220494982044872</v>
      </c>
      <c r="BO77" s="130">
        <f t="shared" si="561"/>
        <v>0.37727327735160249</v>
      </c>
      <c r="BP77" s="130">
        <f t="shared" si="561"/>
        <v>0.37921060369964243</v>
      </c>
      <c r="BQ77" s="130">
        <f t="shared" si="561"/>
        <v>0.37957423717271777</v>
      </c>
      <c r="BR77" s="130">
        <f t="shared" si="561"/>
        <v>0.38873404994603228</v>
      </c>
      <c r="BS77" s="131">
        <f t="shared" ref="BS77:DB77" si="562">BS61/BS$59</f>
        <v>0.38158398044191405</v>
      </c>
      <c r="BT77" s="130">
        <f t="shared" si="562"/>
        <v>0.38031030043635999</v>
      </c>
      <c r="BU77" s="130">
        <f t="shared" si="562"/>
        <v>0.38539603340396861</v>
      </c>
      <c r="BV77" s="130">
        <f t="shared" si="562"/>
        <v>0.38971295763122804</v>
      </c>
      <c r="BW77" s="130">
        <f t="shared" si="562"/>
        <v>0.39294917442131228</v>
      </c>
      <c r="BX77" s="131">
        <f t="shared" si="562"/>
        <v>0.38746329250619538</v>
      </c>
      <c r="BY77" s="130">
        <f t="shared" si="562"/>
        <v>0.39188066937239757</v>
      </c>
      <c r="BZ77" s="130">
        <f t="shared" si="562"/>
        <v>0.3982128309912602</v>
      </c>
      <c r="CA77" s="130">
        <f t="shared" si="562"/>
        <v>0.401776804152087</v>
      </c>
      <c r="CB77" s="130">
        <f t="shared" ref="CB77" si="563">CB61/CB$59</f>
        <v>0.40643579873425301</v>
      </c>
      <c r="CC77" s="131">
        <f t="shared" si="562"/>
        <v>0.39988395058435861</v>
      </c>
      <c r="CD77" s="130">
        <f t="shared" ref="CD77:CE77" si="564">CD61/CD$59</f>
        <v>0.393098350398215</v>
      </c>
      <c r="CE77" s="130">
        <f t="shared" si="564"/>
        <v>0.39846172410407232</v>
      </c>
      <c r="CF77" s="130">
        <f t="shared" si="562"/>
        <v>0.39944175068891474</v>
      </c>
      <c r="CG77" s="130">
        <f t="shared" si="562"/>
        <v>0.3979669962301568</v>
      </c>
      <c r="CH77" s="131">
        <f t="shared" si="562"/>
        <v>0.39731847916690088</v>
      </c>
      <c r="CI77" s="130">
        <f t="shared" si="562"/>
        <v>0.39661681764877382</v>
      </c>
      <c r="CJ77" s="130">
        <f t="shared" si="562"/>
        <v>0.39889710243434018</v>
      </c>
      <c r="CK77" s="130">
        <f t="shared" si="562"/>
        <v>0.40295610403594534</v>
      </c>
      <c r="CL77" s="130">
        <f t="shared" si="562"/>
        <v>0.40501013455830109</v>
      </c>
      <c r="CM77" s="131">
        <f t="shared" si="562"/>
        <v>0.40096799871040911</v>
      </c>
      <c r="CN77" s="130">
        <f t="shared" si="562"/>
        <v>0.39118561990736267</v>
      </c>
      <c r="CO77" s="130">
        <f t="shared" si="562"/>
        <v>0.3892879901751361</v>
      </c>
      <c r="CP77" s="130">
        <f t="shared" si="562"/>
        <v>0.38840973650820071</v>
      </c>
      <c r="CQ77" s="130">
        <f t="shared" si="562"/>
        <v>0.38794244687842266</v>
      </c>
      <c r="CR77" s="131">
        <f t="shared" si="562"/>
        <v>0.38917204475697226</v>
      </c>
      <c r="CS77" s="130">
        <f t="shared" si="562"/>
        <v>0.38246547542683712</v>
      </c>
      <c r="CT77" s="130">
        <f t="shared" si="562"/>
        <v>0.38054638347295672</v>
      </c>
      <c r="CU77" s="130">
        <f t="shared" si="562"/>
        <v>0.37964765788963234</v>
      </c>
      <c r="CV77" s="130">
        <f t="shared" si="562"/>
        <v>0.37916764113562584</v>
      </c>
      <c r="CW77" s="131">
        <f t="shared" si="562"/>
        <v>0.38043327565694651</v>
      </c>
      <c r="CX77" s="130">
        <f t="shared" si="562"/>
        <v>0.37799881450849276</v>
      </c>
      <c r="CY77" s="130">
        <f t="shared" si="562"/>
        <v>0.37665520064118552</v>
      </c>
      <c r="CZ77" s="130">
        <f t="shared" si="562"/>
        <v>0.37602253907915484</v>
      </c>
      <c r="DA77" s="130">
        <f t="shared" si="562"/>
        <v>0.37568376396257513</v>
      </c>
      <c r="DB77" s="131">
        <f t="shared" si="562"/>
        <v>0.37657671597884074</v>
      </c>
    </row>
    <row r="78" spans="1:106" ht="11.25" customHeight="1" x14ac:dyDescent="0.35">
      <c r="A78" s="170" t="s">
        <v>79</v>
      </c>
      <c r="B78" s="58" t="e">
        <f t="shared" ref="B78:AE78" si="565">(B16)/B9</f>
        <v>#DIV/0!</v>
      </c>
      <c r="C78" s="58" t="e">
        <f t="shared" si="565"/>
        <v>#DIV/0!</v>
      </c>
      <c r="D78" s="58" t="e">
        <f t="shared" si="565"/>
        <v>#DIV/0!</v>
      </c>
      <c r="E78" s="58" t="e">
        <f t="shared" si="565"/>
        <v>#DIV/0!</v>
      </c>
      <c r="F78" s="57" t="e">
        <f t="shared" si="565"/>
        <v>#DIV/0!</v>
      </c>
      <c r="G78" s="58" t="e">
        <f t="shared" si="565"/>
        <v>#DIV/0!</v>
      </c>
      <c r="H78" s="58" t="e">
        <f t="shared" si="565"/>
        <v>#DIV/0!</v>
      </c>
      <c r="I78" s="58" t="e">
        <f t="shared" si="565"/>
        <v>#DIV/0!</v>
      </c>
      <c r="J78" s="58" t="e">
        <f t="shared" si="565"/>
        <v>#DIV/0!</v>
      </c>
      <c r="K78" s="57" t="e">
        <f t="shared" si="565"/>
        <v>#DIV/0!</v>
      </c>
      <c r="L78" s="58" t="e">
        <f t="shared" si="565"/>
        <v>#DIV/0!</v>
      </c>
      <c r="M78" s="58" t="e">
        <f t="shared" si="565"/>
        <v>#DIV/0!</v>
      </c>
      <c r="N78" s="58" t="e">
        <f t="shared" si="565"/>
        <v>#DIV/0!</v>
      </c>
      <c r="O78" s="58" t="e">
        <f t="shared" si="565"/>
        <v>#DIV/0!</v>
      </c>
      <c r="P78" s="57" t="e">
        <f t="shared" si="565"/>
        <v>#DIV/0!</v>
      </c>
      <c r="Q78" s="58" t="e">
        <f t="shared" si="565"/>
        <v>#DIV/0!</v>
      </c>
      <c r="R78" s="58" t="e">
        <f t="shared" si="565"/>
        <v>#DIV/0!</v>
      </c>
      <c r="S78" s="58" t="e">
        <f t="shared" si="565"/>
        <v>#DIV/0!</v>
      </c>
      <c r="T78" s="58" t="e">
        <f t="shared" si="565"/>
        <v>#DIV/0!</v>
      </c>
      <c r="U78" s="57" t="e">
        <f t="shared" si="565"/>
        <v>#DIV/0!</v>
      </c>
      <c r="V78" s="58" t="e">
        <f t="shared" si="565"/>
        <v>#DIV/0!</v>
      </c>
      <c r="W78" s="58" t="e">
        <f t="shared" si="565"/>
        <v>#DIV/0!</v>
      </c>
      <c r="X78" s="58" t="e">
        <f t="shared" si="565"/>
        <v>#DIV/0!</v>
      </c>
      <c r="Y78" s="58" t="e">
        <f t="shared" si="565"/>
        <v>#DIV/0!</v>
      </c>
      <c r="Z78" s="57" t="e">
        <f t="shared" si="565"/>
        <v>#DIV/0!</v>
      </c>
      <c r="AA78" s="58" t="e">
        <f t="shared" si="565"/>
        <v>#DIV/0!</v>
      </c>
      <c r="AB78" s="58" t="e">
        <f t="shared" si="565"/>
        <v>#DIV/0!</v>
      </c>
      <c r="AC78" s="58" t="e">
        <f t="shared" si="565"/>
        <v>#DIV/0!</v>
      </c>
      <c r="AD78" s="58" t="e">
        <f t="shared" si="565"/>
        <v>#DIV/0!</v>
      </c>
      <c r="AE78" s="57" t="e">
        <f t="shared" si="565"/>
        <v>#DIV/0!</v>
      </c>
      <c r="AF78" s="58" t="e">
        <f t="shared" ref="AF78:AL78" si="566">(AF16)/AF9</f>
        <v>#DIV/0!</v>
      </c>
      <c r="AG78" s="58" t="e">
        <f t="shared" si="566"/>
        <v>#DIV/0!</v>
      </c>
      <c r="AH78" s="58" t="e">
        <f t="shared" si="566"/>
        <v>#DIV/0!</v>
      </c>
      <c r="AI78" s="58" t="e">
        <f t="shared" si="566"/>
        <v>#DIV/0!</v>
      </c>
      <c r="AJ78" s="57" t="e">
        <f t="shared" si="566"/>
        <v>#DIV/0!</v>
      </c>
      <c r="AK78" s="58">
        <f t="shared" si="566"/>
        <v>0.22970074054438414</v>
      </c>
      <c r="AL78" s="58">
        <f t="shared" si="566"/>
        <v>0.26506023332372192</v>
      </c>
      <c r="AM78" s="58">
        <f t="shared" ref="AM78:BR78" si="567">(AM16)/AM9</f>
        <v>0.3025322097903822</v>
      </c>
      <c r="AN78" s="58">
        <f t="shared" si="567"/>
        <v>0.38042560090493288</v>
      </c>
      <c r="AO78" s="57">
        <f t="shared" si="567"/>
        <v>0.29942144908422952</v>
      </c>
      <c r="AP78" s="58">
        <f t="shared" si="567"/>
        <v>0.30019343142239763</v>
      </c>
      <c r="AQ78" s="58">
        <f t="shared" si="567"/>
        <v>0.31277985319328683</v>
      </c>
      <c r="AR78" s="58">
        <f t="shared" si="567"/>
        <v>0.37051232018861158</v>
      </c>
      <c r="AS78" s="58">
        <f t="shared" si="567"/>
        <v>0.36179144262322505</v>
      </c>
      <c r="AT78" s="57">
        <f t="shared" si="567"/>
        <v>0.34200129786847339</v>
      </c>
      <c r="AU78" s="58">
        <f t="shared" si="567"/>
        <v>0.29373573286616766</v>
      </c>
      <c r="AV78" s="58">
        <f t="shared" si="567"/>
        <v>0.37631147449137758</v>
      </c>
      <c r="AW78" s="58">
        <f t="shared" si="567"/>
        <v>0.30909209097444212</v>
      </c>
      <c r="AX78" s="58">
        <f t="shared" si="567"/>
        <v>0.3943908503232223</v>
      </c>
      <c r="AY78" s="57">
        <f t="shared" si="567"/>
        <v>0.34915435156488372</v>
      </c>
      <c r="AZ78" s="58">
        <f t="shared" si="567"/>
        <v>0.34374298898913869</v>
      </c>
      <c r="BA78" s="58">
        <f t="shared" si="567"/>
        <v>0.35363763383210672</v>
      </c>
      <c r="BB78" s="58">
        <f t="shared" si="567"/>
        <v>0.37851222932398887</v>
      </c>
      <c r="BC78" s="58">
        <f t="shared" si="567"/>
        <v>0.40499044198574985</v>
      </c>
      <c r="BD78" s="57">
        <f t="shared" si="567"/>
        <v>0.3742436764096928</v>
      </c>
      <c r="BE78" s="58">
        <f t="shared" si="567"/>
        <v>0.35469191183839005</v>
      </c>
      <c r="BF78" s="58">
        <f t="shared" si="567"/>
        <v>0.36096309409598593</v>
      </c>
      <c r="BG78" s="58">
        <f t="shared" si="567"/>
        <v>0.38333088691179079</v>
      </c>
      <c r="BH78" s="58">
        <f t="shared" si="567"/>
        <v>0.37954656031985473</v>
      </c>
      <c r="BI78" s="57">
        <f t="shared" si="567"/>
        <v>0.37086397878380828</v>
      </c>
      <c r="BJ78" s="58">
        <f t="shared" si="567"/>
        <v>0.370850787037244</v>
      </c>
      <c r="BK78" s="58">
        <f t="shared" si="567"/>
        <v>0.35750344651391958</v>
      </c>
      <c r="BL78" s="58">
        <f t="shared" si="567"/>
        <v>0.37299871221828779</v>
      </c>
      <c r="BM78" s="58">
        <f t="shared" si="567"/>
        <v>0.38200069597814212</v>
      </c>
      <c r="BN78" s="57">
        <f t="shared" si="567"/>
        <v>0.37075011053057333</v>
      </c>
      <c r="BO78" s="58">
        <f t="shared" si="567"/>
        <v>0.37508992261612623</v>
      </c>
      <c r="BP78" s="58">
        <f t="shared" si="567"/>
        <v>0.37726624399172237</v>
      </c>
      <c r="BQ78" s="58">
        <f t="shared" si="567"/>
        <v>0.3775938521613994</v>
      </c>
      <c r="BR78" s="58">
        <f t="shared" si="567"/>
        <v>0.3865642511791581</v>
      </c>
      <c r="BS78" s="57">
        <f t="shared" ref="BS78:DB78" si="568">(BS16)/BS9</f>
        <v>0.37951757552910914</v>
      </c>
      <c r="BT78" s="58">
        <f t="shared" si="568"/>
        <v>0.37809386874807438</v>
      </c>
      <c r="BU78" s="58">
        <f t="shared" si="568"/>
        <v>0.38326495238381503</v>
      </c>
      <c r="BV78" s="58">
        <f t="shared" si="568"/>
        <v>0.38777995817674871</v>
      </c>
      <c r="BW78" s="58">
        <f t="shared" si="568"/>
        <v>0.39069114013822609</v>
      </c>
      <c r="BX78" s="57">
        <f t="shared" si="568"/>
        <v>0.3853338121544147</v>
      </c>
      <c r="BY78" s="58">
        <f t="shared" si="568"/>
        <v>0.39047380988403069</v>
      </c>
      <c r="BZ78" s="58">
        <f t="shared" si="568"/>
        <v>0.39564562278748167</v>
      </c>
      <c r="CA78" s="58">
        <f t="shared" si="568"/>
        <v>0.39961649373361768</v>
      </c>
      <c r="CB78" s="58">
        <f t="shared" ref="CB78" si="569">(CB16)/CB9</f>
        <v>0.40338800393036628</v>
      </c>
      <c r="CC78" s="57">
        <f t="shared" si="568"/>
        <v>0.3975585173529621</v>
      </c>
      <c r="CD78" s="58">
        <f t="shared" ref="CD78:CE78" si="570">(CD16)/CD9</f>
        <v>0.39046714842323221</v>
      </c>
      <c r="CE78" s="58">
        <f t="shared" si="570"/>
        <v>0.39534151901639303</v>
      </c>
      <c r="CF78" s="58">
        <f t="shared" si="568"/>
        <v>0.39868528301135986</v>
      </c>
      <c r="CG78" s="58">
        <f t="shared" si="568"/>
        <v>0.39753009904073811</v>
      </c>
      <c r="CH78" s="57">
        <f t="shared" si="568"/>
        <v>0.39561817114006698</v>
      </c>
      <c r="CI78" s="58">
        <f t="shared" si="568"/>
        <v>0.39180746104643349</v>
      </c>
      <c r="CJ78" s="58">
        <f t="shared" si="568"/>
        <v>0.39681603800942605</v>
      </c>
      <c r="CK78" s="58">
        <f t="shared" si="568"/>
        <v>0.4009772477194648</v>
      </c>
      <c r="CL78" s="58">
        <f t="shared" si="568"/>
        <v>0.40306906280215749</v>
      </c>
      <c r="CM78" s="57">
        <f t="shared" si="568"/>
        <v>0.39832613140870532</v>
      </c>
      <c r="CN78" s="58">
        <f t="shared" si="568"/>
        <v>0.39022671306324253</v>
      </c>
      <c r="CO78" s="58">
        <f t="shared" si="568"/>
        <v>0.38904042734432487</v>
      </c>
      <c r="CP78" s="58">
        <f t="shared" si="568"/>
        <v>0.38705598412770875</v>
      </c>
      <c r="CQ78" s="58">
        <f t="shared" si="568"/>
        <v>0.3865311047732487</v>
      </c>
      <c r="CR78" s="57">
        <f t="shared" si="568"/>
        <v>0.3881791144082139</v>
      </c>
      <c r="CS78" s="58">
        <f t="shared" si="568"/>
        <v>0.38239065646410469</v>
      </c>
      <c r="CT78" s="58">
        <f t="shared" si="568"/>
        <v>0.38094339420434731</v>
      </c>
      <c r="CU78" s="58">
        <f t="shared" si="568"/>
        <v>0.37867373640367097</v>
      </c>
      <c r="CV78" s="58">
        <f t="shared" si="568"/>
        <v>0.37801314851002327</v>
      </c>
      <c r="CW78" s="57">
        <f t="shared" si="568"/>
        <v>0.37998006175070254</v>
      </c>
      <c r="CX78" s="58">
        <f t="shared" si="568"/>
        <v>0.37815790955829404</v>
      </c>
      <c r="CY78" s="58">
        <f t="shared" si="568"/>
        <v>0.37725268174219773</v>
      </c>
      <c r="CZ78" s="58">
        <f t="shared" si="568"/>
        <v>0.37516180508477087</v>
      </c>
      <c r="DA78" s="58">
        <f t="shared" si="568"/>
        <v>0.37461037067240671</v>
      </c>
      <c r="DB78" s="57">
        <f t="shared" si="568"/>
        <v>0.3762817785263245</v>
      </c>
    </row>
    <row r="79" spans="1:106" ht="11.25" customHeight="1" outlineLevel="1" x14ac:dyDescent="0.35">
      <c r="A79" s="178" t="s">
        <v>148</v>
      </c>
      <c r="B79" s="21" t="e">
        <f t="shared" ref="B79:AE79" si="571">(B5+B11)/B5</f>
        <v>#DIV/0!</v>
      </c>
      <c r="C79" s="21" t="e">
        <f t="shared" si="571"/>
        <v>#DIV/0!</v>
      </c>
      <c r="D79" s="21" t="e">
        <f t="shared" si="571"/>
        <v>#DIV/0!</v>
      </c>
      <c r="E79" s="21" t="e">
        <f t="shared" si="571"/>
        <v>#DIV/0!</v>
      </c>
      <c r="F79" s="22" t="e">
        <f t="shared" si="571"/>
        <v>#DIV/0!</v>
      </c>
      <c r="G79" s="21" t="e">
        <f t="shared" si="571"/>
        <v>#DIV/0!</v>
      </c>
      <c r="H79" s="21" t="e">
        <f t="shared" si="571"/>
        <v>#DIV/0!</v>
      </c>
      <c r="I79" s="21" t="e">
        <f t="shared" si="571"/>
        <v>#DIV/0!</v>
      </c>
      <c r="J79" s="21" t="e">
        <f t="shared" si="571"/>
        <v>#DIV/0!</v>
      </c>
      <c r="K79" s="22" t="e">
        <f t="shared" si="571"/>
        <v>#DIV/0!</v>
      </c>
      <c r="L79" s="21" t="e">
        <f t="shared" si="571"/>
        <v>#DIV/0!</v>
      </c>
      <c r="M79" s="21" t="e">
        <f t="shared" si="571"/>
        <v>#DIV/0!</v>
      </c>
      <c r="N79" s="21" t="e">
        <f t="shared" si="571"/>
        <v>#DIV/0!</v>
      </c>
      <c r="O79" s="21" t="e">
        <f t="shared" si="571"/>
        <v>#DIV/0!</v>
      </c>
      <c r="P79" s="22" t="e">
        <f t="shared" si="571"/>
        <v>#DIV/0!</v>
      </c>
      <c r="Q79" s="21" t="e">
        <f t="shared" si="571"/>
        <v>#DIV/0!</v>
      </c>
      <c r="R79" s="21" t="e">
        <f t="shared" si="571"/>
        <v>#DIV/0!</v>
      </c>
      <c r="S79" s="21" t="e">
        <f t="shared" si="571"/>
        <v>#DIV/0!</v>
      </c>
      <c r="T79" s="21" t="e">
        <f t="shared" si="571"/>
        <v>#DIV/0!</v>
      </c>
      <c r="U79" s="22" t="e">
        <f t="shared" si="571"/>
        <v>#DIV/0!</v>
      </c>
      <c r="V79" s="21" t="e">
        <f t="shared" si="571"/>
        <v>#DIV/0!</v>
      </c>
      <c r="W79" s="21" t="e">
        <f t="shared" si="571"/>
        <v>#DIV/0!</v>
      </c>
      <c r="X79" s="21" t="e">
        <f t="shared" si="571"/>
        <v>#DIV/0!</v>
      </c>
      <c r="Y79" s="21" t="e">
        <f t="shared" si="571"/>
        <v>#DIV/0!</v>
      </c>
      <c r="Z79" s="22" t="e">
        <f t="shared" si="571"/>
        <v>#DIV/0!</v>
      </c>
      <c r="AA79" s="21" t="e">
        <f t="shared" si="571"/>
        <v>#DIV/0!</v>
      </c>
      <c r="AB79" s="21" t="e">
        <f t="shared" si="571"/>
        <v>#DIV/0!</v>
      </c>
      <c r="AC79" s="21" t="e">
        <f t="shared" si="571"/>
        <v>#DIV/0!</v>
      </c>
      <c r="AD79" s="21" t="e">
        <f t="shared" si="571"/>
        <v>#DIV/0!</v>
      </c>
      <c r="AE79" s="22" t="e">
        <f t="shared" si="571"/>
        <v>#DIV/0!</v>
      </c>
      <c r="AF79" s="21" t="e">
        <f t="shared" ref="AF79:AG79" si="572">(AF5+AF11)/AF5</f>
        <v>#DIV/0!</v>
      </c>
      <c r="AG79" s="21" t="e">
        <f t="shared" si="572"/>
        <v>#DIV/0!</v>
      </c>
      <c r="AH79" s="21" t="e">
        <f t="shared" ref="AH79:BM79" si="573">(AH5+AH11)/AH5</f>
        <v>#DIV/0!</v>
      </c>
      <c r="AI79" s="21" t="e">
        <f t="shared" si="573"/>
        <v>#DIV/0!</v>
      </c>
      <c r="AJ79" s="22" t="e">
        <f t="shared" si="573"/>
        <v>#DIV/0!</v>
      </c>
      <c r="AK79" s="21">
        <f t="shared" si="573"/>
        <v>0.24572296514106098</v>
      </c>
      <c r="AL79" s="21">
        <f t="shared" si="573"/>
        <v>0.28034698047058854</v>
      </c>
      <c r="AM79" s="21">
        <f t="shared" si="573"/>
        <v>0.31703953982674232</v>
      </c>
      <c r="AN79" s="21">
        <f t="shared" si="573"/>
        <v>0.39331274840611025</v>
      </c>
      <c r="AO79" s="22">
        <f t="shared" si="573"/>
        <v>0.3139934829432775</v>
      </c>
      <c r="AP79" s="21">
        <f t="shared" si="573"/>
        <v>0.31474940804881185</v>
      </c>
      <c r="AQ79" s="21">
        <f t="shared" si="573"/>
        <v>0.32707403224686649</v>
      </c>
      <c r="AR79" s="21">
        <f t="shared" si="573"/>
        <v>0.38360566392868845</v>
      </c>
      <c r="AS79" s="21">
        <f t="shared" si="573"/>
        <v>0.37506618061666197</v>
      </c>
      <c r="AT79" s="22">
        <f t="shared" si="573"/>
        <v>0.35568767087280923</v>
      </c>
      <c r="AU79" s="21">
        <f t="shared" si="573"/>
        <v>0.35827211253495844</v>
      </c>
      <c r="AV79" s="21">
        <f t="shared" si="573"/>
        <v>0.35970230857739732</v>
      </c>
      <c r="AW79" s="21">
        <f t="shared" si="573"/>
        <v>0.35651509361864731</v>
      </c>
      <c r="AX79" s="21">
        <f t="shared" si="573"/>
        <v>0.45913224833795097</v>
      </c>
      <c r="AY79" s="22">
        <f t="shared" si="573"/>
        <v>0.39015719688516926</v>
      </c>
      <c r="AZ79" s="21">
        <f t="shared" si="573"/>
        <v>0.40530102429636133</v>
      </c>
      <c r="BA79" s="21">
        <f t="shared" si="573"/>
        <v>0.41144275642935163</v>
      </c>
      <c r="BB79" s="21">
        <f t="shared" si="573"/>
        <v>0.41055049999100196</v>
      </c>
      <c r="BC79" s="21">
        <f t="shared" si="573"/>
        <v>0.43263214280543771</v>
      </c>
      <c r="BD79" s="22">
        <f t="shared" si="573"/>
        <v>0.41625365603631914</v>
      </c>
      <c r="BE79" s="21">
        <f t="shared" si="573"/>
        <v>0.38624653763639832</v>
      </c>
      <c r="BF79" s="21">
        <f t="shared" si="573"/>
        <v>0.39085324824727052</v>
      </c>
      <c r="BG79" s="21">
        <f t="shared" si="573"/>
        <v>0.41656143154132946</v>
      </c>
      <c r="BH79" s="21">
        <f t="shared" si="573"/>
        <v>0.36861501542680836</v>
      </c>
      <c r="BI79" s="22">
        <f t="shared" si="573"/>
        <v>0.39041332190854156</v>
      </c>
      <c r="BJ79" s="21">
        <f t="shared" si="573"/>
        <v>0.38966101880311965</v>
      </c>
      <c r="BK79" s="21">
        <f t="shared" si="573"/>
        <v>0.37204852835186147</v>
      </c>
      <c r="BL79" s="21">
        <f t="shared" si="573"/>
        <v>0.4006268572170732</v>
      </c>
      <c r="BM79" s="21">
        <f t="shared" si="573"/>
        <v>0.38459421354338152</v>
      </c>
      <c r="BN79" s="22">
        <f t="shared" ref="BN79:CS79" si="574">(BN5+BN11)/BN5</f>
        <v>0.3867004014655272</v>
      </c>
      <c r="BO79" s="21">
        <f t="shared" si="574"/>
        <v>0.38932931911852331</v>
      </c>
      <c r="BP79" s="21">
        <f t="shared" si="574"/>
        <v>0.39173972855604916</v>
      </c>
      <c r="BQ79" s="21">
        <f t="shared" si="574"/>
        <v>0.39160724209998982</v>
      </c>
      <c r="BR79" s="21">
        <f t="shared" si="574"/>
        <v>0.40135223907992679</v>
      </c>
      <c r="BS79" s="22">
        <f t="shared" si="574"/>
        <v>0.39391406119378031</v>
      </c>
      <c r="BT79" s="21">
        <f t="shared" si="574"/>
        <v>0.39261033048745608</v>
      </c>
      <c r="BU79" s="21">
        <f t="shared" si="574"/>
        <v>0.39753121868666658</v>
      </c>
      <c r="BV79" s="21">
        <f t="shared" si="574"/>
        <v>0.40394641423068289</v>
      </c>
      <c r="BW79" s="21">
        <f t="shared" si="574"/>
        <v>0.4048444806239706</v>
      </c>
      <c r="BX79" s="22">
        <f t="shared" si="574"/>
        <v>0.40013942888589976</v>
      </c>
      <c r="BY79" s="21">
        <f t="shared" si="574"/>
        <v>0.40308305458916166</v>
      </c>
      <c r="BZ79" s="21">
        <f t="shared" si="574"/>
        <v>0.41141628354468673</v>
      </c>
      <c r="CA79" s="21">
        <f t="shared" si="574"/>
        <v>0.41507169180780557</v>
      </c>
      <c r="CB79" s="21">
        <f t="shared" ref="CB79" si="575">(CB5+CB11)/CB5</f>
        <v>0.42039895214116896</v>
      </c>
      <c r="CC79" s="22">
        <f t="shared" si="574"/>
        <v>0.41287067104475444</v>
      </c>
      <c r="CD79" s="21">
        <f t="shared" ref="CD79:CE79" si="576">(CD5+CD11)/CD5</f>
        <v>0.40483678071374013</v>
      </c>
      <c r="CE79" s="21">
        <f t="shared" si="576"/>
        <v>0.41108590950956964</v>
      </c>
      <c r="CF79" s="21">
        <f t="shared" si="574"/>
        <v>0.41230237652515145</v>
      </c>
      <c r="CG79" s="21">
        <f t="shared" si="574"/>
        <v>0.41085783239582491</v>
      </c>
      <c r="CH79" s="22">
        <f t="shared" si="574"/>
        <v>0.40986591672938727</v>
      </c>
      <c r="CI79" s="21">
        <f t="shared" si="574"/>
        <v>0.40953531220834777</v>
      </c>
      <c r="CJ79" s="21">
        <f t="shared" si="574"/>
        <v>0.4117688853842898</v>
      </c>
      <c r="CK79" s="21">
        <f t="shared" si="574"/>
        <v>0.41574473838117704</v>
      </c>
      <c r="CL79" s="21">
        <f t="shared" si="574"/>
        <v>0.41775669211008837</v>
      </c>
      <c r="CM79" s="22">
        <f t="shared" si="574"/>
        <v>0.41379735937212836</v>
      </c>
      <c r="CN79" s="21">
        <f t="shared" si="574"/>
        <v>0.40421537249501105</v>
      </c>
      <c r="CO79" s="21">
        <f t="shared" si="574"/>
        <v>0.40235661568770348</v>
      </c>
      <c r="CP79" s="21">
        <f t="shared" si="574"/>
        <v>0.40149635303781162</v>
      </c>
      <c r="CQ79" s="21">
        <f t="shared" si="574"/>
        <v>0.4010386358311388</v>
      </c>
      <c r="CR79" s="22">
        <f t="shared" si="574"/>
        <v>0.4022430454101999</v>
      </c>
      <c r="CS79" s="21">
        <f t="shared" si="574"/>
        <v>0.39567386008159444</v>
      </c>
      <c r="CT79" s="21">
        <f t="shared" ref="CT79:DB79" si="577">(CT5+CT11)/CT5</f>
        <v>0.39379408070601601</v>
      </c>
      <c r="CU79" s="21">
        <f t="shared" si="577"/>
        <v>0.39291376550672497</v>
      </c>
      <c r="CV79" s="21">
        <f t="shared" si="577"/>
        <v>0.39244358189082829</v>
      </c>
      <c r="CW79" s="22">
        <f t="shared" si="577"/>
        <v>0.39368328990241586</v>
      </c>
      <c r="CX79" s="21">
        <f t="shared" si="577"/>
        <v>0.39129869866474354</v>
      </c>
      <c r="CY79" s="21">
        <f t="shared" si="577"/>
        <v>0.38998260871324408</v>
      </c>
      <c r="CZ79" s="21">
        <f t="shared" si="577"/>
        <v>0.38936290721659517</v>
      </c>
      <c r="DA79" s="21">
        <f t="shared" si="577"/>
        <v>0.38903107190468206</v>
      </c>
      <c r="DB79" s="22">
        <f t="shared" si="577"/>
        <v>0.38990573180837429</v>
      </c>
    </row>
    <row r="80" spans="1:106" ht="11.25" customHeight="1" outlineLevel="1" x14ac:dyDescent="0.35">
      <c r="A80" s="178" t="s">
        <v>149</v>
      </c>
      <c r="B80" s="21" t="e">
        <f t="shared" ref="B80:AE80" si="578">(B6+B14)/B6</f>
        <v>#DIV/0!</v>
      </c>
      <c r="C80" s="21" t="e">
        <f t="shared" si="578"/>
        <v>#DIV/0!</v>
      </c>
      <c r="D80" s="21" t="e">
        <f t="shared" si="578"/>
        <v>#DIV/0!</v>
      </c>
      <c r="E80" s="21" t="e">
        <f t="shared" si="578"/>
        <v>#DIV/0!</v>
      </c>
      <c r="F80" s="22" t="e">
        <f t="shared" si="578"/>
        <v>#DIV/0!</v>
      </c>
      <c r="G80" s="21" t="e">
        <f t="shared" si="578"/>
        <v>#DIV/0!</v>
      </c>
      <c r="H80" s="21" t="e">
        <f t="shared" si="578"/>
        <v>#DIV/0!</v>
      </c>
      <c r="I80" s="21" t="e">
        <f t="shared" si="578"/>
        <v>#DIV/0!</v>
      </c>
      <c r="J80" s="21" t="e">
        <f t="shared" si="578"/>
        <v>#DIV/0!</v>
      </c>
      <c r="K80" s="22" t="e">
        <f t="shared" si="578"/>
        <v>#DIV/0!</v>
      </c>
      <c r="L80" s="21" t="e">
        <f t="shared" si="578"/>
        <v>#DIV/0!</v>
      </c>
      <c r="M80" s="21" t="e">
        <f t="shared" si="578"/>
        <v>#DIV/0!</v>
      </c>
      <c r="N80" s="21" t="e">
        <f t="shared" si="578"/>
        <v>#DIV/0!</v>
      </c>
      <c r="O80" s="21" t="e">
        <f t="shared" si="578"/>
        <v>#DIV/0!</v>
      </c>
      <c r="P80" s="22" t="e">
        <f t="shared" si="578"/>
        <v>#DIV/0!</v>
      </c>
      <c r="Q80" s="21" t="e">
        <f t="shared" si="578"/>
        <v>#DIV/0!</v>
      </c>
      <c r="R80" s="21" t="e">
        <f t="shared" si="578"/>
        <v>#DIV/0!</v>
      </c>
      <c r="S80" s="21" t="e">
        <f t="shared" si="578"/>
        <v>#DIV/0!</v>
      </c>
      <c r="T80" s="21" t="e">
        <f t="shared" si="578"/>
        <v>#DIV/0!</v>
      </c>
      <c r="U80" s="22" t="e">
        <f t="shared" si="578"/>
        <v>#DIV/0!</v>
      </c>
      <c r="V80" s="21" t="e">
        <f t="shared" si="578"/>
        <v>#DIV/0!</v>
      </c>
      <c r="W80" s="21" t="e">
        <f t="shared" si="578"/>
        <v>#DIV/0!</v>
      </c>
      <c r="X80" s="21" t="e">
        <f t="shared" si="578"/>
        <v>#DIV/0!</v>
      </c>
      <c r="Y80" s="21" t="e">
        <f t="shared" si="578"/>
        <v>#DIV/0!</v>
      </c>
      <c r="Z80" s="22" t="e">
        <f t="shared" si="578"/>
        <v>#DIV/0!</v>
      </c>
      <c r="AA80" s="21" t="e">
        <f t="shared" si="578"/>
        <v>#DIV/0!</v>
      </c>
      <c r="AB80" s="21" t="e">
        <f t="shared" si="578"/>
        <v>#DIV/0!</v>
      </c>
      <c r="AC80" s="21" t="e">
        <f t="shared" si="578"/>
        <v>#DIV/0!</v>
      </c>
      <c r="AD80" s="21" t="e">
        <f t="shared" si="578"/>
        <v>#DIV/0!</v>
      </c>
      <c r="AE80" s="22" t="e">
        <f t="shared" si="578"/>
        <v>#DIV/0!</v>
      </c>
      <c r="AF80" s="21" t="e">
        <f t="shared" ref="AF80:AG80" si="579">(AF6+AF14)/AF6</f>
        <v>#DIV/0!</v>
      </c>
      <c r="AG80" s="21" t="e">
        <f t="shared" si="579"/>
        <v>#DIV/0!</v>
      </c>
      <c r="AH80" s="21" t="e">
        <f t="shared" ref="AH80:BM80" si="580">(AH6+AH14)/AH6</f>
        <v>#DIV/0!</v>
      </c>
      <c r="AI80" s="21" t="e">
        <f t="shared" si="580"/>
        <v>#DIV/0!</v>
      </c>
      <c r="AJ80" s="22" t="e">
        <f t="shared" si="580"/>
        <v>#DIV/0!</v>
      </c>
      <c r="AK80" s="21" t="e">
        <f t="shared" si="580"/>
        <v>#DIV/0!</v>
      </c>
      <c r="AL80" s="21" t="e">
        <f t="shared" si="580"/>
        <v>#DIV/0!</v>
      </c>
      <c r="AM80" s="21" t="e">
        <f t="shared" si="580"/>
        <v>#DIV/0!</v>
      </c>
      <c r="AN80" s="21" t="e">
        <f t="shared" si="580"/>
        <v>#DIV/0!</v>
      </c>
      <c r="AO80" s="22" t="e">
        <f t="shared" si="580"/>
        <v>#DIV/0!</v>
      </c>
      <c r="AP80" s="21" t="e">
        <f t="shared" si="580"/>
        <v>#DIV/0!</v>
      </c>
      <c r="AQ80" s="21" t="e">
        <f t="shared" si="580"/>
        <v>#DIV/0!</v>
      </c>
      <c r="AR80" s="21" t="e">
        <f t="shared" si="580"/>
        <v>#DIV/0!</v>
      </c>
      <c r="AS80" s="21" t="e">
        <f t="shared" si="580"/>
        <v>#DIV/0!</v>
      </c>
      <c r="AT80" s="22" t="e">
        <f t="shared" si="580"/>
        <v>#DIV/0!</v>
      </c>
      <c r="AU80" s="21">
        <f t="shared" si="580"/>
        <v>-4.066830165542612</v>
      </c>
      <c r="AV80" s="21">
        <f t="shared" si="580"/>
        <v>0.70112887393072498</v>
      </c>
      <c r="AW80" s="21">
        <f t="shared" si="580"/>
        <v>-5.2651087832393229</v>
      </c>
      <c r="AX80" s="21">
        <f t="shared" si="580"/>
        <v>1.2158438576349024</v>
      </c>
      <c r="AY80" s="22">
        <f t="shared" si="580"/>
        <v>-1.1756581457458986</v>
      </c>
      <c r="AZ80" s="21">
        <f t="shared" si="580"/>
        <v>-10.525564803804993</v>
      </c>
      <c r="BA80" s="21">
        <f t="shared" si="580"/>
        <v>-12.6480117820324</v>
      </c>
      <c r="BB80" s="21">
        <f t="shared" si="580"/>
        <v>-4.1010009099181071</v>
      </c>
      <c r="BC80" s="21">
        <f t="shared" si="580"/>
        <v>-0.14119492744149562</v>
      </c>
      <c r="BD80" s="22">
        <f t="shared" si="580"/>
        <v>-2.2425983638488507</v>
      </c>
      <c r="BE80" s="21">
        <f t="shared" si="580"/>
        <v>-4.8779174147217237</v>
      </c>
      <c r="BF80" s="21">
        <f t="shared" si="580"/>
        <v>-4.6004398826979473</v>
      </c>
      <c r="BG80" s="21">
        <f t="shared" si="580"/>
        <v>-7.83955223880597</v>
      </c>
      <c r="BH80" s="21">
        <f t="shared" si="580"/>
        <v>19.187142857142856</v>
      </c>
      <c r="BI80" s="22">
        <f t="shared" si="580"/>
        <v>-1.572235294117647</v>
      </c>
      <c r="BJ80" s="21">
        <f t="shared" si="580"/>
        <v>-0.75492957746478873</v>
      </c>
      <c r="BK80" s="21">
        <f t="shared" si="580"/>
        <v>0.57232346241457854</v>
      </c>
      <c r="BL80" s="21">
        <f t="shared" si="580"/>
        <v>-5.3808139534883717</v>
      </c>
      <c r="BM80" s="21">
        <f t="shared" si="580"/>
        <v>6.7389455782312924</v>
      </c>
      <c r="BN80" s="22">
        <f t="shared" ref="BN80:CS80" si="581">(BN6+BN14)/BN6</f>
        <v>0.13437558161176252</v>
      </c>
      <c r="BO80" s="21">
        <f t="shared" si="581"/>
        <v>0.66878172588832485</v>
      </c>
      <c r="BP80" s="21">
        <f t="shared" si="581"/>
        <v>0.71099744245524299</v>
      </c>
      <c r="BQ80" s="21">
        <f t="shared" si="581"/>
        <v>0.91569945021380572</v>
      </c>
      <c r="BR80" s="21">
        <f t="shared" si="581"/>
        <v>0.63185108583247152</v>
      </c>
      <c r="BS80" s="22">
        <f t="shared" si="581"/>
        <v>0.74687091350644497</v>
      </c>
      <c r="BT80" s="21">
        <f t="shared" si="581"/>
        <v>0.59454855195911416</v>
      </c>
      <c r="BU80" s="21">
        <f t="shared" si="581"/>
        <v>0.19637139807897544</v>
      </c>
      <c r="BV80" s="21" t="e">
        <f t="shared" si="581"/>
        <v>#DIV/0!</v>
      </c>
      <c r="BW80" s="21">
        <f t="shared" si="581"/>
        <v>30.875</v>
      </c>
      <c r="BX80" s="22">
        <f t="shared" si="581"/>
        <v>3.3898305084745763E-2</v>
      </c>
      <c r="BY80" s="21">
        <f t="shared" si="581"/>
        <v>0.90551917680074834</v>
      </c>
      <c r="BZ80" s="21">
        <f t="shared" si="581"/>
        <v>-1.6272965879265091</v>
      </c>
      <c r="CA80" s="21">
        <f t="shared" si="581"/>
        <v>0.48795180722891568</v>
      </c>
      <c r="CB80" s="21">
        <f t="shared" ref="CB80" si="582">(CB6+CB14)/CB6</f>
        <v>0.38752913752913754</v>
      </c>
      <c r="CC80" s="22">
        <f t="shared" si="581"/>
        <v>0.64485463774803875</v>
      </c>
      <c r="CD80" s="21">
        <f t="shared" ref="CD80:CE80" si="583">(CD6+CD14)/CD6</f>
        <v>0.4454482279360667</v>
      </c>
      <c r="CE80" s="21">
        <f t="shared" si="583"/>
        <v>-0.73513513513513518</v>
      </c>
      <c r="CF80" s="21">
        <f t="shared" si="581"/>
        <v>-0.73513513513513518</v>
      </c>
      <c r="CG80" s="21">
        <f t="shared" si="581"/>
        <v>-0.73513513513513518</v>
      </c>
      <c r="CH80" s="22">
        <f t="shared" si="581"/>
        <v>-0.19645014202481983</v>
      </c>
      <c r="CI80" s="21">
        <f t="shared" si="581"/>
        <v>-0.73513513513513518</v>
      </c>
      <c r="CJ80" s="21">
        <f t="shared" si="581"/>
        <v>-0.73513513513513518</v>
      </c>
      <c r="CK80" s="21">
        <f t="shared" si="581"/>
        <v>-0.73513513513513529</v>
      </c>
      <c r="CL80" s="21">
        <f t="shared" si="581"/>
        <v>-0.73513513513513518</v>
      </c>
      <c r="CM80" s="22">
        <f t="shared" si="581"/>
        <v>-0.73513513513513506</v>
      </c>
      <c r="CN80" s="21">
        <f t="shared" si="581"/>
        <v>-0.73513513513513529</v>
      </c>
      <c r="CO80" s="21">
        <f t="shared" si="581"/>
        <v>-0.73513513513513506</v>
      </c>
      <c r="CP80" s="21">
        <f t="shared" si="581"/>
        <v>-0.73513513513513529</v>
      </c>
      <c r="CQ80" s="21">
        <f t="shared" si="581"/>
        <v>-0.73513513513513529</v>
      </c>
      <c r="CR80" s="22">
        <f t="shared" si="581"/>
        <v>-0.73513513513513551</v>
      </c>
      <c r="CS80" s="21">
        <f t="shared" si="581"/>
        <v>-0.73513513513513518</v>
      </c>
      <c r="CT80" s="21">
        <f t="shared" ref="CT80:DB80" si="584">(CT6+CT14)/CT6</f>
        <v>-0.73513513513513529</v>
      </c>
      <c r="CU80" s="21">
        <f t="shared" si="584"/>
        <v>-0.73513513513513529</v>
      </c>
      <c r="CV80" s="21">
        <f t="shared" si="584"/>
        <v>-0.73513513513513529</v>
      </c>
      <c r="CW80" s="22">
        <f t="shared" si="584"/>
        <v>-0.73513513513513529</v>
      </c>
      <c r="CX80" s="21">
        <f t="shared" si="584"/>
        <v>-0.73513513513513529</v>
      </c>
      <c r="CY80" s="21">
        <f t="shared" si="584"/>
        <v>-0.73513513513513529</v>
      </c>
      <c r="CZ80" s="21">
        <f t="shared" si="584"/>
        <v>-0.73513513513513529</v>
      </c>
      <c r="DA80" s="21">
        <f t="shared" si="584"/>
        <v>-0.73513513513513529</v>
      </c>
      <c r="DB80" s="22">
        <f t="shared" si="584"/>
        <v>-0.7351351351351354</v>
      </c>
    </row>
    <row r="81" spans="1:106" s="11" customFormat="1" ht="11.25" customHeight="1" x14ac:dyDescent="0.35">
      <c r="A81" s="171" t="s">
        <v>111</v>
      </c>
      <c r="B81" s="21" t="e">
        <f t="shared" ref="B81:AE81" si="585">B65/B$59</f>
        <v>#DIV/0!</v>
      </c>
      <c r="C81" s="21" t="e">
        <f t="shared" si="585"/>
        <v>#DIV/0!</v>
      </c>
      <c r="D81" s="21" t="e">
        <f t="shared" si="585"/>
        <v>#DIV/0!</v>
      </c>
      <c r="E81" s="21" t="e">
        <f t="shared" si="585"/>
        <v>#DIV/0!</v>
      </c>
      <c r="F81" s="22" t="e">
        <f t="shared" si="585"/>
        <v>#DIV/0!</v>
      </c>
      <c r="G81" s="21" t="e">
        <f t="shared" si="585"/>
        <v>#DIV/0!</v>
      </c>
      <c r="H81" s="21" t="e">
        <f t="shared" si="585"/>
        <v>#DIV/0!</v>
      </c>
      <c r="I81" s="21" t="e">
        <f t="shared" si="585"/>
        <v>#DIV/0!</v>
      </c>
      <c r="J81" s="21" t="e">
        <f t="shared" si="585"/>
        <v>#DIV/0!</v>
      </c>
      <c r="K81" s="22" t="e">
        <f t="shared" si="585"/>
        <v>#DIV/0!</v>
      </c>
      <c r="L81" s="21" t="e">
        <f t="shared" si="585"/>
        <v>#DIV/0!</v>
      </c>
      <c r="M81" s="21" t="e">
        <f t="shared" si="585"/>
        <v>#DIV/0!</v>
      </c>
      <c r="N81" s="21" t="e">
        <f t="shared" si="585"/>
        <v>#DIV/0!</v>
      </c>
      <c r="O81" s="21" t="e">
        <f t="shared" si="585"/>
        <v>#DIV/0!</v>
      </c>
      <c r="P81" s="22" t="e">
        <f t="shared" si="585"/>
        <v>#DIV/0!</v>
      </c>
      <c r="Q81" s="21" t="e">
        <f t="shared" si="585"/>
        <v>#DIV/0!</v>
      </c>
      <c r="R81" s="21" t="e">
        <f t="shared" si="585"/>
        <v>#DIV/0!</v>
      </c>
      <c r="S81" s="21" t="e">
        <f t="shared" si="585"/>
        <v>#DIV/0!</v>
      </c>
      <c r="T81" s="21" t="e">
        <f t="shared" si="585"/>
        <v>#DIV/0!</v>
      </c>
      <c r="U81" s="22" t="e">
        <f t="shared" si="585"/>
        <v>#DIV/0!</v>
      </c>
      <c r="V81" s="21" t="e">
        <f t="shared" si="585"/>
        <v>#DIV/0!</v>
      </c>
      <c r="W81" s="21" t="e">
        <f t="shared" si="585"/>
        <v>#DIV/0!</v>
      </c>
      <c r="X81" s="21" t="e">
        <f t="shared" si="585"/>
        <v>#DIV/0!</v>
      </c>
      <c r="Y81" s="21" t="e">
        <f t="shared" si="585"/>
        <v>#DIV/0!</v>
      </c>
      <c r="Z81" s="22" t="e">
        <f t="shared" si="585"/>
        <v>#DIV/0!</v>
      </c>
      <c r="AA81" s="21" t="e">
        <f t="shared" si="585"/>
        <v>#DIV/0!</v>
      </c>
      <c r="AB81" s="21" t="e">
        <f t="shared" si="585"/>
        <v>#DIV/0!</v>
      </c>
      <c r="AC81" s="21" t="e">
        <f t="shared" si="585"/>
        <v>#DIV/0!</v>
      </c>
      <c r="AD81" s="21" t="e">
        <f t="shared" si="585"/>
        <v>#DIV/0!</v>
      </c>
      <c r="AE81" s="22" t="e">
        <f t="shared" si="585"/>
        <v>#DIV/0!</v>
      </c>
      <c r="AF81" s="21" t="e">
        <f t="shared" ref="AF81:AL81" si="586">AF65/AF$59</f>
        <v>#DIV/0!</v>
      </c>
      <c r="AG81" s="21" t="e">
        <f t="shared" si="586"/>
        <v>#DIV/0!</v>
      </c>
      <c r="AH81" s="21" t="e">
        <f t="shared" si="586"/>
        <v>#DIV/0!</v>
      </c>
      <c r="AI81" s="21" t="e">
        <f t="shared" si="586"/>
        <v>#DIV/0!</v>
      </c>
      <c r="AJ81" s="22" t="e">
        <f t="shared" si="586"/>
        <v>#DIV/0!</v>
      </c>
      <c r="AK81" s="21">
        <f t="shared" si="586"/>
        <v>7.7030254891980565E-2</v>
      </c>
      <c r="AL81" s="21">
        <f t="shared" si="586"/>
        <v>8.1758369545259627E-2</v>
      </c>
      <c r="AM81" s="21">
        <f t="shared" ref="AM81:BR81" si="587">AM65/AM$59</f>
        <v>0.20437398943007246</v>
      </c>
      <c r="AN81" s="21">
        <f t="shared" si="587"/>
        <v>0.23465933043465773</v>
      </c>
      <c r="AO81" s="22">
        <f t="shared" si="587"/>
        <v>0.15532744365102447</v>
      </c>
      <c r="AP81" s="21">
        <f t="shared" si="587"/>
        <v>0.1424595856671271</v>
      </c>
      <c r="AQ81" s="21">
        <f t="shared" si="587"/>
        <v>0.17390483246038704</v>
      </c>
      <c r="AR81" s="21">
        <f t="shared" si="587"/>
        <v>0.23671189920526511</v>
      </c>
      <c r="AS81" s="21">
        <f t="shared" si="587"/>
        <v>0.24833797389168677</v>
      </c>
      <c r="AT81" s="22">
        <f t="shared" si="587"/>
        <v>0.20917896844371237</v>
      </c>
      <c r="AU81" s="21">
        <f t="shared" si="587"/>
        <v>0.1736316823273345</v>
      </c>
      <c r="AV81" s="21">
        <f t="shared" si="587"/>
        <v>0.30543862728912757</v>
      </c>
      <c r="AW81" s="21">
        <f t="shared" si="587"/>
        <v>0.19241828665820346</v>
      </c>
      <c r="AX81" s="21">
        <f t="shared" si="587"/>
        <v>0.26089507707608156</v>
      </c>
      <c r="AY81" s="22">
        <f t="shared" si="587"/>
        <v>0.23889874881901582</v>
      </c>
      <c r="AZ81" s="21">
        <f t="shared" si="587"/>
        <v>0.12682066329111696</v>
      </c>
      <c r="BA81" s="21">
        <f t="shared" si="587"/>
        <v>0.20541502168933079</v>
      </c>
      <c r="BB81" s="21">
        <f t="shared" si="587"/>
        <v>0.20793993194168708</v>
      </c>
      <c r="BC81" s="21">
        <f t="shared" si="587"/>
        <v>0.23537623819730058</v>
      </c>
      <c r="BD81" s="22">
        <f t="shared" si="587"/>
        <v>0.19956284802242019</v>
      </c>
      <c r="BE81" s="21">
        <f t="shared" si="587"/>
        <v>0.18656826394251458</v>
      </c>
      <c r="BF81" s="21">
        <f t="shared" si="587"/>
        <v>0.19832630606398324</v>
      </c>
      <c r="BG81" s="21">
        <f t="shared" si="587"/>
        <v>0.19212880299880161</v>
      </c>
      <c r="BH81" s="21">
        <f t="shared" si="587"/>
        <v>0.28032889339464967</v>
      </c>
      <c r="BI81" s="22">
        <f t="shared" si="587"/>
        <v>0.21757699354827575</v>
      </c>
      <c r="BJ81" s="21">
        <f t="shared" si="587"/>
        <v>0.17981599288291228</v>
      </c>
      <c r="BK81" s="21">
        <f t="shared" si="587"/>
        <v>0.18772924916595193</v>
      </c>
      <c r="BL81" s="21">
        <f t="shared" si="587"/>
        <v>0.18352884104433193</v>
      </c>
      <c r="BM81" s="21">
        <f t="shared" si="587"/>
        <v>0.21634411640062157</v>
      </c>
      <c r="BN81" s="22">
        <f t="shared" si="587"/>
        <v>0.19235332216361714</v>
      </c>
      <c r="BO81" s="21">
        <f t="shared" si="587"/>
        <v>0.19668849461136623</v>
      </c>
      <c r="BP81" s="21">
        <f t="shared" si="587"/>
        <v>0.20516224067188277</v>
      </c>
      <c r="BQ81" s="21">
        <f t="shared" si="587"/>
        <v>0.18360124169741207</v>
      </c>
      <c r="BR81" s="21">
        <f t="shared" si="587"/>
        <v>0.22777342421598923</v>
      </c>
      <c r="BS81" s="22">
        <f t="shared" ref="BS81:DB81" si="588">BS65/BS$59</f>
        <v>0.20415692481251985</v>
      </c>
      <c r="BT81" s="21">
        <f t="shared" si="588"/>
        <v>0.21526495673420254</v>
      </c>
      <c r="BU81" s="21">
        <f t="shared" si="588"/>
        <v>0.20237554917667333</v>
      </c>
      <c r="BV81" s="21">
        <f t="shared" si="588"/>
        <v>0.19943610589162322</v>
      </c>
      <c r="BW81" s="21">
        <f t="shared" si="588"/>
        <v>0.22159944578157262</v>
      </c>
      <c r="BX81" s="22">
        <f t="shared" si="588"/>
        <v>0.20940144817907907</v>
      </c>
      <c r="BY81" s="21">
        <f t="shared" si="588"/>
        <v>0.23061806437183846</v>
      </c>
      <c r="BZ81" s="21">
        <f t="shared" si="588"/>
        <v>0.23527122773743334</v>
      </c>
      <c r="CA81" s="21">
        <f t="shared" si="588"/>
        <v>0.23252661042284495</v>
      </c>
      <c r="CB81" s="21">
        <f t="shared" ref="CB81" si="589">CB65/CB$59</f>
        <v>0.24464628464163582</v>
      </c>
      <c r="CC81" s="22">
        <f t="shared" si="588"/>
        <v>0.23596794769219828</v>
      </c>
      <c r="CD81" s="21">
        <f t="shared" ref="CD81:CE81" si="590">CD65/CD$59</f>
        <v>0.2513489328531891</v>
      </c>
      <c r="CE81" s="21">
        <f t="shared" si="590"/>
        <v>0.22647897721155996</v>
      </c>
      <c r="CF81" s="21">
        <f t="shared" si="588"/>
        <v>0.22780878325393991</v>
      </c>
      <c r="CG81" s="21">
        <f t="shared" si="588"/>
        <v>0.24055785724991352</v>
      </c>
      <c r="CH81" s="22">
        <f t="shared" si="588"/>
        <v>0.23635463780139895</v>
      </c>
      <c r="CI81" s="21">
        <f t="shared" si="588"/>
        <v>0.2388927365816686</v>
      </c>
      <c r="CJ81" s="21">
        <f t="shared" si="588"/>
        <v>0.22663173074409654</v>
      </c>
      <c r="CK81" s="21">
        <f t="shared" si="588"/>
        <v>0.24267875103952827</v>
      </c>
      <c r="CL81" s="21">
        <f t="shared" si="588"/>
        <v>0.24907904575673523</v>
      </c>
      <c r="CM81" s="22">
        <f t="shared" si="588"/>
        <v>0.23924471829496324</v>
      </c>
      <c r="CN81" s="21">
        <f t="shared" si="588"/>
        <v>0.24925726601462841</v>
      </c>
      <c r="CO81" s="21">
        <f t="shared" si="588"/>
        <v>0.22738301976958752</v>
      </c>
      <c r="CP81" s="21">
        <f t="shared" si="588"/>
        <v>0.23775541101719985</v>
      </c>
      <c r="CQ81" s="21">
        <f t="shared" si="588"/>
        <v>0.24450676506993146</v>
      </c>
      <c r="CR81" s="22">
        <f t="shared" si="588"/>
        <v>0.23952584916179082</v>
      </c>
      <c r="CS81" s="21">
        <f t="shared" si="588"/>
        <v>0.24473512849119863</v>
      </c>
      <c r="CT81" s="21">
        <f t="shared" si="588"/>
        <v>0.2228221022062499</v>
      </c>
      <c r="CU81" s="21">
        <f t="shared" si="588"/>
        <v>0.23243808547198824</v>
      </c>
      <c r="CV81" s="21">
        <f t="shared" si="588"/>
        <v>0.23876458787942531</v>
      </c>
      <c r="CW81" s="22">
        <f t="shared" si="588"/>
        <v>0.2345052625603197</v>
      </c>
      <c r="CX81" s="21">
        <f t="shared" si="588"/>
        <v>0.24291254435638956</v>
      </c>
      <c r="CY81" s="21">
        <f t="shared" si="588"/>
        <v>0.22156899892536153</v>
      </c>
      <c r="CZ81" s="21">
        <f t="shared" si="588"/>
        <v>0.23098015712125597</v>
      </c>
      <c r="DA81" s="21">
        <f t="shared" si="588"/>
        <v>0.23716571218483595</v>
      </c>
      <c r="DB81" s="22">
        <f t="shared" si="588"/>
        <v>0.23298551577214727</v>
      </c>
    </row>
    <row r="82" spans="1:106" ht="11.25" customHeight="1" x14ac:dyDescent="0.35">
      <c r="A82" s="171" t="s">
        <v>8</v>
      </c>
      <c r="B82" s="21" t="e">
        <f t="shared" ref="B82:AE82" si="591">B63/B59</f>
        <v>#DIV/0!</v>
      </c>
      <c r="C82" s="21" t="e">
        <f t="shared" si="591"/>
        <v>#DIV/0!</v>
      </c>
      <c r="D82" s="21" t="e">
        <f t="shared" si="591"/>
        <v>#DIV/0!</v>
      </c>
      <c r="E82" s="21" t="e">
        <f t="shared" si="591"/>
        <v>#DIV/0!</v>
      </c>
      <c r="F82" s="22" t="e">
        <f t="shared" si="591"/>
        <v>#DIV/0!</v>
      </c>
      <c r="G82" s="21" t="e">
        <f t="shared" si="591"/>
        <v>#DIV/0!</v>
      </c>
      <c r="H82" s="21" t="e">
        <f t="shared" si="591"/>
        <v>#DIV/0!</v>
      </c>
      <c r="I82" s="21" t="e">
        <f t="shared" si="591"/>
        <v>#DIV/0!</v>
      </c>
      <c r="J82" s="21" t="e">
        <f t="shared" si="591"/>
        <v>#DIV/0!</v>
      </c>
      <c r="K82" s="22" t="e">
        <f t="shared" si="591"/>
        <v>#DIV/0!</v>
      </c>
      <c r="L82" s="21" t="e">
        <f t="shared" si="591"/>
        <v>#DIV/0!</v>
      </c>
      <c r="M82" s="21" t="e">
        <f t="shared" si="591"/>
        <v>#DIV/0!</v>
      </c>
      <c r="N82" s="21" t="e">
        <f t="shared" si="591"/>
        <v>#DIV/0!</v>
      </c>
      <c r="O82" s="21" t="e">
        <f t="shared" si="591"/>
        <v>#DIV/0!</v>
      </c>
      <c r="P82" s="22" t="e">
        <f t="shared" si="591"/>
        <v>#DIV/0!</v>
      </c>
      <c r="Q82" s="21" t="e">
        <f t="shared" si="591"/>
        <v>#DIV/0!</v>
      </c>
      <c r="R82" s="21" t="e">
        <f t="shared" si="591"/>
        <v>#DIV/0!</v>
      </c>
      <c r="S82" s="21" t="e">
        <f t="shared" si="591"/>
        <v>#DIV/0!</v>
      </c>
      <c r="T82" s="21" t="e">
        <f t="shared" si="591"/>
        <v>#DIV/0!</v>
      </c>
      <c r="U82" s="22" t="e">
        <f t="shared" si="591"/>
        <v>#DIV/0!</v>
      </c>
      <c r="V82" s="21" t="e">
        <f t="shared" si="591"/>
        <v>#DIV/0!</v>
      </c>
      <c r="W82" s="21" t="e">
        <f t="shared" si="591"/>
        <v>#DIV/0!</v>
      </c>
      <c r="X82" s="21" t="e">
        <f t="shared" si="591"/>
        <v>#DIV/0!</v>
      </c>
      <c r="Y82" s="21" t="e">
        <f t="shared" si="591"/>
        <v>#DIV/0!</v>
      </c>
      <c r="Z82" s="22" t="e">
        <f t="shared" si="591"/>
        <v>#DIV/0!</v>
      </c>
      <c r="AA82" s="21" t="e">
        <f t="shared" si="591"/>
        <v>#DIV/0!</v>
      </c>
      <c r="AB82" s="21" t="e">
        <f t="shared" si="591"/>
        <v>#DIV/0!</v>
      </c>
      <c r="AC82" s="21" t="e">
        <f t="shared" si="591"/>
        <v>#DIV/0!</v>
      </c>
      <c r="AD82" s="21" t="e">
        <f t="shared" si="591"/>
        <v>#DIV/0!</v>
      </c>
      <c r="AE82" s="22" t="e">
        <f t="shared" si="591"/>
        <v>#DIV/0!</v>
      </c>
      <c r="AF82" s="21" t="e">
        <f t="shared" ref="AF82:AG82" si="592">AF63/AF59</f>
        <v>#DIV/0!</v>
      </c>
      <c r="AG82" s="21" t="e">
        <f t="shared" si="592"/>
        <v>#DIV/0!</v>
      </c>
      <c r="AH82" s="21" t="e">
        <f t="shared" ref="AH82:BM82" si="593">AH63/AH59</f>
        <v>#DIV/0!</v>
      </c>
      <c r="AI82" s="21" t="e">
        <f t="shared" si="593"/>
        <v>#DIV/0!</v>
      </c>
      <c r="AJ82" s="22" t="e">
        <f t="shared" si="593"/>
        <v>#DIV/0!</v>
      </c>
      <c r="AK82" s="21">
        <f t="shared" si="593"/>
        <v>7.7030254891980565E-2</v>
      </c>
      <c r="AL82" s="21">
        <f t="shared" si="593"/>
        <v>8.1758369545259627E-2</v>
      </c>
      <c r="AM82" s="21">
        <f t="shared" si="593"/>
        <v>0.20437398943007246</v>
      </c>
      <c r="AN82" s="21">
        <f t="shared" si="593"/>
        <v>0.23465933043465773</v>
      </c>
      <c r="AO82" s="22">
        <f t="shared" si="593"/>
        <v>0.15532744365102447</v>
      </c>
      <c r="AP82" s="21">
        <f t="shared" si="593"/>
        <v>0.1424595856671271</v>
      </c>
      <c r="AQ82" s="21">
        <f t="shared" si="593"/>
        <v>0.17390483246038704</v>
      </c>
      <c r="AR82" s="21">
        <f t="shared" si="593"/>
        <v>0.23671189920526511</v>
      </c>
      <c r="AS82" s="21">
        <f t="shared" si="593"/>
        <v>0.24833797389168677</v>
      </c>
      <c r="AT82" s="22">
        <f t="shared" si="593"/>
        <v>0.20917896844371237</v>
      </c>
      <c r="AU82" s="21">
        <f t="shared" si="593"/>
        <v>0.16378935074587248</v>
      </c>
      <c r="AV82" s="21">
        <f t="shared" si="593"/>
        <v>0.30477005075952535</v>
      </c>
      <c r="AW82" s="21">
        <f t="shared" si="593"/>
        <v>0.19089261406218933</v>
      </c>
      <c r="AX82" s="21">
        <f t="shared" si="593"/>
        <v>0.26512846013591912</v>
      </c>
      <c r="AY82" s="22">
        <f t="shared" si="593"/>
        <v>0.2377655926700985</v>
      </c>
      <c r="AZ82" s="21">
        <f t="shared" si="593"/>
        <v>0.11395339629862618</v>
      </c>
      <c r="BA82" s="21">
        <f t="shared" si="593"/>
        <v>0.20416808825201865</v>
      </c>
      <c r="BB82" s="21">
        <f t="shared" si="593"/>
        <v>0.20681994617931432</v>
      </c>
      <c r="BC82" s="21">
        <f t="shared" si="593"/>
        <v>0.24127903608874471</v>
      </c>
      <c r="BD82" s="22">
        <f t="shared" si="593"/>
        <v>0.19820089771657107</v>
      </c>
      <c r="BE82" s="21">
        <f t="shared" si="593"/>
        <v>0.18558089635292938</v>
      </c>
      <c r="BF82" s="21">
        <f t="shared" si="593"/>
        <v>0.1975397541083492</v>
      </c>
      <c r="BG82" s="21">
        <f t="shared" si="593"/>
        <v>0.19132915177818333</v>
      </c>
      <c r="BH82" s="21">
        <f t="shared" si="593"/>
        <v>0.27954920677574135</v>
      </c>
      <c r="BI82" s="22">
        <f t="shared" si="593"/>
        <v>0.21674974615931128</v>
      </c>
      <c r="BJ82" s="21">
        <f t="shared" si="593"/>
        <v>0.17880118200878906</v>
      </c>
      <c r="BK82" s="21">
        <f t="shared" si="593"/>
        <v>0.1869677811086245</v>
      </c>
      <c r="BL82" s="21">
        <f t="shared" si="593"/>
        <v>0.18286500313567666</v>
      </c>
      <c r="BM82" s="21">
        <f t="shared" si="593"/>
        <v>0.21544313479580621</v>
      </c>
      <c r="BN82" s="22">
        <f t="shared" ref="BN82:CS82" si="594">BN63/BN59</f>
        <v>0.19153287077358996</v>
      </c>
      <c r="BO82" s="21">
        <f t="shared" si="594"/>
        <v>0.19538419647839503</v>
      </c>
      <c r="BP82" s="21">
        <f t="shared" si="594"/>
        <v>0.20417151038961395</v>
      </c>
      <c r="BQ82" s="21">
        <f t="shared" si="594"/>
        <v>0.18267555468070448</v>
      </c>
      <c r="BR82" s="21">
        <f t="shared" si="594"/>
        <v>0.22680989063524218</v>
      </c>
      <c r="BS82" s="22">
        <f t="shared" si="594"/>
        <v>0.20312614771399626</v>
      </c>
      <c r="BT82" s="21">
        <f t="shared" si="594"/>
        <v>0.21463322593511683</v>
      </c>
      <c r="BU82" s="21">
        <f t="shared" si="594"/>
        <v>0.20164615238181116</v>
      </c>
      <c r="BV82" s="21">
        <f t="shared" si="594"/>
        <v>0.19874946963268275</v>
      </c>
      <c r="BW82" s="21">
        <f t="shared" si="594"/>
        <v>0.22093179422418599</v>
      </c>
      <c r="BX82" s="22">
        <f t="shared" si="594"/>
        <v>0.20872065629051195</v>
      </c>
      <c r="BY82" s="21">
        <f t="shared" si="594"/>
        <v>0.23045032659531781</v>
      </c>
      <c r="BZ82" s="21">
        <f t="shared" si="594"/>
        <v>0.23510339752220222</v>
      </c>
      <c r="CA82" s="21">
        <f t="shared" si="594"/>
        <v>0.23237205048111192</v>
      </c>
      <c r="CB82" s="21">
        <f t="shared" ref="CB82" si="595">CB63/CB59</f>
        <v>0.244494141429794</v>
      </c>
      <c r="CC82" s="22">
        <f t="shared" si="594"/>
        <v>0.23580774541877059</v>
      </c>
      <c r="CD82" s="21">
        <f t="shared" ref="CD82:CE82" si="596">CD63/CD59</f>
        <v>0.25121746577360005</v>
      </c>
      <c r="CE82" s="21">
        <f t="shared" si="596"/>
        <v>0.2263618586130082</v>
      </c>
      <c r="CF82" s="21">
        <f t="shared" si="594"/>
        <v>0.22768408696966905</v>
      </c>
      <c r="CG82" s="21">
        <f t="shared" si="594"/>
        <v>0.24043512512461249</v>
      </c>
      <c r="CH82" s="22">
        <f t="shared" si="594"/>
        <v>0.23623072996908959</v>
      </c>
      <c r="CI82" s="21">
        <f t="shared" si="594"/>
        <v>0.23877664373131469</v>
      </c>
      <c r="CJ82" s="21">
        <f t="shared" si="594"/>
        <v>0.22652966814062619</v>
      </c>
      <c r="CK82" s="21">
        <f t="shared" si="594"/>
        <v>0.24257779797559556</v>
      </c>
      <c r="CL82" s="21">
        <f t="shared" si="594"/>
        <v>0.24897273080843815</v>
      </c>
      <c r="CM82" s="22">
        <f t="shared" si="594"/>
        <v>0.23913868455464651</v>
      </c>
      <c r="CN82" s="21">
        <f t="shared" si="594"/>
        <v>0.2491560633993718</v>
      </c>
      <c r="CO82" s="21">
        <f t="shared" si="594"/>
        <v>0.22728918405362492</v>
      </c>
      <c r="CP82" s="21">
        <f t="shared" si="594"/>
        <v>0.23766244041843659</v>
      </c>
      <c r="CQ82" s="21">
        <f t="shared" si="594"/>
        <v>0.24441151843941977</v>
      </c>
      <c r="CR82" s="22">
        <f t="shared" si="594"/>
        <v>0.23943014085390055</v>
      </c>
      <c r="CS82" s="21">
        <f t="shared" si="594"/>
        <v>0.24464303932322029</v>
      </c>
      <c r="CT82" s="21">
        <f t="shared" ref="CT82:DB82" si="597">CT63/CT59</f>
        <v>0.22273560519414126</v>
      </c>
      <c r="CU82" s="21">
        <f t="shared" si="597"/>
        <v>0.23235177177821553</v>
      </c>
      <c r="CV82" s="21">
        <f t="shared" si="597"/>
        <v>0.23867575911074257</v>
      </c>
      <c r="CW82" s="22">
        <f t="shared" si="597"/>
        <v>0.23441689143795069</v>
      </c>
      <c r="CX82" s="21">
        <f t="shared" si="597"/>
        <v>0.24282620314206468</v>
      </c>
      <c r="CY82" s="21">
        <f t="shared" si="597"/>
        <v>0.22148749982326846</v>
      </c>
      <c r="CZ82" s="21">
        <f t="shared" si="597"/>
        <v>0.23089860260490708</v>
      </c>
      <c r="DA82" s="21">
        <f t="shared" si="597"/>
        <v>0.23708162627608323</v>
      </c>
      <c r="DB82" s="22">
        <f t="shared" si="597"/>
        <v>0.23290219382767155</v>
      </c>
    </row>
    <row r="83" spans="1:106" ht="11.25" customHeight="1" x14ac:dyDescent="0.35">
      <c r="A83" s="172" t="s">
        <v>218</v>
      </c>
      <c r="B83" s="96" t="e">
        <f t="shared" ref="B83:AE83" si="598">B74/B$59</f>
        <v>#DIV/0!</v>
      </c>
      <c r="C83" s="96" t="e">
        <f t="shared" si="598"/>
        <v>#DIV/0!</v>
      </c>
      <c r="D83" s="96" t="e">
        <f t="shared" si="598"/>
        <v>#DIV/0!</v>
      </c>
      <c r="E83" s="96" t="e">
        <f t="shared" si="598"/>
        <v>#DIV/0!</v>
      </c>
      <c r="F83" s="97" t="e">
        <f t="shared" si="598"/>
        <v>#DIV/0!</v>
      </c>
      <c r="G83" s="96" t="e">
        <f t="shared" si="598"/>
        <v>#DIV/0!</v>
      </c>
      <c r="H83" s="96" t="e">
        <f t="shared" si="598"/>
        <v>#DIV/0!</v>
      </c>
      <c r="I83" s="96" t="e">
        <f t="shared" si="598"/>
        <v>#DIV/0!</v>
      </c>
      <c r="J83" s="96" t="e">
        <f t="shared" si="598"/>
        <v>#DIV/0!</v>
      </c>
      <c r="K83" s="97" t="e">
        <f t="shared" si="598"/>
        <v>#DIV/0!</v>
      </c>
      <c r="L83" s="96" t="e">
        <f t="shared" si="598"/>
        <v>#DIV/0!</v>
      </c>
      <c r="M83" s="96" t="e">
        <f t="shared" si="598"/>
        <v>#DIV/0!</v>
      </c>
      <c r="N83" s="96" t="e">
        <f t="shared" si="598"/>
        <v>#DIV/0!</v>
      </c>
      <c r="O83" s="96" t="e">
        <f t="shared" si="598"/>
        <v>#DIV/0!</v>
      </c>
      <c r="P83" s="97" t="e">
        <f t="shared" si="598"/>
        <v>#DIV/0!</v>
      </c>
      <c r="Q83" s="96" t="e">
        <f t="shared" si="598"/>
        <v>#DIV/0!</v>
      </c>
      <c r="R83" s="96" t="e">
        <f t="shared" si="598"/>
        <v>#DIV/0!</v>
      </c>
      <c r="S83" s="96" t="e">
        <f t="shared" si="598"/>
        <v>#DIV/0!</v>
      </c>
      <c r="T83" s="96" t="e">
        <f t="shared" si="598"/>
        <v>#DIV/0!</v>
      </c>
      <c r="U83" s="97" t="e">
        <f t="shared" si="598"/>
        <v>#DIV/0!</v>
      </c>
      <c r="V83" s="96" t="e">
        <f t="shared" si="598"/>
        <v>#DIV/0!</v>
      </c>
      <c r="W83" s="96" t="e">
        <f t="shared" si="598"/>
        <v>#DIV/0!</v>
      </c>
      <c r="X83" s="96" t="e">
        <f t="shared" si="598"/>
        <v>#DIV/0!</v>
      </c>
      <c r="Y83" s="96" t="e">
        <f t="shared" si="598"/>
        <v>#DIV/0!</v>
      </c>
      <c r="Z83" s="97" t="e">
        <f t="shared" si="598"/>
        <v>#DIV/0!</v>
      </c>
      <c r="AA83" s="96" t="e">
        <f t="shared" si="598"/>
        <v>#DIV/0!</v>
      </c>
      <c r="AB83" s="96" t="e">
        <f t="shared" si="598"/>
        <v>#DIV/0!</v>
      </c>
      <c r="AC83" s="96" t="e">
        <f t="shared" si="598"/>
        <v>#DIV/0!</v>
      </c>
      <c r="AD83" s="96" t="e">
        <f t="shared" si="598"/>
        <v>#DIV/0!</v>
      </c>
      <c r="AE83" s="97" t="e">
        <f t="shared" si="598"/>
        <v>#DIV/0!</v>
      </c>
      <c r="AF83" s="96" t="e">
        <f t="shared" ref="AF83:BM83" si="599">AF74/AF$59</f>
        <v>#DIV/0!</v>
      </c>
      <c r="AG83" s="96" t="e">
        <f t="shared" si="599"/>
        <v>#DIV/0!</v>
      </c>
      <c r="AH83" s="96" t="e">
        <f t="shared" si="599"/>
        <v>#DIV/0!</v>
      </c>
      <c r="AI83" s="96" t="e">
        <f t="shared" si="599"/>
        <v>#DIV/0!</v>
      </c>
      <c r="AJ83" s="97" t="e">
        <f t="shared" si="599"/>
        <v>#DIV/0!</v>
      </c>
      <c r="AK83" s="96">
        <f t="shared" si="599"/>
        <v>7.6041142477217979E-2</v>
      </c>
      <c r="AL83" s="96">
        <f t="shared" si="599"/>
        <v>9.4224430322110531E-2</v>
      </c>
      <c r="AM83" s="96">
        <f t="shared" si="599"/>
        <v>0.15507545929290803</v>
      </c>
      <c r="AN83" s="96">
        <f t="shared" si="599"/>
        <v>0.21044279475046943</v>
      </c>
      <c r="AO83" s="97">
        <f t="shared" si="599"/>
        <v>0.13855147609556129</v>
      </c>
      <c r="AP83" s="96">
        <f t="shared" si="599"/>
        <v>0.13552613396768554</v>
      </c>
      <c r="AQ83" s="96">
        <f t="shared" si="599"/>
        <v>0.13603262342663017</v>
      </c>
      <c r="AR83" s="96">
        <f t="shared" si="599"/>
        <v>0.13754666560590961</v>
      </c>
      <c r="AS83" s="96">
        <f t="shared" si="599"/>
        <v>0.15588532886958964</v>
      </c>
      <c r="AT83" s="97">
        <f t="shared" si="599"/>
        <v>0.14235149615775003</v>
      </c>
      <c r="AU83" s="96">
        <f t="shared" si="599"/>
        <v>9.7552688857036676E-2</v>
      </c>
      <c r="AV83" s="96">
        <f t="shared" si="599"/>
        <v>0.22811158878434859</v>
      </c>
      <c r="AW83" s="96">
        <f t="shared" si="599"/>
        <v>0.11588993744359982</v>
      </c>
      <c r="AX83" s="96">
        <f t="shared" si="599"/>
        <v>0.16698491629371789</v>
      </c>
      <c r="AY83" s="97">
        <f t="shared" si="599"/>
        <v>0.15709959118080757</v>
      </c>
      <c r="AZ83" s="96">
        <f t="shared" si="599"/>
        <v>2.8593926649979545E-2</v>
      </c>
      <c r="BA83" s="96">
        <f t="shared" si="599"/>
        <v>0.15023720167015969</v>
      </c>
      <c r="BB83" s="96">
        <f t="shared" si="599"/>
        <v>0.15144048579766001</v>
      </c>
      <c r="BC83" s="96">
        <f t="shared" si="599"/>
        <v>0.1968632335051845</v>
      </c>
      <c r="BD83" s="97">
        <f t="shared" si="599"/>
        <v>0.14048617869417007</v>
      </c>
      <c r="BE83" s="96">
        <f t="shared" si="599"/>
        <v>0.14734766539143968</v>
      </c>
      <c r="BF83" s="96">
        <f t="shared" si="599"/>
        <v>0.17415589681324598</v>
      </c>
      <c r="BG83" s="96">
        <f t="shared" si="599"/>
        <v>0.14767257678294837</v>
      </c>
      <c r="BH83" s="96">
        <f t="shared" si="599"/>
        <v>0.2112034656357703</v>
      </c>
      <c r="BI83" s="97">
        <f t="shared" si="599"/>
        <v>0.17243851014931297</v>
      </c>
      <c r="BJ83" s="96">
        <f t="shared" si="599"/>
        <v>0.13836968621332488</v>
      </c>
      <c r="BK83" s="96">
        <f t="shared" si="599"/>
        <v>0.14321074084703783</v>
      </c>
      <c r="BL83" s="96">
        <f t="shared" si="599"/>
        <v>0.14341452049679332</v>
      </c>
      <c r="BM83" s="96">
        <f t="shared" si="599"/>
        <v>0.15811968756783204</v>
      </c>
      <c r="BN83" s="97">
        <f t="shared" ref="BN83:CA83" si="600">BN74/BN$59</f>
        <v>0.14614179632781552</v>
      </c>
      <c r="BO83" s="96">
        <f t="shared" si="600"/>
        <v>0.15437948352483208</v>
      </c>
      <c r="BP83" s="96">
        <f t="shared" si="600"/>
        <v>0.16677934334231997</v>
      </c>
      <c r="BQ83" s="96">
        <f t="shared" si="600"/>
        <v>0.14393369101737791</v>
      </c>
      <c r="BR83" s="96">
        <f t="shared" si="600"/>
        <v>0.19754040187482441</v>
      </c>
      <c r="BS83" s="97">
        <f t="shared" si="600"/>
        <v>0.16692179121687828</v>
      </c>
      <c r="BT83" s="96">
        <f t="shared" si="600"/>
        <v>0.16866973495967194</v>
      </c>
      <c r="BU83" s="96">
        <f t="shared" si="600"/>
        <v>0.17257748588547067</v>
      </c>
      <c r="BV83" s="96">
        <f t="shared" si="600"/>
        <v>0.16154514941204995</v>
      </c>
      <c r="BW83" s="96">
        <f t="shared" si="600"/>
        <v>0.16018226597653462</v>
      </c>
      <c r="BX83" s="97">
        <f t="shared" si="600"/>
        <v>0.16550985530943813</v>
      </c>
      <c r="BY83" s="96">
        <f t="shared" si="600"/>
        <v>0.17552853844484059</v>
      </c>
      <c r="BZ83" s="96">
        <f t="shared" si="600"/>
        <v>0.17579918000830239</v>
      </c>
      <c r="CA83" s="96">
        <f t="shared" si="600"/>
        <v>0.180145610991682</v>
      </c>
      <c r="CB83" s="96">
        <f t="shared" ref="CB83" si="601">CB74/CB$59</f>
        <v>0.19023325103982136</v>
      </c>
      <c r="CC83" s="97">
        <f t="shared" ref="CC83:DB83" si="602">CC74/CC$59</f>
        <v>0.18067408671739801</v>
      </c>
      <c r="CD83" s="96">
        <f t="shared" si="602"/>
        <v>0.18781622638631104</v>
      </c>
      <c r="CE83" s="96">
        <f t="shared" si="602"/>
        <v>0.15997394998444334</v>
      </c>
      <c r="CF83" s="96">
        <f t="shared" ca="1" si="602"/>
        <v>0.17448299991950036</v>
      </c>
      <c r="CG83" s="96">
        <f t="shared" ca="1" si="602"/>
        <v>0.18919236263188036</v>
      </c>
      <c r="CH83" s="97">
        <f t="shared" ca="1" si="602"/>
        <v>0.17787087599059531</v>
      </c>
      <c r="CI83" s="96">
        <f t="shared" ca="1" si="602"/>
        <v>0.18389383407780982</v>
      </c>
      <c r="CJ83" s="96">
        <f t="shared" ca="1" si="602"/>
        <v>0.17532630947853731</v>
      </c>
      <c r="CK83" s="96">
        <f t="shared" ca="1" si="602"/>
        <v>0.18891076916334418</v>
      </c>
      <c r="CL83" s="96">
        <f t="shared" ca="1" si="602"/>
        <v>0.19328884816566486</v>
      </c>
      <c r="CM83" s="97">
        <f t="shared" ca="1" si="602"/>
        <v>0.18533076793513781</v>
      </c>
      <c r="CN83" s="96">
        <f t="shared" ca="1" si="602"/>
        <v>0.20807505764897397</v>
      </c>
      <c r="CO83" s="96">
        <f t="shared" ca="1" si="602"/>
        <v>0.18719001170300256</v>
      </c>
      <c r="CP83" s="96">
        <f t="shared" ca="1" si="602"/>
        <v>0.19417991832095269</v>
      </c>
      <c r="CQ83" s="96">
        <f t="shared" ca="1" si="602"/>
        <v>0.20007054945954625</v>
      </c>
      <c r="CR83" s="97">
        <f t="shared" ca="1" si="602"/>
        <v>0.19716178236658552</v>
      </c>
      <c r="CS83" s="96">
        <f t="shared" ca="1" si="602"/>
        <v>0.20410692569938679</v>
      </c>
      <c r="CT83" s="96">
        <f t="shared" ca="1" si="602"/>
        <v>0.18296487393949529</v>
      </c>
      <c r="CU83" s="96">
        <f t="shared" ca="1" si="602"/>
        <v>0.18869863426852948</v>
      </c>
      <c r="CV83" s="96">
        <f t="shared" ca="1" si="602"/>
        <v>0.19409855099868903</v>
      </c>
      <c r="CW83" s="97">
        <f t="shared" ca="1" si="602"/>
        <v>0.19227251412257024</v>
      </c>
      <c r="CX83" s="96">
        <f t="shared" ca="1" si="602"/>
        <v>0.20228557794330732</v>
      </c>
      <c r="CY83" s="96">
        <f t="shared" ca="1" si="602"/>
        <v>0.18186618988840753</v>
      </c>
      <c r="CZ83" s="96">
        <f t="shared" ca="1" si="602"/>
        <v>0.18748831007046166</v>
      </c>
      <c r="DA83" s="96">
        <f t="shared" ca="1" si="602"/>
        <v>0.19287596998386658</v>
      </c>
      <c r="DB83" s="97">
        <f t="shared" ca="1" si="602"/>
        <v>0.19095485228906456</v>
      </c>
    </row>
    <row r="84" spans="1:106" s="11" customFormat="1" ht="11.25" customHeight="1" thickBot="1" x14ac:dyDescent="0.4">
      <c r="A84" s="119" t="s">
        <v>206</v>
      </c>
      <c r="B84" s="124"/>
      <c r="C84" s="124"/>
      <c r="D84" s="124"/>
      <c r="E84" s="125"/>
      <c r="F84" s="126"/>
      <c r="G84" s="124"/>
      <c r="H84" s="124"/>
      <c r="I84" s="124"/>
      <c r="J84" s="125"/>
      <c r="K84" s="126"/>
      <c r="L84" s="124"/>
      <c r="M84" s="124"/>
      <c r="N84" s="124"/>
      <c r="O84" s="125"/>
      <c r="P84" s="126"/>
      <c r="Q84" s="124"/>
      <c r="R84" s="124"/>
      <c r="S84" s="124"/>
      <c r="T84" s="125"/>
      <c r="U84" s="126"/>
      <c r="V84" s="124"/>
      <c r="W84" s="124"/>
      <c r="X84" s="124"/>
      <c r="Y84" s="125"/>
      <c r="Z84" s="126"/>
      <c r="AA84" s="124"/>
      <c r="AB84" s="124"/>
      <c r="AC84" s="124"/>
      <c r="AD84" s="125"/>
      <c r="AE84" s="126"/>
      <c r="AF84" s="124"/>
      <c r="AG84" s="124"/>
      <c r="AH84" s="124"/>
      <c r="AI84" s="125"/>
      <c r="AJ84" s="126"/>
      <c r="AK84" s="124"/>
      <c r="AL84" s="124"/>
      <c r="AM84" s="124"/>
      <c r="AN84" s="125"/>
      <c r="AO84" s="126"/>
      <c r="AP84" s="124"/>
      <c r="AQ84" s="124"/>
      <c r="AR84" s="124"/>
      <c r="AS84" s="125"/>
      <c r="AT84" s="126"/>
      <c r="AU84" s="124"/>
      <c r="AV84" s="124"/>
      <c r="AW84" s="124"/>
      <c r="AX84" s="125"/>
      <c r="AY84" s="126"/>
      <c r="AZ84" s="124"/>
      <c r="BA84" s="124"/>
      <c r="BB84" s="124"/>
      <c r="BC84" s="125"/>
      <c r="BD84" s="126"/>
      <c r="BE84" s="124"/>
      <c r="BF84" s="124"/>
      <c r="BG84" s="124"/>
      <c r="BH84" s="125"/>
      <c r="BI84" s="126"/>
      <c r="BJ84" s="124"/>
      <c r="BK84" s="124"/>
      <c r="BL84" s="124"/>
      <c r="BM84" s="125"/>
      <c r="BN84" s="126"/>
      <c r="BO84" s="124"/>
      <c r="BP84" s="124"/>
      <c r="BQ84" s="124"/>
      <c r="BR84" s="125"/>
      <c r="BS84" s="126"/>
      <c r="BT84" s="124"/>
      <c r="BU84" s="124"/>
      <c r="BV84" s="124"/>
      <c r="BW84" s="125"/>
      <c r="BX84" s="126"/>
      <c r="BY84" s="124"/>
      <c r="BZ84" s="120"/>
      <c r="CA84" s="120"/>
      <c r="CB84" s="120"/>
      <c r="CC84" s="121"/>
      <c r="CD84" s="124"/>
      <c r="CE84" s="120"/>
      <c r="CF84" s="120"/>
      <c r="CG84" s="120"/>
      <c r="CH84" s="121"/>
      <c r="CI84" s="120"/>
      <c r="CJ84" s="120"/>
      <c r="CK84" s="120"/>
      <c r="CL84" s="120"/>
      <c r="CM84" s="121"/>
      <c r="CN84" s="120"/>
      <c r="CO84" s="120"/>
      <c r="CP84" s="120"/>
      <c r="CQ84" s="120"/>
      <c r="CR84" s="121"/>
      <c r="CS84" s="120"/>
      <c r="CT84" s="120"/>
      <c r="CU84" s="120"/>
      <c r="CV84" s="120"/>
      <c r="CW84" s="121"/>
      <c r="CX84" s="120"/>
      <c r="CY84" s="120"/>
      <c r="CZ84" s="120"/>
      <c r="DA84" s="120"/>
      <c r="DB84" s="121"/>
    </row>
    <row r="85" spans="1:106" s="11" customFormat="1" ht="11.25" customHeight="1" thickTop="1" x14ac:dyDescent="0.35">
      <c r="A85" s="170" t="s">
        <v>207</v>
      </c>
      <c r="B85" s="130" t="e">
        <f t="shared" ref="B85" si="603">B59/#REF!-1</f>
        <v>#REF!</v>
      </c>
      <c r="C85" s="130" t="e">
        <f t="shared" ref="C85" si="604">C59/#REF!-1</f>
        <v>#REF!</v>
      </c>
      <c r="D85" s="130" t="e">
        <f t="shared" ref="D85" si="605">D59/#REF!-1</f>
        <v>#REF!</v>
      </c>
      <c r="E85" s="130" t="e">
        <f t="shared" ref="E85:AE85" si="606">E59/#REF!-1</f>
        <v>#REF!</v>
      </c>
      <c r="F85" s="131" t="e">
        <f t="shared" si="606"/>
        <v>#REF!</v>
      </c>
      <c r="G85" s="130" t="e">
        <f t="shared" si="606"/>
        <v>#REF!</v>
      </c>
      <c r="H85" s="130" t="e">
        <f t="shared" si="606"/>
        <v>#REF!</v>
      </c>
      <c r="I85" s="130" t="e">
        <f t="shared" si="606"/>
        <v>#REF!</v>
      </c>
      <c r="J85" s="130" t="e">
        <f t="shared" si="606"/>
        <v>#REF!</v>
      </c>
      <c r="K85" s="131" t="e">
        <f t="shared" si="606"/>
        <v>#REF!</v>
      </c>
      <c r="L85" s="130" t="e">
        <f t="shared" si="606"/>
        <v>#REF!</v>
      </c>
      <c r="M85" s="130" t="e">
        <f t="shared" si="606"/>
        <v>#REF!</v>
      </c>
      <c r="N85" s="130" t="e">
        <f t="shared" si="606"/>
        <v>#REF!</v>
      </c>
      <c r="O85" s="130" t="e">
        <f t="shared" si="606"/>
        <v>#REF!</v>
      </c>
      <c r="P85" s="131" t="e">
        <f t="shared" si="606"/>
        <v>#REF!</v>
      </c>
      <c r="Q85" s="130" t="e">
        <f t="shared" si="606"/>
        <v>#REF!</v>
      </c>
      <c r="R85" s="130" t="e">
        <f t="shared" si="606"/>
        <v>#REF!</v>
      </c>
      <c r="S85" s="130" t="e">
        <f t="shared" si="606"/>
        <v>#REF!</v>
      </c>
      <c r="T85" s="130" t="e">
        <f t="shared" si="606"/>
        <v>#REF!</v>
      </c>
      <c r="U85" s="131" t="e">
        <f t="shared" si="606"/>
        <v>#REF!</v>
      </c>
      <c r="V85" s="130" t="e">
        <f t="shared" si="606"/>
        <v>#REF!</v>
      </c>
      <c r="W85" s="130" t="e">
        <f t="shared" si="606"/>
        <v>#REF!</v>
      </c>
      <c r="X85" s="130" t="e">
        <f t="shared" si="606"/>
        <v>#REF!</v>
      </c>
      <c r="Y85" s="130" t="e">
        <f t="shared" si="606"/>
        <v>#REF!</v>
      </c>
      <c r="Z85" s="131" t="e">
        <f t="shared" si="606"/>
        <v>#REF!</v>
      </c>
      <c r="AA85" s="130" t="e">
        <f t="shared" si="606"/>
        <v>#REF!</v>
      </c>
      <c r="AB85" s="130" t="e">
        <f t="shared" si="606"/>
        <v>#REF!</v>
      </c>
      <c r="AC85" s="130" t="e">
        <f t="shared" si="606"/>
        <v>#REF!</v>
      </c>
      <c r="AD85" s="130" t="e">
        <f t="shared" si="606"/>
        <v>#REF!</v>
      </c>
      <c r="AE85" s="131" t="e">
        <f t="shared" si="606"/>
        <v>#REF!</v>
      </c>
      <c r="AF85" s="130" t="e">
        <f t="shared" ref="AF85:AL85" si="607">AF59/AA59-1</f>
        <v>#DIV/0!</v>
      </c>
      <c r="AG85" s="130" t="e">
        <f t="shared" si="607"/>
        <v>#DIV/0!</v>
      </c>
      <c r="AH85" s="130" t="e">
        <f t="shared" si="607"/>
        <v>#DIV/0!</v>
      </c>
      <c r="AI85" s="130" t="e">
        <f t="shared" si="607"/>
        <v>#DIV/0!</v>
      </c>
      <c r="AJ85" s="131" t="e">
        <f t="shared" si="607"/>
        <v>#DIV/0!</v>
      </c>
      <c r="AK85" s="130" t="e">
        <f t="shared" si="607"/>
        <v>#DIV/0!</v>
      </c>
      <c r="AL85" s="130" t="e">
        <f t="shared" si="607"/>
        <v>#DIV/0!</v>
      </c>
      <c r="AM85" s="130" t="e">
        <f t="shared" ref="AM85:BR85" si="608">AM59/AH59-1</f>
        <v>#DIV/0!</v>
      </c>
      <c r="AN85" s="130" t="e">
        <f t="shared" si="608"/>
        <v>#DIV/0!</v>
      </c>
      <c r="AO85" s="131" t="e">
        <f t="shared" si="608"/>
        <v>#DIV/0!</v>
      </c>
      <c r="AP85" s="130">
        <f t="shared" si="608"/>
        <v>-0.10777466965841542</v>
      </c>
      <c r="AQ85" s="130">
        <f t="shared" si="608"/>
        <v>0.11438098287048648</v>
      </c>
      <c r="AR85" s="130">
        <f t="shared" si="608"/>
        <v>0.2143003271081676</v>
      </c>
      <c r="AS85" s="130">
        <f t="shared" si="608"/>
        <v>0.23986131251180254</v>
      </c>
      <c r="AT85" s="131">
        <f t="shared" si="608"/>
        <v>0.1299987814232757</v>
      </c>
      <c r="AU85" s="130">
        <f t="shared" si="608"/>
        <v>0.26962371378059169</v>
      </c>
      <c r="AV85" s="130">
        <f t="shared" si="608"/>
        <v>0.1541793807795484</v>
      </c>
      <c r="AW85" s="130">
        <f t="shared" si="608"/>
        <v>-6.7781757334897108E-3</v>
      </c>
      <c r="AX85" s="130">
        <f t="shared" si="608"/>
        <v>9.052585051671036E-2</v>
      </c>
      <c r="AY85" s="131">
        <f t="shared" si="608"/>
        <v>0.10760459420194368</v>
      </c>
      <c r="AZ85" s="130">
        <f t="shared" si="608"/>
        <v>0.20677921112703723</v>
      </c>
      <c r="BA85" s="130">
        <f t="shared" si="608"/>
        <v>-8.0412201708418451E-2</v>
      </c>
      <c r="BB85" s="130">
        <f t="shared" si="608"/>
        <v>0.24614566923112213</v>
      </c>
      <c r="BC85" s="130">
        <f t="shared" si="608"/>
        <v>0.14457152328857958</v>
      </c>
      <c r="BD85" s="131">
        <f t="shared" si="608"/>
        <v>0.12303328732032615</v>
      </c>
      <c r="BE85" s="130">
        <f t="shared" si="608"/>
        <v>0.49254138420999372</v>
      </c>
      <c r="BF85" s="130">
        <f t="shared" si="608"/>
        <v>0.83318305145326632</v>
      </c>
      <c r="BG85" s="130">
        <f t="shared" si="608"/>
        <v>0.40059282534052176</v>
      </c>
      <c r="BH85" s="130">
        <f t="shared" si="608"/>
        <v>0.42276255575508315</v>
      </c>
      <c r="BI85" s="131">
        <f t="shared" si="608"/>
        <v>0.51858332707249688</v>
      </c>
      <c r="BJ85" s="130">
        <f t="shared" si="608"/>
        <v>0.31857488962114555</v>
      </c>
      <c r="BK85" s="130">
        <f t="shared" si="608"/>
        <v>0.33554971119141563</v>
      </c>
      <c r="BL85" s="130">
        <f t="shared" si="608"/>
        <v>0.37290036783956149</v>
      </c>
      <c r="BM85" s="130">
        <f t="shared" si="608"/>
        <v>0.18169955397039628</v>
      </c>
      <c r="BN85" s="131">
        <f t="shared" si="608"/>
        <v>0.29856784953071824</v>
      </c>
      <c r="BO85" s="130">
        <f t="shared" si="608"/>
        <v>0.32988506260980754</v>
      </c>
      <c r="BP85" s="130">
        <f t="shared" si="608"/>
        <v>0.20731009335034334</v>
      </c>
      <c r="BQ85" s="130">
        <f t="shared" si="608"/>
        <v>0.19981361474103143</v>
      </c>
      <c r="BR85" s="130">
        <f t="shared" si="608"/>
        <v>0.39815117885604612</v>
      </c>
      <c r="BS85" s="131">
        <f t="shared" ref="BS85:CX85" si="609">BS59/BN59-1</f>
        <v>0.2785981799446593</v>
      </c>
      <c r="BT85" s="130">
        <f t="shared" si="609"/>
        <v>0.40746878760782312</v>
      </c>
      <c r="BU85" s="130">
        <f t="shared" si="609"/>
        <v>0.37147438804198174</v>
      </c>
      <c r="BV85" s="130">
        <f t="shared" si="609"/>
        <v>0.40432040474866793</v>
      </c>
      <c r="BW85" s="130">
        <f t="shared" si="609"/>
        <v>0.27522930127797585</v>
      </c>
      <c r="BX85" s="131">
        <f t="shared" si="609"/>
        <v>0.36038669906020848</v>
      </c>
      <c r="BY85" s="130">
        <f t="shared" si="609"/>
        <v>0.45236463167347751</v>
      </c>
      <c r="BZ85" s="130">
        <f t="shared" si="609"/>
        <v>0.34918268484147141</v>
      </c>
      <c r="CA85" s="130">
        <f t="shared" si="609"/>
        <v>0.34194864529033819</v>
      </c>
      <c r="CB85" s="130">
        <f t="shared" si="609"/>
        <v>0.37174374934176901</v>
      </c>
      <c r="CC85" s="131">
        <f t="shared" si="609"/>
        <v>0.37519044599127427</v>
      </c>
      <c r="CD85" s="130">
        <f t="shared" si="609"/>
        <v>0.32592683343967699</v>
      </c>
      <c r="CE85" s="130">
        <f t="shared" si="609"/>
        <v>0.25545466764790414</v>
      </c>
      <c r="CF85" s="130">
        <f t="shared" si="609"/>
        <v>0.23588204740073571</v>
      </c>
      <c r="CG85" s="130">
        <f t="shared" si="609"/>
        <v>0.25372900161170575</v>
      </c>
      <c r="CH85" s="131">
        <f t="shared" si="609"/>
        <v>0.26573802602249752</v>
      </c>
      <c r="CI85" s="130">
        <f t="shared" si="609"/>
        <v>0.16741204670879917</v>
      </c>
      <c r="CJ85" s="130">
        <f t="shared" si="609"/>
        <v>0.26714967558570457</v>
      </c>
      <c r="CK85" s="130">
        <f t="shared" si="609"/>
        <v>0.23730160753347596</v>
      </c>
      <c r="CL85" s="130">
        <f t="shared" si="609"/>
        <v>0.1563930996682803</v>
      </c>
      <c r="CM85" s="131">
        <f t="shared" si="609"/>
        <v>0.2071223132501101</v>
      </c>
      <c r="CN85" s="130">
        <f t="shared" si="609"/>
        <v>0.14909334054540846</v>
      </c>
      <c r="CO85" s="130">
        <f t="shared" si="609"/>
        <v>8.9532123565146948E-2</v>
      </c>
      <c r="CP85" s="130">
        <f t="shared" si="609"/>
        <v>8.7715820922937615E-2</v>
      </c>
      <c r="CQ85" s="130">
        <f t="shared" si="609"/>
        <v>0.11811450258130063</v>
      </c>
      <c r="CR85" s="131">
        <f t="shared" si="609"/>
        <v>0.10977774738731005</v>
      </c>
      <c r="CS85" s="130">
        <f t="shared" si="609"/>
        <v>0.10084140387221208</v>
      </c>
      <c r="CT85" s="130">
        <f t="shared" si="609"/>
        <v>8.6697418285701433E-2</v>
      </c>
      <c r="CU85" s="130">
        <f t="shared" si="609"/>
        <v>7.8965341488981045E-2</v>
      </c>
      <c r="CV85" s="130">
        <f t="shared" si="609"/>
        <v>7.4082270225298119E-2</v>
      </c>
      <c r="CW85" s="131">
        <f t="shared" si="609"/>
        <v>8.4877834931673668E-2</v>
      </c>
      <c r="CX85" s="130">
        <f t="shared" si="609"/>
        <v>6.8395292577656086E-2</v>
      </c>
      <c r="CY85" s="130">
        <f>CY59/CT59-1</f>
        <v>6.3138512418029924E-2</v>
      </c>
      <c r="CZ85" s="130">
        <f>CZ59/CU59-1</f>
        <v>6.0164493756085458E-2</v>
      </c>
      <c r="DA85" s="130">
        <f>DA59/CV59-1</f>
        <v>5.82103112465715E-2</v>
      </c>
      <c r="DB85" s="131">
        <f>DB59/CW59-1</f>
        <v>6.2410962747171395E-2</v>
      </c>
    </row>
    <row r="86" spans="1:106" ht="11.25" customHeight="1" x14ac:dyDescent="0.35">
      <c r="A86" s="170" t="s">
        <v>212</v>
      </c>
      <c r="B86" s="58" t="e">
        <f t="shared" ref="B86" si="610">B61/#REF!-1</f>
        <v>#REF!</v>
      </c>
      <c r="C86" s="58" t="e">
        <f t="shared" ref="C86" si="611">C61/#REF!-1</f>
        <v>#REF!</v>
      </c>
      <c r="D86" s="58" t="e">
        <f t="shared" ref="D86" si="612">D61/#REF!-1</f>
        <v>#REF!</v>
      </c>
      <c r="E86" s="58" t="e">
        <f t="shared" ref="E86:AE86" si="613">E61/#REF!-1</f>
        <v>#REF!</v>
      </c>
      <c r="F86" s="57" t="e">
        <f t="shared" si="613"/>
        <v>#REF!</v>
      </c>
      <c r="G86" s="58" t="e">
        <f t="shared" si="613"/>
        <v>#REF!</v>
      </c>
      <c r="H86" s="58" t="e">
        <f t="shared" si="613"/>
        <v>#REF!</v>
      </c>
      <c r="I86" s="58" t="e">
        <f t="shared" si="613"/>
        <v>#REF!</v>
      </c>
      <c r="J86" s="58" t="e">
        <f t="shared" si="613"/>
        <v>#REF!</v>
      </c>
      <c r="K86" s="57" t="e">
        <f t="shared" si="613"/>
        <v>#REF!</v>
      </c>
      <c r="L86" s="58" t="e">
        <f t="shared" si="613"/>
        <v>#REF!</v>
      </c>
      <c r="M86" s="58" t="e">
        <f t="shared" si="613"/>
        <v>#REF!</v>
      </c>
      <c r="N86" s="58" t="e">
        <f t="shared" si="613"/>
        <v>#REF!</v>
      </c>
      <c r="O86" s="58" t="e">
        <f t="shared" si="613"/>
        <v>#REF!</v>
      </c>
      <c r="P86" s="57" t="e">
        <f t="shared" si="613"/>
        <v>#REF!</v>
      </c>
      <c r="Q86" s="58" t="e">
        <f t="shared" si="613"/>
        <v>#REF!</v>
      </c>
      <c r="R86" s="58" t="e">
        <f t="shared" si="613"/>
        <v>#REF!</v>
      </c>
      <c r="S86" s="58" t="e">
        <f t="shared" si="613"/>
        <v>#REF!</v>
      </c>
      <c r="T86" s="58" t="e">
        <f t="shared" si="613"/>
        <v>#REF!</v>
      </c>
      <c r="U86" s="57" t="e">
        <f t="shared" si="613"/>
        <v>#REF!</v>
      </c>
      <c r="V86" s="58" t="e">
        <f t="shared" si="613"/>
        <v>#REF!</v>
      </c>
      <c r="W86" s="58" t="e">
        <f t="shared" si="613"/>
        <v>#REF!</v>
      </c>
      <c r="X86" s="58" t="e">
        <f t="shared" si="613"/>
        <v>#REF!</v>
      </c>
      <c r="Y86" s="58" t="e">
        <f t="shared" si="613"/>
        <v>#REF!</v>
      </c>
      <c r="Z86" s="57" t="e">
        <f t="shared" si="613"/>
        <v>#REF!</v>
      </c>
      <c r="AA86" s="58" t="e">
        <f t="shared" si="613"/>
        <v>#REF!</v>
      </c>
      <c r="AB86" s="58" t="e">
        <f t="shared" si="613"/>
        <v>#REF!</v>
      </c>
      <c r="AC86" s="58" t="e">
        <f t="shared" si="613"/>
        <v>#REF!</v>
      </c>
      <c r="AD86" s="58" t="e">
        <f t="shared" si="613"/>
        <v>#REF!</v>
      </c>
      <c r="AE86" s="57" t="e">
        <f t="shared" si="613"/>
        <v>#REF!</v>
      </c>
      <c r="AF86" s="58" t="e">
        <f t="shared" ref="AF86:AL86" si="614">AF61/AA61-1</f>
        <v>#DIV/0!</v>
      </c>
      <c r="AG86" s="58" t="e">
        <f t="shared" si="614"/>
        <v>#DIV/0!</v>
      </c>
      <c r="AH86" s="58" t="e">
        <f t="shared" si="614"/>
        <v>#DIV/0!</v>
      </c>
      <c r="AI86" s="58" t="e">
        <f t="shared" si="614"/>
        <v>#DIV/0!</v>
      </c>
      <c r="AJ86" s="57" t="e">
        <f t="shared" si="614"/>
        <v>#DIV/0!</v>
      </c>
      <c r="AK86" s="58" t="e">
        <f t="shared" si="614"/>
        <v>#DIV/0!</v>
      </c>
      <c r="AL86" s="58" t="e">
        <f t="shared" si="614"/>
        <v>#DIV/0!</v>
      </c>
      <c r="AM86" s="58" t="e">
        <f t="shared" ref="AM86:BR86" si="615">AM61/AH61-1</f>
        <v>#DIV/0!</v>
      </c>
      <c r="AN86" s="58" t="e">
        <f t="shared" si="615"/>
        <v>#DIV/0!</v>
      </c>
      <c r="AO86" s="57" t="e">
        <f t="shared" si="615"/>
        <v>#DIV/0!</v>
      </c>
      <c r="AP86" s="58">
        <f t="shared" si="615"/>
        <v>0.16603970401858104</v>
      </c>
      <c r="AQ86" s="58">
        <f t="shared" si="615"/>
        <v>0.31500646420213885</v>
      </c>
      <c r="AR86" s="58">
        <f t="shared" si="615"/>
        <v>0.48715811752531057</v>
      </c>
      <c r="AS86" s="58">
        <f t="shared" si="615"/>
        <v>0.17912993194815718</v>
      </c>
      <c r="AT86" s="57">
        <f t="shared" si="615"/>
        <v>0.29069260408207853</v>
      </c>
      <c r="AU86" s="58">
        <f t="shared" si="615"/>
        <v>0.28236685292625174</v>
      </c>
      <c r="AV86" s="58">
        <f t="shared" si="615"/>
        <v>0.40968914300782266</v>
      </c>
      <c r="AW86" s="58">
        <f t="shared" si="615"/>
        <v>-0.15967891351888486</v>
      </c>
      <c r="AX86" s="58">
        <f t="shared" si="615"/>
        <v>0.20744425983736847</v>
      </c>
      <c r="AY86" s="57">
        <f t="shared" si="615"/>
        <v>0.15087035978921337</v>
      </c>
      <c r="AZ86" s="58">
        <f t="shared" si="615"/>
        <v>0.39201610785257812</v>
      </c>
      <c r="BA86" s="58">
        <f t="shared" si="615"/>
        <v>-0.13225459522878369</v>
      </c>
      <c r="BB86" s="58">
        <f t="shared" si="615"/>
        <v>0.50967907198009299</v>
      </c>
      <c r="BC86" s="58">
        <f t="shared" si="615"/>
        <v>0.16342119419042489</v>
      </c>
      <c r="BD86" s="57">
        <f t="shared" si="615"/>
        <v>0.19434528493060665</v>
      </c>
      <c r="BE86" s="58">
        <f t="shared" si="615"/>
        <v>0.51517514621721894</v>
      </c>
      <c r="BF86" s="58">
        <f t="shared" si="615"/>
        <v>0.8372111365249626</v>
      </c>
      <c r="BG86" s="58">
        <f t="shared" si="615"/>
        <v>0.41647477073486039</v>
      </c>
      <c r="BH86" s="58">
        <f t="shared" si="615"/>
        <v>0.33141511715582372</v>
      </c>
      <c r="BI86" s="57">
        <f t="shared" si="615"/>
        <v>0.49329064620150032</v>
      </c>
      <c r="BJ86" s="58">
        <f t="shared" si="615"/>
        <v>0.38228848452649755</v>
      </c>
      <c r="BK86" s="58">
        <f t="shared" si="615"/>
        <v>0.32505611500202392</v>
      </c>
      <c r="BL86" s="58">
        <f t="shared" si="615"/>
        <v>0.33958701728366902</v>
      </c>
      <c r="BM86" s="58">
        <f t="shared" si="615"/>
        <v>0.19010754756294967</v>
      </c>
      <c r="BN86" s="57">
        <f t="shared" si="615"/>
        <v>0.30057197699708205</v>
      </c>
      <c r="BO86" s="58">
        <f t="shared" si="615"/>
        <v>0.34798457805856486</v>
      </c>
      <c r="BP86" s="58">
        <f t="shared" si="615"/>
        <v>0.27727354774808965</v>
      </c>
      <c r="BQ86" s="58">
        <f t="shared" si="615"/>
        <v>0.21524593025979066</v>
      </c>
      <c r="BR86" s="58">
        <f t="shared" si="615"/>
        <v>0.41632548618219034</v>
      </c>
      <c r="BS86" s="57">
        <f t="shared" ref="BS86:CX86" si="616">BS61/BN61-1</f>
        <v>0.31081701929119609</v>
      </c>
      <c r="BT86" s="58">
        <f t="shared" si="616"/>
        <v>0.41879881137480446</v>
      </c>
      <c r="BU86" s="58">
        <f t="shared" si="616"/>
        <v>0.39384496084705156</v>
      </c>
      <c r="BV86" s="58">
        <f t="shared" si="616"/>
        <v>0.44183088523854908</v>
      </c>
      <c r="BW86" s="58">
        <f t="shared" si="616"/>
        <v>0.28905687887288223</v>
      </c>
      <c r="BX86" s="57">
        <f t="shared" si="616"/>
        <v>0.38134705992915752</v>
      </c>
      <c r="BY86" s="58">
        <f t="shared" si="616"/>
        <v>0.49655064135776295</v>
      </c>
      <c r="BZ86" s="58">
        <f t="shared" si="616"/>
        <v>0.39405133911162649</v>
      </c>
      <c r="CA86" s="58">
        <f t="shared" si="616"/>
        <v>0.38348963636761302</v>
      </c>
      <c r="CB86" s="58">
        <f t="shared" si="616"/>
        <v>0.41882411954038812</v>
      </c>
      <c r="CC86" s="57">
        <f t="shared" si="616"/>
        <v>0.41927402926836965</v>
      </c>
      <c r="CD86" s="58">
        <f t="shared" si="616"/>
        <v>0.3300468528049787</v>
      </c>
      <c r="CE86" s="58">
        <f t="shared" si="616"/>
        <v>0.25623935863701042</v>
      </c>
      <c r="CF86" s="58">
        <f t="shared" si="616"/>
        <v>0.22869932648446545</v>
      </c>
      <c r="CG86" s="58">
        <f t="shared" si="616"/>
        <v>0.22760535959647687</v>
      </c>
      <c r="CH86" s="57">
        <f t="shared" si="616"/>
        <v>0.2576176332860427</v>
      </c>
      <c r="CI86" s="58">
        <f t="shared" si="616"/>
        <v>0.17786108840559534</v>
      </c>
      <c r="CJ86" s="58">
        <f t="shared" si="616"/>
        <v>0.26853422390385595</v>
      </c>
      <c r="CK86" s="58">
        <f t="shared" si="616"/>
        <v>0.24818758787534589</v>
      </c>
      <c r="CL86" s="58">
        <f t="shared" si="616"/>
        <v>0.1768587077207755</v>
      </c>
      <c r="CM86" s="57">
        <f t="shared" si="616"/>
        <v>0.21821018533410785</v>
      </c>
      <c r="CN86" s="58">
        <f t="shared" si="616"/>
        <v>0.13335786772093638</v>
      </c>
      <c r="CO86" s="58">
        <f t="shared" si="616"/>
        <v>6.3286165844584463E-2</v>
      </c>
      <c r="CP86" s="58">
        <f t="shared" si="616"/>
        <v>4.8450218693777414E-2</v>
      </c>
      <c r="CQ86" s="58">
        <f t="shared" si="616"/>
        <v>7.0995609763438994E-2</v>
      </c>
      <c r="CR86" s="57">
        <f t="shared" si="616"/>
        <v>7.7129537932110637E-2</v>
      </c>
      <c r="CS86" s="58">
        <f t="shared" si="616"/>
        <v>7.6301912634820557E-2</v>
      </c>
      <c r="CT86" s="58">
        <f t="shared" si="616"/>
        <v>6.2295223317771375E-2</v>
      </c>
      <c r="CU86" s="58">
        <f t="shared" si="616"/>
        <v>5.462511965564576E-2</v>
      </c>
      <c r="CV86" s="58">
        <f t="shared" si="616"/>
        <v>4.9787781831861722E-2</v>
      </c>
      <c r="CW86" s="57">
        <f t="shared" si="616"/>
        <v>6.0517151709619466E-2</v>
      </c>
      <c r="CX86" s="58">
        <f t="shared" si="616"/>
        <v>5.5917932383578783E-2</v>
      </c>
      <c r="CY86" s="58">
        <f>CY61/CT61-1</f>
        <v>5.2267652762074679E-2</v>
      </c>
      <c r="CZ86" s="58">
        <f>CZ61/CU61-1</f>
        <v>5.0041364668765187E-2</v>
      </c>
      <c r="DA86" s="58">
        <f>DA61/CV61-1</f>
        <v>4.8487237999611299E-2</v>
      </c>
      <c r="DB86" s="57">
        <f>DB61/CW61-1</f>
        <v>5.1641002434333227E-2</v>
      </c>
    </row>
    <row r="87" spans="1:106" ht="11.25" customHeight="1" x14ac:dyDescent="0.35">
      <c r="A87" s="200" t="s">
        <v>210</v>
      </c>
      <c r="B87" s="197" t="e">
        <f t="shared" ref="B87" si="617">(B77-#REF!)*10000</f>
        <v>#DIV/0!</v>
      </c>
      <c r="C87" s="197" t="e">
        <f t="shared" ref="C87" si="618">(C77-#REF!)*10000</f>
        <v>#DIV/0!</v>
      </c>
      <c r="D87" s="197" t="e">
        <f t="shared" ref="D87" si="619">(D77-#REF!)*10000</f>
        <v>#DIV/0!</v>
      </c>
      <c r="E87" s="197" t="e">
        <f t="shared" ref="E87:T87" si="620">(E77-#REF!)*10000</f>
        <v>#DIV/0!</v>
      </c>
      <c r="F87" s="198" t="e">
        <f t="shared" si="620"/>
        <v>#DIV/0!</v>
      </c>
      <c r="G87" s="197" t="e">
        <f t="shared" si="620"/>
        <v>#DIV/0!</v>
      </c>
      <c r="H87" s="197" t="e">
        <f t="shared" si="620"/>
        <v>#DIV/0!</v>
      </c>
      <c r="I87" s="197" t="e">
        <f t="shared" si="620"/>
        <v>#DIV/0!</v>
      </c>
      <c r="J87" s="197" t="e">
        <f t="shared" si="620"/>
        <v>#DIV/0!</v>
      </c>
      <c r="K87" s="198" t="e">
        <f t="shared" si="620"/>
        <v>#DIV/0!</v>
      </c>
      <c r="L87" s="197" t="e">
        <f t="shared" si="620"/>
        <v>#DIV/0!</v>
      </c>
      <c r="M87" s="197" t="e">
        <f t="shared" si="620"/>
        <v>#DIV/0!</v>
      </c>
      <c r="N87" s="197" t="e">
        <f t="shared" si="620"/>
        <v>#DIV/0!</v>
      </c>
      <c r="O87" s="197" t="e">
        <f t="shared" si="620"/>
        <v>#DIV/0!</v>
      </c>
      <c r="P87" s="198" t="e">
        <f t="shared" si="620"/>
        <v>#DIV/0!</v>
      </c>
      <c r="Q87" s="197" t="e">
        <f t="shared" si="620"/>
        <v>#DIV/0!</v>
      </c>
      <c r="R87" s="197" t="e">
        <f t="shared" si="620"/>
        <v>#DIV/0!</v>
      </c>
      <c r="S87" s="197" t="e">
        <f t="shared" si="620"/>
        <v>#DIV/0!</v>
      </c>
      <c r="T87" s="197" t="e">
        <f t="shared" si="620"/>
        <v>#DIV/0!</v>
      </c>
      <c r="U87" s="198" t="e">
        <f t="shared" ref="U87:AE88" si="621">(U77-P77)*10000</f>
        <v>#DIV/0!</v>
      </c>
      <c r="V87" s="197" t="e">
        <f t="shared" si="621"/>
        <v>#DIV/0!</v>
      </c>
      <c r="W87" s="197" t="e">
        <f t="shared" si="621"/>
        <v>#DIV/0!</v>
      </c>
      <c r="X87" s="197" t="e">
        <f t="shared" si="621"/>
        <v>#DIV/0!</v>
      </c>
      <c r="Y87" s="197" t="e">
        <f t="shared" si="621"/>
        <v>#DIV/0!</v>
      </c>
      <c r="Z87" s="198" t="e">
        <f t="shared" si="621"/>
        <v>#DIV/0!</v>
      </c>
      <c r="AA87" s="197" t="e">
        <f t="shared" si="621"/>
        <v>#DIV/0!</v>
      </c>
      <c r="AB87" s="197" t="e">
        <f t="shared" si="621"/>
        <v>#DIV/0!</v>
      </c>
      <c r="AC87" s="197" t="e">
        <f t="shared" si="621"/>
        <v>#DIV/0!</v>
      </c>
      <c r="AD87" s="197" t="e">
        <f t="shared" si="621"/>
        <v>#DIV/0!</v>
      </c>
      <c r="AE87" s="198" t="e">
        <f t="shared" si="621"/>
        <v>#DIV/0!</v>
      </c>
      <c r="AF87" s="197" t="e">
        <f t="shared" ref="AF87:AJ88" si="622">(AF77-AA77)*10000</f>
        <v>#DIV/0!</v>
      </c>
      <c r="AG87" s="197" t="e">
        <f t="shared" si="622"/>
        <v>#DIV/0!</v>
      </c>
      <c r="AH87" s="197" t="e">
        <f t="shared" si="622"/>
        <v>#DIV/0!</v>
      </c>
      <c r="AI87" s="197" t="e">
        <f t="shared" si="622"/>
        <v>#DIV/0!</v>
      </c>
      <c r="AJ87" s="198" t="e">
        <f t="shared" si="622"/>
        <v>#DIV/0!</v>
      </c>
      <c r="AK87" s="197" t="e">
        <f t="shared" ref="AK87:AT88" si="623">(AK77-AF77)*10000</f>
        <v>#DIV/0!</v>
      </c>
      <c r="AL87" s="197" t="e">
        <f t="shared" si="623"/>
        <v>#DIV/0!</v>
      </c>
      <c r="AM87" s="197" t="e">
        <f t="shared" si="623"/>
        <v>#DIV/0!</v>
      </c>
      <c r="AN87" s="197" t="e">
        <f t="shared" si="623"/>
        <v>#DIV/0!</v>
      </c>
      <c r="AO87" s="198" t="e">
        <f t="shared" si="623"/>
        <v>#DIV/0!</v>
      </c>
      <c r="AP87" s="197">
        <f t="shared" si="623"/>
        <v>704.92690878013491</v>
      </c>
      <c r="AQ87" s="197">
        <f t="shared" si="623"/>
        <v>477.19619869564912</v>
      </c>
      <c r="AR87" s="197">
        <f t="shared" si="623"/>
        <v>679.80110398229374</v>
      </c>
      <c r="AS87" s="197">
        <f t="shared" si="623"/>
        <v>-186.34158281707835</v>
      </c>
      <c r="AT87" s="198">
        <f t="shared" si="623"/>
        <v>425.7984878424387</v>
      </c>
      <c r="AU87" s="197">
        <f t="shared" ref="AU87:BD88" si="624">(AU77-AP77)*10000</f>
        <v>30.130239579708174</v>
      </c>
      <c r="AV87" s="197">
        <f t="shared" si="624"/>
        <v>692.42534782793791</v>
      </c>
      <c r="AW87" s="197">
        <f t="shared" si="624"/>
        <v>-570.3822220907623</v>
      </c>
      <c r="AX87" s="197">
        <f t="shared" si="624"/>
        <v>387.88699926087077</v>
      </c>
      <c r="AY87" s="198">
        <f t="shared" si="624"/>
        <v>133.59413694722878</v>
      </c>
      <c r="AZ87" s="197">
        <f t="shared" si="624"/>
        <v>465.41258205265945</v>
      </c>
      <c r="BA87" s="197">
        <f t="shared" si="624"/>
        <v>-215.36774419842698</v>
      </c>
      <c r="BB87" s="197">
        <f t="shared" si="624"/>
        <v>662.931290891397</v>
      </c>
      <c r="BC87" s="197">
        <f t="shared" si="624"/>
        <v>65.970572421493728</v>
      </c>
      <c r="BD87" s="198">
        <f t="shared" si="624"/>
        <v>225.65210221194511</v>
      </c>
      <c r="BE87" s="197">
        <f t="shared" ref="BE87:BN88" si="625">(BE77-AZ77)*10000</f>
        <v>53.037768973209779</v>
      </c>
      <c r="BF87" s="197">
        <f t="shared" si="625"/>
        <v>7.9210132200163708</v>
      </c>
      <c r="BG87" s="197">
        <f t="shared" si="625"/>
        <v>43.063496069228876</v>
      </c>
      <c r="BH87" s="197">
        <f t="shared" si="625"/>
        <v>-261.42516969199505</v>
      </c>
      <c r="BI87" s="198">
        <f t="shared" si="625"/>
        <v>-62.945243518491289</v>
      </c>
      <c r="BJ87" s="197">
        <f t="shared" si="625"/>
        <v>171.56103163523838</v>
      </c>
      <c r="BK87" s="197">
        <f t="shared" si="625"/>
        <v>-28.386082677346323</v>
      </c>
      <c r="BL87" s="197">
        <f t="shared" si="625"/>
        <v>-93.195238334621294</v>
      </c>
      <c r="BM87" s="197">
        <f t="shared" si="625"/>
        <v>27.111266657806055</v>
      </c>
      <c r="BN87" s="198">
        <f t="shared" si="625"/>
        <v>5.7355238790707253</v>
      </c>
      <c r="BO87" s="197">
        <f t="shared" ref="BO87:BX88" si="626">(BO77-BJ77)*10000</f>
        <v>50.656837051232806</v>
      </c>
      <c r="BP87" s="197">
        <f t="shared" si="626"/>
        <v>207.71497089137503</v>
      </c>
      <c r="BQ87" s="197">
        <f t="shared" si="626"/>
        <v>48.201843305819558</v>
      </c>
      <c r="BR87" s="197">
        <f t="shared" si="626"/>
        <v>49.882404579896786</v>
      </c>
      <c r="BS87" s="198">
        <f t="shared" si="626"/>
        <v>93.790306214653341</v>
      </c>
      <c r="BT87" s="197">
        <f t="shared" si="626"/>
        <v>30.370230847575066</v>
      </c>
      <c r="BU87" s="197">
        <f t="shared" si="626"/>
        <v>61.854297043261731</v>
      </c>
      <c r="BV87" s="197">
        <f t="shared" si="626"/>
        <v>101.38720458510275</v>
      </c>
      <c r="BW87" s="197">
        <f t="shared" si="626"/>
        <v>42.151244752799968</v>
      </c>
      <c r="BX87" s="198">
        <f t="shared" si="626"/>
        <v>58.793120642813278</v>
      </c>
      <c r="BY87" s="197">
        <f t="shared" ref="BY87:CH88" si="627">(BY77-BT77)*10000</f>
        <v>115.70368936037579</v>
      </c>
      <c r="BZ87" s="197">
        <f t="shared" si="627"/>
        <v>128.16797587291595</v>
      </c>
      <c r="CA87" s="197">
        <f t="shared" si="627"/>
        <v>120.63846520858957</v>
      </c>
      <c r="CB87" s="197">
        <f t="shared" si="627"/>
        <v>134.86624312940731</v>
      </c>
      <c r="CC87" s="198">
        <f t="shared" si="627"/>
        <v>124.20658078163227</v>
      </c>
      <c r="CD87" s="197">
        <f t="shared" si="627"/>
        <v>12.176810258174298</v>
      </c>
      <c r="CE87" s="197">
        <f t="shared" si="627"/>
        <v>2.4889311281212079</v>
      </c>
      <c r="CF87" s="197">
        <f t="shared" si="627"/>
        <v>-23.350534631722542</v>
      </c>
      <c r="CG87" s="197">
        <f t="shared" si="627"/>
        <v>-84.68802504096206</v>
      </c>
      <c r="CH87" s="198">
        <f t="shared" si="627"/>
        <v>-25.654714174577208</v>
      </c>
      <c r="CI87" s="197">
        <f t="shared" ref="CI87:CR88" si="628">(CI77-CD77)*10000</f>
        <v>35.18467250558821</v>
      </c>
      <c r="CJ87" s="197">
        <f t="shared" si="628"/>
        <v>4.3537833026785488</v>
      </c>
      <c r="CK87" s="197">
        <f t="shared" si="628"/>
        <v>35.143533470305968</v>
      </c>
      <c r="CL87" s="197">
        <f t="shared" si="628"/>
        <v>70.431383281442933</v>
      </c>
      <c r="CM87" s="198">
        <f t="shared" si="628"/>
        <v>36.49519543508228</v>
      </c>
      <c r="CN87" s="197">
        <f t="shared" si="628"/>
        <v>-54.311977414111531</v>
      </c>
      <c r="CO87" s="197">
        <f t="shared" si="628"/>
        <v>-96.091122592040776</v>
      </c>
      <c r="CP87" s="197">
        <f t="shared" si="628"/>
        <v>-145.4636752774463</v>
      </c>
      <c r="CQ87" s="197">
        <f t="shared" si="628"/>
        <v>-170.67687679878429</v>
      </c>
      <c r="CR87" s="198">
        <f t="shared" si="628"/>
        <v>-117.95953953436855</v>
      </c>
      <c r="CS87" s="197">
        <f t="shared" ref="CS87:DB88" si="629">(CS77-CN77)*10000</f>
        <v>-87.201444805255491</v>
      </c>
      <c r="CT87" s="197">
        <f t="shared" si="629"/>
        <v>-87.416067021793836</v>
      </c>
      <c r="CU87" s="197">
        <f t="shared" si="629"/>
        <v>-87.620786185683698</v>
      </c>
      <c r="CV87" s="197">
        <f t="shared" si="629"/>
        <v>-87.748057427968206</v>
      </c>
      <c r="CW87" s="198">
        <f t="shared" si="629"/>
        <v>-87.387691000257448</v>
      </c>
      <c r="CX87" s="197">
        <f t="shared" si="629"/>
        <v>-44.666609183443562</v>
      </c>
      <c r="CY87" s="197">
        <f t="shared" si="629"/>
        <v>-38.911828317712008</v>
      </c>
      <c r="CZ87" s="197">
        <f t="shared" si="629"/>
        <v>-36.251188104775011</v>
      </c>
      <c r="DA87" s="197">
        <f t="shared" si="629"/>
        <v>-34.838771730507091</v>
      </c>
      <c r="DB87" s="198">
        <f t="shared" si="629"/>
        <v>-38.565596781057756</v>
      </c>
    </row>
    <row r="88" spans="1:106" ht="11.25" customHeight="1" x14ac:dyDescent="0.35">
      <c r="A88" s="200" t="s">
        <v>209</v>
      </c>
      <c r="B88" s="197" t="e">
        <f t="shared" ref="B88" si="630">(B78-#REF!)*10000</f>
        <v>#DIV/0!</v>
      </c>
      <c r="C88" s="197" t="e">
        <f t="shared" ref="C88" si="631">(C78-#REF!)*10000</f>
        <v>#DIV/0!</v>
      </c>
      <c r="D88" s="197" t="e">
        <f t="shared" ref="D88" si="632">(D78-#REF!)*10000</f>
        <v>#DIV/0!</v>
      </c>
      <c r="E88" s="197" t="e">
        <f t="shared" ref="E88:T88" si="633">(E78-#REF!)*10000</f>
        <v>#DIV/0!</v>
      </c>
      <c r="F88" s="198" t="e">
        <f t="shared" si="633"/>
        <v>#DIV/0!</v>
      </c>
      <c r="G88" s="197" t="e">
        <f t="shared" si="633"/>
        <v>#DIV/0!</v>
      </c>
      <c r="H88" s="197" t="e">
        <f t="shared" si="633"/>
        <v>#DIV/0!</v>
      </c>
      <c r="I88" s="197" t="e">
        <f t="shared" si="633"/>
        <v>#DIV/0!</v>
      </c>
      <c r="J88" s="197" t="e">
        <f t="shared" si="633"/>
        <v>#DIV/0!</v>
      </c>
      <c r="K88" s="198" t="e">
        <f t="shared" si="633"/>
        <v>#DIV/0!</v>
      </c>
      <c r="L88" s="197" t="e">
        <f t="shared" si="633"/>
        <v>#DIV/0!</v>
      </c>
      <c r="M88" s="197" t="e">
        <f t="shared" si="633"/>
        <v>#DIV/0!</v>
      </c>
      <c r="N88" s="197" t="e">
        <f t="shared" si="633"/>
        <v>#DIV/0!</v>
      </c>
      <c r="O88" s="197" t="e">
        <f t="shared" si="633"/>
        <v>#DIV/0!</v>
      </c>
      <c r="P88" s="198" t="e">
        <f t="shared" si="633"/>
        <v>#DIV/0!</v>
      </c>
      <c r="Q88" s="197" t="e">
        <f t="shared" si="633"/>
        <v>#DIV/0!</v>
      </c>
      <c r="R88" s="197" t="e">
        <f t="shared" si="633"/>
        <v>#DIV/0!</v>
      </c>
      <c r="S88" s="197" t="e">
        <f t="shared" si="633"/>
        <v>#DIV/0!</v>
      </c>
      <c r="T88" s="197" t="e">
        <f t="shared" si="633"/>
        <v>#DIV/0!</v>
      </c>
      <c r="U88" s="198" t="e">
        <f t="shared" si="621"/>
        <v>#DIV/0!</v>
      </c>
      <c r="V88" s="197" t="e">
        <f t="shared" si="621"/>
        <v>#DIV/0!</v>
      </c>
      <c r="W88" s="197" t="e">
        <f t="shared" si="621"/>
        <v>#DIV/0!</v>
      </c>
      <c r="X88" s="197" t="e">
        <f t="shared" si="621"/>
        <v>#DIV/0!</v>
      </c>
      <c r="Y88" s="197" t="e">
        <f t="shared" si="621"/>
        <v>#DIV/0!</v>
      </c>
      <c r="Z88" s="198" t="e">
        <f t="shared" si="621"/>
        <v>#DIV/0!</v>
      </c>
      <c r="AA88" s="197" t="e">
        <f t="shared" si="621"/>
        <v>#DIV/0!</v>
      </c>
      <c r="AB88" s="197" t="e">
        <f t="shared" si="621"/>
        <v>#DIV/0!</v>
      </c>
      <c r="AC88" s="197" t="e">
        <f t="shared" si="621"/>
        <v>#DIV/0!</v>
      </c>
      <c r="AD88" s="197" t="e">
        <f t="shared" si="621"/>
        <v>#DIV/0!</v>
      </c>
      <c r="AE88" s="198" t="e">
        <f t="shared" si="621"/>
        <v>#DIV/0!</v>
      </c>
      <c r="AF88" s="197" t="e">
        <f t="shared" si="622"/>
        <v>#DIV/0!</v>
      </c>
      <c r="AG88" s="197" t="e">
        <f t="shared" si="622"/>
        <v>#DIV/0!</v>
      </c>
      <c r="AH88" s="197" t="e">
        <f t="shared" si="622"/>
        <v>#DIV/0!</v>
      </c>
      <c r="AI88" s="197" t="e">
        <f t="shared" si="622"/>
        <v>#DIV/0!</v>
      </c>
      <c r="AJ88" s="198" t="e">
        <f t="shared" si="622"/>
        <v>#DIV/0!</v>
      </c>
      <c r="AK88" s="197" t="e">
        <f t="shared" si="623"/>
        <v>#DIV/0!</v>
      </c>
      <c r="AL88" s="197" t="e">
        <f t="shared" si="623"/>
        <v>#DIV/0!</v>
      </c>
      <c r="AM88" s="197" t="e">
        <f t="shared" si="623"/>
        <v>#DIV/0!</v>
      </c>
      <c r="AN88" s="197" t="e">
        <f t="shared" si="623"/>
        <v>#DIV/0!</v>
      </c>
      <c r="AO88" s="198" t="e">
        <f t="shared" si="623"/>
        <v>#DIV/0!</v>
      </c>
      <c r="AP88" s="197">
        <f t="shared" si="623"/>
        <v>704.92690878013491</v>
      </c>
      <c r="AQ88" s="197">
        <f t="shared" si="623"/>
        <v>477.19619869564912</v>
      </c>
      <c r="AR88" s="197">
        <f t="shared" si="623"/>
        <v>679.80110398229374</v>
      </c>
      <c r="AS88" s="197">
        <f t="shared" si="623"/>
        <v>-186.34158281707835</v>
      </c>
      <c r="AT88" s="198">
        <f t="shared" si="623"/>
        <v>425.7984878424387</v>
      </c>
      <c r="AU88" s="197">
        <f t="shared" si="624"/>
        <v>-64.576985562299626</v>
      </c>
      <c r="AV88" s="197">
        <f t="shared" si="624"/>
        <v>635.31621298090761</v>
      </c>
      <c r="AW88" s="197">
        <f t="shared" si="624"/>
        <v>-614.20229214169456</v>
      </c>
      <c r="AX88" s="197">
        <f t="shared" si="624"/>
        <v>325.99407699997249</v>
      </c>
      <c r="AY88" s="198">
        <f t="shared" si="624"/>
        <v>71.530536964103391</v>
      </c>
      <c r="AZ88" s="197">
        <f t="shared" si="624"/>
        <v>500.07256122971023</v>
      </c>
      <c r="BA88" s="197">
        <f t="shared" si="624"/>
        <v>-226.7384065927086</v>
      </c>
      <c r="BB88" s="197">
        <f t="shared" si="624"/>
        <v>694.20138349546744</v>
      </c>
      <c r="BC88" s="197">
        <f t="shared" si="624"/>
        <v>105.99591662527553</v>
      </c>
      <c r="BD88" s="198">
        <f t="shared" si="624"/>
        <v>250.89324844809079</v>
      </c>
      <c r="BE88" s="197">
        <f t="shared" si="625"/>
        <v>109.48922849251363</v>
      </c>
      <c r="BF88" s="197">
        <f t="shared" si="625"/>
        <v>73.254602638792022</v>
      </c>
      <c r="BG88" s="197">
        <f t="shared" si="625"/>
        <v>48.186575878019219</v>
      </c>
      <c r="BH88" s="197">
        <f t="shared" si="625"/>
        <v>-254.4388166589512</v>
      </c>
      <c r="BI88" s="198">
        <f t="shared" si="625"/>
        <v>-33.796976258845255</v>
      </c>
      <c r="BJ88" s="197">
        <f t="shared" si="625"/>
        <v>161.58875198853951</v>
      </c>
      <c r="BK88" s="197">
        <f t="shared" si="625"/>
        <v>-34.5964758206635</v>
      </c>
      <c r="BL88" s="197">
        <f t="shared" si="625"/>
        <v>-103.32174693503005</v>
      </c>
      <c r="BM88" s="197">
        <f t="shared" si="625"/>
        <v>24.541356582873931</v>
      </c>
      <c r="BN88" s="198">
        <f t="shared" si="625"/>
        <v>-1.1386825323494998</v>
      </c>
      <c r="BO88" s="197">
        <f t="shared" si="626"/>
        <v>42.391355788822253</v>
      </c>
      <c r="BP88" s="197">
        <f t="shared" si="626"/>
        <v>197.62797477802795</v>
      </c>
      <c r="BQ88" s="197">
        <f t="shared" si="626"/>
        <v>45.951399431116144</v>
      </c>
      <c r="BR88" s="197">
        <f t="shared" si="626"/>
        <v>45.635552010159785</v>
      </c>
      <c r="BS88" s="198">
        <f t="shared" si="626"/>
        <v>87.674649985358116</v>
      </c>
      <c r="BT88" s="197">
        <f t="shared" si="626"/>
        <v>30.039461319481543</v>
      </c>
      <c r="BU88" s="197">
        <f t="shared" si="626"/>
        <v>59.987083920926551</v>
      </c>
      <c r="BV88" s="197">
        <f t="shared" si="626"/>
        <v>101.86106015349306</v>
      </c>
      <c r="BW88" s="197">
        <f t="shared" si="626"/>
        <v>41.268889590679869</v>
      </c>
      <c r="BX88" s="198">
        <f t="shared" si="626"/>
        <v>58.162366253055595</v>
      </c>
      <c r="BY88" s="197">
        <f t="shared" si="627"/>
        <v>123.79941135956307</v>
      </c>
      <c r="BZ88" s="197">
        <f t="shared" si="627"/>
        <v>123.80670403666639</v>
      </c>
      <c r="CA88" s="197">
        <f t="shared" si="627"/>
        <v>118.36535556868976</v>
      </c>
      <c r="CB88" s="197">
        <f t="shared" si="627"/>
        <v>126.96863792140189</v>
      </c>
      <c r="CC88" s="198">
        <f t="shared" si="627"/>
        <v>122.24705198547403</v>
      </c>
      <c r="CD88" s="197">
        <f t="shared" si="627"/>
        <v>-6.6614607984738505E-2</v>
      </c>
      <c r="CE88" s="197">
        <f t="shared" si="627"/>
        <v>-3.041037710886374</v>
      </c>
      <c r="CF88" s="197">
        <f t="shared" si="627"/>
        <v>-9.3121072225782484</v>
      </c>
      <c r="CG88" s="197">
        <f t="shared" si="627"/>
        <v>-58.579048896281741</v>
      </c>
      <c r="CH88" s="198">
        <f t="shared" si="627"/>
        <v>-19.403462128951276</v>
      </c>
      <c r="CI88" s="197">
        <f t="shared" si="628"/>
        <v>13.403126232012784</v>
      </c>
      <c r="CJ88" s="197">
        <f t="shared" si="628"/>
        <v>14.745189930330248</v>
      </c>
      <c r="CK88" s="197">
        <f t="shared" si="628"/>
        <v>22.919647081049433</v>
      </c>
      <c r="CL88" s="197">
        <f t="shared" si="628"/>
        <v>55.389637614193802</v>
      </c>
      <c r="CM88" s="198">
        <f t="shared" si="628"/>
        <v>27.079602686383431</v>
      </c>
      <c r="CN88" s="197">
        <f t="shared" si="628"/>
        <v>-15.807479831909665</v>
      </c>
      <c r="CO88" s="197">
        <f t="shared" si="628"/>
        <v>-77.756106651011848</v>
      </c>
      <c r="CP88" s="197">
        <f t="shared" si="628"/>
        <v>-139.2126359175605</v>
      </c>
      <c r="CQ88" s="197">
        <f t="shared" si="628"/>
        <v>-165.37958028908784</v>
      </c>
      <c r="CR88" s="198">
        <f t="shared" si="628"/>
        <v>-101.47017000491421</v>
      </c>
      <c r="CS88" s="197">
        <f t="shared" si="629"/>
        <v>-78.360565991378309</v>
      </c>
      <c r="CT88" s="197">
        <f t="shared" si="629"/>
        <v>-80.970331399775603</v>
      </c>
      <c r="CU88" s="197">
        <f t="shared" si="629"/>
        <v>-83.822477240377836</v>
      </c>
      <c r="CV88" s="197">
        <f t="shared" si="629"/>
        <v>-85.179562632254346</v>
      </c>
      <c r="CW88" s="198">
        <f t="shared" si="629"/>
        <v>-81.990526575113634</v>
      </c>
      <c r="CX88" s="197">
        <f t="shared" si="629"/>
        <v>-42.32746905810658</v>
      </c>
      <c r="CY88" s="197">
        <f t="shared" si="629"/>
        <v>-36.907124621495811</v>
      </c>
      <c r="CZ88" s="197">
        <f t="shared" si="629"/>
        <v>-35.11931318900097</v>
      </c>
      <c r="DA88" s="197">
        <f t="shared" si="629"/>
        <v>-34.02777837616555</v>
      </c>
      <c r="DB88" s="198">
        <f t="shared" si="629"/>
        <v>-36.982832243780408</v>
      </c>
    </row>
    <row r="89" spans="1:106" ht="11.25" customHeight="1" x14ac:dyDescent="0.35">
      <c r="A89" s="199" t="s">
        <v>208</v>
      </c>
      <c r="B89" s="45" t="e">
        <f t="shared" ref="B89" si="634">B65/#REF!-1</f>
        <v>#REF!</v>
      </c>
      <c r="C89" s="45" t="e">
        <f t="shared" ref="C89" si="635">C65/#REF!-1</f>
        <v>#REF!</v>
      </c>
      <c r="D89" s="45" t="e">
        <f t="shared" ref="D89" si="636">D65/#REF!-1</f>
        <v>#REF!</v>
      </c>
      <c r="E89" s="45" t="e">
        <f t="shared" ref="E89:AE89" si="637">E65/#REF!-1</f>
        <v>#REF!</v>
      </c>
      <c r="F89" s="22" t="e">
        <f t="shared" si="637"/>
        <v>#REF!</v>
      </c>
      <c r="G89" s="45" t="e">
        <f t="shared" si="637"/>
        <v>#REF!</v>
      </c>
      <c r="H89" s="45" t="e">
        <f t="shared" si="637"/>
        <v>#REF!</v>
      </c>
      <c r="I89" s="45" t="e">
        <f t="shared" si="637"/>
        <v>#REF!</v>
      </c>
      <c r="J89" s="45" t="e">
        <f t="shared" si="637"/>
        <v>#REF!</v>
      </c>
      <c r="K89" s="22" t="e">
        <f t="shared" si="637"/>
        <v>#REF!</v>
      </c>
      <c r="L89" s="45" t="e">
        <f t="shared" si="637"/>
        <v>#REF!</v>
      </c>
      <c r="M89" s="45" t="e">
        <f t="shared" si="637"/>
        <v>#REF!</v>
      </c>
      <c r="N89" s="45" t="e">
        <f t="shared" si="637"/>
        <v>#REF!</v>
      </c>
      <c r="O89" s="45" t="e">
        <f t="shared" si="637"/>
        <v>#REF!</v>
      </c>
      <c r="P89" s="22" t="e">
        <f t="shared" si="637"/>
        <v>#REF!</v>
      </c>
      <c r="Q89" s="45" t="e">
        <f t="shared" si="637"/>
        <v>#REF!</v>
      </c>
      <c r="R89" s="45" t="e">
        <f t="shared" si="637"/>
        <v>#REF!</v>
      </c>
      <c r="S89" s="45" t="e">
        <f t="shared" si="637"/>
        <v>#REF!</v>
      </c>
      <c r="T89" s="45" t="e">
        <f t="shared" si="637"/>
        <v>#REF!</v>
      </c>
      <c r="U89" s="22" t="e">
        <f t="shared" si="637"/>
        <v>#REF!</v>
      </c>
      <c r="V89" s="45" t="e">
        <f t="shared" si="637"/>
        <v>#REF!</v>
      </c>
      <c r="W89" s="45" t="e">
        <f t="shared" si="637"/>
        <v>#REF!</v>
      </c>
      <c r="X89" s="45" t="e">
        <f t="shared" si="637"/>
        <v>#REF!</v>
      </c>
      <c r="Y89" s="45" t="e">
        <f t="shared" si="637"/>
        <v>#REF!</v>
      </c>
      <c r="Z89" s="22" t="e">
        <f t="shared" si="637"/>
        <v>#REF!</v>
      </c>
      <c r="AA89" s="45" t="e">
        <f t="shared" si="637"/>
        <v>#REF!</v>
      </c>
      <c r="AB89" s="45" t="e">
        <f t="shared" si="637"/>
        <v>#REF!</v>
      </c>
      <c r="AC89" s="45" t="e">
        <f t="shared" si="637"/>
        <v>#REF!</v>
      </c>
      <c r="AD89" s="45" t="e">
        <f t="shared" si="637"/>
        <v>#REF!</v>
      </c>
      <c r="AE89" s="22" t="e">
        <f t="shared" si="637"/>
        <v>#REF!</v>
      </c>
      <c r="AF89" s="45" t="e">
        <f t="shared" ref="AF89:AL89" si="638">AF65/AA65-1</f>
        <v>#DIV/0!</v>
      </c>
      <c r="AG89" s="45" t="e">
        <f t="shared" si="638"/>
        <v>#DIV/0!</v>
      </c>
      <c r="AH89" s="45" t="e">
        <f t="shared" si="638"/>
        <v>#DIV/0!</v>
      </c>
      <c r="AI89" s="45" t="e">
        <f t="shared" si="638"/>
        <v>#DIV/0!</v>
      </c>
      <c r="AJ89" s="22" t="e">
        <f t="shared" si="638"/>
        <v>#DIV/0!</v>
      </c>
      <c r="AK89" s="45" t="e">
        <f t="shared" si="638"/>
        <v>#DIV/0!</v>
      </c>
      <c r="AL89" s="45" t="e">
        <f t="shared" si="638"/>
        <v>#DIV/0!</v>
      </c>
      <c r="AM89" s="45" t="e">
        <f t="shared" ref="AM89:BR89" si="639">AM65/AH65-1</f>
        <v>#DIV/0!</v>
      </c>
      <c r="AN89" s="45" t="e">
        <f t="shared" si="639"/>
        <v>#DIV/0!</v>
      </c>
      <c r="AO89" s="22" t="e">
        <f t="shared" si="639"/>
        <v>#DIV/0!</v>
      </c>
      <c r="AP89" s="45">
        <f t="shared" si="639"/>
        <v>0.65007958315104108</v>
      </c>
      <c r="AQ89" s="45">
        <f t="shared" si="639"/>
        <v>1.3703535087726046</v>
      </c>
      <c r="AR89" s="45">
        <f t="shared" si="639"/>
        <v>0.40643795933580762</v>
      </c>
      <c r="AS89" s="45">
        <f t="shared" si="639"/>
        <v>0.31213468343891981</v>
      </c>
      <c r="AT89" s="22">
        <f t="shared" si="639"/>
        <v>0.52176572204350347</v>
      </c>
      <c r="AU89" s="45">
        <f t="shared" si="639"/>
        <v>0.54743466586728284</v>
      </c>
      <c r="AV89" s="45">
        <f t="shared" si="639"/>
        <v>1.027148761326238</v>
      </c>
      <c r="AW89" s="45">
        <f t="shared" si="639"/>
        <v>-0.19263018741963489</v>
      </c>
      <c r="AX89" s="45">
        <f t="shared" si="639"/>
        <v>0.14566782262670608</v>
      </c>
      <c r="AY89" s="22">
        <f t="shared" si="639"/>
        <v>0.26497110923577538</v>
      </c>
      <c r="AZ89" s="45">
        <f t="shared" si="639"/>
        <v>-0.1185678906656068</v>
      </c>
      <c r="BA89" s="45">
        <f t="shared" si="639"/>
        <v>-0.38155449031500688</v>
      </c>
      <c r="BB89" s="45">
        <f t="shared" si="639"/>
        <v>0.34666746154763328</v>
      </c>
      <c r="BC89" s="45">
        <f t="shared" si="639"/>
        <v>3.2617949402152568E-2</v>
      </c>
      <c r="BD89" s="22">
        <f t="shared" si="639"/>
        <v>-6.1879886983376098E-2</v>
      </c>
      <c r="BE89" s="45">
        <f t="shared" si="639"/>
        <v>1.195705712997329</v>
      </c>
      <c r="BF89" s="45">
        <f t="shared" si="639"/>
        <v>0.76992130343654841</v>
      </c>
      <c r="BG89" s="45">
        <f t="shared" si="639"/>
        <v>0.29409594640459225</v>
      </c>
      <c r="BH89" s="45">
        <f t="shared" si="639"/>
        <v>0.69448477838210332</v>
      </c>
      <c r="BI89" s="22">
        <f t="shared" si="639"/>
        <v>0.65566285524173074</v>
      </c>
      <c r="BJ89" s="45">
        <f t="shared" si="639"/>
        <v>0.27085308056872037</v>
      </c>
      <c r="BK89" s="45">
        <f t="shared" si="639"/>
        <v>0.26418804182679412</v>
      </c>
      <c r="BL89" s="45">
        <f t="shared" si="639"/>
        <v>0.31144736992143396</v>
      </c>
      <c r="BM89" s="45">
        <f t="shared" si="639"/>
        <v>-8.8022134433277222E-2</v>
      </c>
      <c r="BN89" s="22">
        <f t="shared" si="639"/>
        <v>0.14802505466496396</v>
      </c>
      <c r="BO89" s="45">
        <f t="shared" si="639"/>
        <v>0.4546708931568153</v>
      </c>
      <c r="BP89" s="45">
        <f t="shared" si="639"/>
        <v>0.31942382467302943</v>
      </c>
      <c r="BQ89" s="45">
        <f t="shared" si="639"/>
        <v>0.20028693157116773</v>
      </c>
      <c r="BR89" s="45">
        <f t="shared" si="639"/>
        <v>0.4720145242588567</v>
      </c>
      <c r="BS89" s="22">
        <f t="shared" ref="BS89:CX89" si="640">BS65/BN65-1</f>
        <v>0.35705830059097465</v>
      </c>
      <c r="BT89" s="45">
        <f t="shared" si="640"/>
        <v>0.54039873185154796</v>
      </c>
      <c r="BU89" s="45">
        <f t="shared" si="640"/>
        <v>0.3528458333891471</v>
      </c>
      <c r="BV89" s="45">
        <f t="shared" si="640"/>
        <v>0.52543735738346187</v>
      </c>
      <c r="BW89" s="45">
        <f t="shared" si="640"/>
        <v>0.24066320458725521</v>
      </c>
      <c r="BX89" s="22">
        <f t="shared" si="640"/>
        <v>0.39533324734569741</v>
      </c>
      <c r="BY89" s="45">
        <f t="shared" si="640"/>
        <v>0.55595004965078032</v>
      </c>
      <c r="BZ89" s="45">
        <f t="shared" si="640"/>
        <v>0.56848921718121859</v>
      </c>
      <c r="CA89" s="45">
        <f t="shared" si="640"/>
        <v>0.56460520754681132</v>
      </c>
      <c r="CB89" s="45">
        <f t="shared" si="640"/>
        <v>0.51440817269750472</v>
      </c>
      <c r="CC89" s="22">
        <f t="shared" si="640"/>
        <v>0.54965913582874681</v>
      </c>
      <c r="CD89" s="45">
        <f t="shared" si="640"/>
        <v>0.44511790754223202</v>
      </c>
      <c r="CE89" s="45">
        <f t="shared" si="640"/>
        <v>0.20853744760365633</v>
      </c>
      <c r="CF89" s="45">
        <f t="shared" si="640"/>
        <v>0.21080673283701246</v>
      </c>
      <c r="CG89" s="45">
        <f t="shared" si="640"/>
        <v>0.23277720175300631</v>
      </c>
      <c r="CH89" s="22">
        <f t="shared" si="640"/>
        <v>0.26781224152629357</v>
      </c>
      <c r="CI89" s="45">
        <f t="shared" si="640"/>
        <v>0.10955815642776967</v>
      </c>
      <c r="CJ89" s="45">
        <f t="shared" si="640"/>
        <v>0.26800433146406233</v>
      </c>
      <c r="CK89" s="45">
        <f t="shared" si="640"/>
        <v>0.31806510919605424</v>
      </c>
      <c r="CL89" s="45">
        <f t="shared" si="640"/>
        <v>0.19735556791983355</v>
      </c>
      <c r="CM89" s="22">
        <f t="shared" si="640"/>
        <v>0.22188267794327832</v>
      </c>
      <c r="CN89" s="45">
        <f t="shared" si="640"/>
        <v>0.19894756348964382</v>
      </c>
      <c r="CO89" s="45">
        <f t="shared" si="640"/>
        <v>9.3143945813809248E-2</v>
      </c>
      <c r="CP89" s="45">
        <f t="shared" si="640"/>
        <v>6.5648809241319661E-2</v>
      </c>
      <c r="CQ89" s="45">
        <f t="shared" si="640"/>
        <v>9.7589559062845499E-2</v>
      </c>
      <c r="CR89" s="22">
        <f t="shared" si="640"/>
        <v>0.11108182123409116</v>
      </c>
      <c r="CS89" s="45">
        <f t="shared" si="640"/>
        <v>8.0869443578370559E-2</v>
      </c>
      <c r="CT89" s="45">
        <f t="shared" si="640"/>
        <v>6.4900111933998916E-2</v>
      </c>
      <c r="CU89" s="45">
        <f t="shared" si="640"/>
        <v>5.4834618456636175E-2</v>
      </c>
      <c r="CV89" s="45">
        <f t="shared" si="640"/>
        <v>4.8857730073819106E-2</v>
      </c>
      <c r="CW89" s="22">
        <f t="shared" si="640"/>
        <v>6.2138230244532355E-2</v>
      </c>
      <c r="CX89" s="45">
        <f t="shared" si="640"/>
        <v>6.043877108455642E-2</v>
      </c>
      <c r="CY89" s="45">
        <f>CY65/CT65-1</f>
        <v>5.7159651502712627E-2</v>
      </c>
      <c r="CZ89" s="45">
        <f>CZ65/CU65-1</f>
        <v>5.3514792315169979E-2</v>
      </c>
      <c r="DA89" s="45">
        <f>DA65/CV65-1</f>
        <v>5.1124056281197872E-2</v>
      </c>
      <c r="DB89" s="22">
        <f>DB65/CW65-1</f>
        <v>5.552584797095661E-2</v>
      </c>
    </row>
    <row r="90" spans="1:106" ht="11.25" customHeight="1" x14ac:dyDescent="0.35">
      <c r="A90" s="195" t="s">
        <v>89</v>
      </c>
      <c r="B90" s="196" t="e">
        <f t="shared" ref="B90" si="641">B73/#REF!-1</f>
        <v>#REF!</v>
      </c>
      <c r="C90" s="196" t="e">
        <f t="shared" ref="C90" si="642">C73/#REF!-1</f>
        <v>#REF!</v>
      </c>
      <c r="D90" s="196" t="e">
        <f t="shared" ref="D90" si="643">D73/#REF!-1</f>
        <v>#REF!</v>
      </c>
      <c r="E90" s="196" t="e">
        <f t="shared" ref="E90:AE90" si="644">E73/#REF!-1</f>
        <v>#REF!</v>
      </c>
      <c r="F90" s="57" t="e">
        <f t="shared" si="644"/>
        <v>#REF!</v>
      </c>
      <c r="G90" s="196" t="e">
        <f t="shared" si="644"/>
        <v>#REF!</v>
      </c>
      <c r="H90" s="196" t="e">
        <f t="shared" si="644"/>
        <v>#REF!</v>
      </c>
      <c r="I90" s="196" t="e">
        <f t="shared" si="644"/>
        <v>#REF!</v>
      </c>
      <c r="J90" s="196" t="e">
        <f t="shared" si="644"/>
        <v>#REF!</v>
      </c>
      <c r="K90" s="57" t="e">
        <f t="shared" si="644"/>
        <v>#REF!</v>
      </c>
      <c r="L90" s="196" t="e">
        <f t="shared" si="644"/>
        <v>#REF!</v>
      </c>
      <c r="M90" s="196" t="e">
        <f t="shared" si="644"/>
        <v>#REF!</v>
      </c>
      <c r="N90" s="196" t="e">
        <f t="shared" si="644"/>
        <v>#REF!</v>
      </c>
      <c r="O90" s="196" t="e">
        <f t="shared" si="644"/>
        <v>#REF!</v>
      </c>
      <c r="P90" s="57" t="e">
        <f t="shared" si="644"/>
        <v>#REF!</v>
      </c>
      <c r="Q90" s="196" t="e">
        <f t="shared" si="644"/>
        <v>#REF!</v>
      </c>
      <c r="R90" s="196" t="e">
        <f t="shared" si="644"/>
        <v>#REF!</v>
      </c>
      <c r="S90" s="196" t="e">
        <f t="shared" si="644"/>
        <v>#REF!</v>
      </c>
      <c r="T90" s="196" t="e">
        <f t="shared" si="644"/>
        <v>#REF!</v>
      </c>
      <c r="U90" s="57" t="e">
        <f t="shared" si="644"/>
        <v>#REF!</v>
      </c>
      <c r="V90" s="196" t="e">
        <f t="shared" si="644"/>
        <v>#REF!</v>
      </c>
      <c r="W90" s="196" t="e">
        <f t="shared" si="644"/>
        <v>#REF!</v>
      </c>
      <c r="X90" s="196" t="e">
        <f t="shared" si="644"/>
        <v>#REF!</v>
      </c>
      <c r="Y90" s="196" t="e">
        <f t="shared" si="644"/>
        <v>#REF!</v>
      </c>
      <c r="Z90" s="57" t="e">
        <f t="shared" si="644"/>
        <v>#REF!</v>
      </c>
      <c r="AA90" s="196" t="e">
        <f t="shared" si="644"/>
        <v>#REF!</v>
      </c>
      <c r="AB90" s="196" t="e">
        <f t="shared" si="644"/>
        <v>#REF!</v>
      </c>
      <c r="AC90" s="196" t="e">
        <f t="shared" si="644"/>
        <v>#REF!</v>
      </c>
      <c r="AD90" s="196" t="e">
        <f t="shared" si="644"/>
        <v>#REF!</v>
      </c>
      <c r="AE90" s="57" t="e">
        <f t="shared" si="644"/>
        <v>#REF!</v>
      </c>
      <c r="AF90" s="196" t="e">
        <f t="shared" ref="AF90:AL90" si="645">AF73/AA73-1</f>
        <v>#DIV/0!</v>
      </c>
      <c r="AG90" s="196" t="e">
        <f t="shared" si="645"/>
        <v>#DIV/0!</v>
      </c>
      <c r="AH90" s="196" t="e">
        <f t="shared" si="645"/>
        <v>#DIV/0!</v>
      </c>
      <c r="AI90" s="196" t="e">
        <f t="shared" si="645"/>
        <v>#DIV/0!</v>
      </c>
      <c r="AJ90" s="57" t="e">
        <f t="shared" si="645"/>
        <v>#DIV/0!</v>
      </c>
      <c r="AK90" s="196" t="e">
        <f t="shared" si="645"/>
        <v>#DIV/0!</v>
      </c>
      <c r="AL90" s="196" t="e">
        <f t="shared" si="645"/>
        <v>#DIV/0!</v>
      </c>
      <c r="AM90" s="196" t="e">
        <f t="shared" ref="AM90:BR90" si="646">AM73/AH73-1</f>
        <v>#DIV/0!</v>
      </c>
      <c r="AN90" s="196" t="e">
        <f t="shared" si="646"/>
        <v>#DIV/0!</v>
      </c>
      <c r="AO90" s="57" t="e">
        <f t="shared" si="646"/>
        <v>#DIV/0!</v>
      </c>
      <c r="AP90" s="196">
        <f t="shared" si="646"/>
        <v>0.59018980659665665</v>
      </c>
      <c r="AQ90" s="196">
        <f t="shared" si="646"/>
        <v>0.6088414446061825</v>
      </c>
      <c r="AR90" s="196">
        <f t="shared" si="646"/>
        <v>7.7043149183386728E-2</v>
      </c>
      <c r="AS90" s="196">
        <f t="shared" si="646"/>
        <v>-8.1573742247821657E-2</v>
      </c>
      <c r="AT90" s="57">
        <f t="shared" si="646"/>
        <v>0.1609910029474666</v>
      </c>
      <c r="AU90" s="196">
        <f t="shared" si="646"/>
        <v>-8.6115692302673241E-2</v>
      </c>
      <c r="AV90" s="196">
        <f t="shared" si="646"/>
        <v>0.93543052879341571</v>
      </c>
      <c r="AW90" s="196">
        <f t="shared" si="646"/>
        <v>-0.16316099285420571</v>
      </c>
      <c r="AX90" s="196">
        <f t="shared" si="646"/>
        <v>0.16817515275610417</v>
      </c>
      <c r="AY90" s="57">
        <f t="shared" si="646"/>
        <v>0.22235616509631129</v>
      </c>
      <c r="AZ90" s="196">
        <f t="shared" si="646"/>
        <v>-0.6462777535916413</v>
      </c>
      <c r="BA90" s="196">
        <f t="shared" si="646"/>
        <v>-0.39434774777725012</v>
      </c>
      <c r="BB90" s="196">
        <f t="shared" si="646"/>
        <v>0.62841493994984821</v>
      </c>
      <c r="BC90" s="196">
        <f t="shared" si="646"/>
        <v>0.34936769172738291</v>
      </c>
      <c r="BD90" s="57">
        <f t="shared" si="646"/>
        <v>4.2715827338128953E-3</v>
      </c>
      <c r="BE90" s="196">
        <f t="shared" si="646"/>
        <v>6.6912307692307689</v>
      </c>
      <c r="BF90" s="196">
        <f t="shared" si="646"/>
        <v>1.1250371732136579</v>
      </c>
      <c r="BG90" s="196">
        <f t="shared" si="646"/>
        <v>0.36574543096810785</v>
      </c>
      <c r="BH90" s="196">
        <f t="shared" si="646"/>
        <v>0.52640174197060419</v>
      </c>
      <c r="BI90" s="57">
        <f t="shared" si="646"/>
        <v>0.86397159415963976</v>
      </c>
      <c r="BJ90" s="196">
        <f t="shared" si="646"/>
        <v>0.23823335266937362</v>
      </c>
      <c r="BK90" s="196">
        <f t="shared" si="646"/>
        <v>9.8240525170794957E-2</v>
      </c>
      <c r="BL90" s="196">
        <f t="shared" si="646"/>
        <v>0.33331355240709137</v>
      </c>
      <c r="BM90" s="196">
        <f t="shared" si="646"/>
        <v>-0.11530824690596442</v>
      </c>
      <c r="BN90" s="57">
        <f t="shared" si="646"/>
        <v>0.1005374496662208</v>
      </c>
      <c r="BO90" s="196">
        <f t="shared" si="646"/>
        <v>0.48375684538713792</v>
      </c>
      <c r="BP90" s="196">
        <f t="shared" si="646"/>
        <v>0.40600057920648713</v>
      </c>
      <c r="BQ90" s="196">
        <f t="shared" si="646"/>
        <v>0.20415702332205798</v>
      </c>
      <c r="BR90" s="196">
        <f t="shared" si="646"/>
        <v>0.7467233208040529</v>
      </c>
      <c r="BS90" s="57">
        <f t="shared" ref="BS90:CX90" si="647">BS73/BN73-1</f>
        <v>0.4604028676660048</v>
      </c>
      <c r="BT90" s="196">
        <f t="shared" si="647"/>
        <v>0.53775218020882098</v>
      </c>
      <c r="BU90" s="196">
        <f t="shared" si="647"/>
        <v>0.41915417761775675</v>
      </c>
      <c r="BV90" s="196">
        <f t="shared" si="647"/>
        <v>0.57615043430049906</v>
      </c>
      <c r="BW90" s="196">
        <f t="shared" si="647"/>
        <v>3.4062486355669552E-2</v>
      </c>
      <c r="BX90" s="57">
        <f t="shared" si="647"/>
        <v>0.34887964048862008</v>
      </c>
      <c r="BY90" s="196">
        <f t="shared" si="647"/>
        <v>0.51142373673366803</v>
      </c>
      <c r="BZ90" s="196">
        <f t="shared" si="647"/>
        <v>0.37436936492362705</v>
      </c>
      <c r="CA90" s="196">
        <f t="shared" si="647"/>
        <v>0.49646188390758095</v>
      </c>
      <c r="CB90" s="196">
        <f t="shared" si="647"/>
        <v>0.62908965883318047</v>
      </c>
      <c r="CC90" s="57">
        <f t="shared" si="647"/>
        <v>0.50118720983375975</v>
      </c>
      <c r="CD90" s="196">
        <f t="shared" si="647"/>
        <v>0.41874692586953977</v>
      </c>
      <c r="CE90" s="196">
        <f t="shared" si="647"/>
        <v>0.14244015359205164</v>
      </c>
      <c r="CF90" s="196">
        <f t="shared" ca="1" si="647"/>
        <v>0.19703392155966237</v>
      </c>
      <c r="CG90" s="196">
        <f t="shared" ca="1" si="647"/>
        <v>0.2468690442838255</v>
      </c>
      <c r="CH90" s="57">
        <f t="shared" ca="1" si="647"/>
        <v>0.24609973435415133</v>
      </c>
      <c r="CI90" s="196">
        <f t="shared" ca="1" si="647"/>
        <v>0.14303157585723492</v>
      </c>
      <c r="CJ90" s="196">
        <f t="shared" ca="1" si="647"/>
        <v>0.388755332971223</v>
      </c>
      <c r="CK90" s="196">
        <f t="shared" ca="1" si="647"/>
        <v>0.33961244633591514</v>
      </c>
      <c r="CL90" s="196">
        <f t="shared" ca="1" si="647"/>
        <v>0.18143188843469882</v>
      </c>
      <c r="CM90" s="57">
        <f t="shared" ca="1" si="647"/>
        <v>0.25774893759511031</v>
      </c>
      <c r="CN90" s="196">
        <f t="shared" ca="1" si="647"/>
        <v>0.30019401834250758</v>
      </c>
      <c r="CO90" s="196">
        <f t="shared" ca="1" si="647"/>
        <v>0.16325685270825674</v>
      </c>
      <c r="CP90" s="196">
        <f t="shared" ca="1" si="647"/>
        <v>0.11805467840002448</v>
      </c>
      <c r="CQ90" s="196">
        <f t="shared" ca="1" si="647"/>
        <v>0.15734448734671314</v>
      </c>
      <c r="CR90" s="57">
        <f t="shared" ca="1" si="647"/>
        <v>0.18062295399452566</v>
      </c>
      <c r="CS90" s="196">
        <f t="shared" ca="1" si="647"/>
        <v>7.984761444117372E-2</v>
      </c>
      <c r="CT90" s="196">
        <f t="shared" ca="1" si="647"/>
        <v>6.2169152820396478E-2</v>
      </c>
      <c r="CU90" s="196">
        <f t="shared" ca="1" si="647"/>
        <v>4.8508456088268703E-2</v>
      </c>
      <c r="CV90" s="196">
        <f t="shared" ca="1" si="647"/>
        <v>4.2021491255345378E-2</v>
      </c>
      <c r="CW90" s="57">
        <f t="shared" ca="1" si="647"/>
        <v>5.7974757249482645E-2</v>
      </c>
      <c r="CX90" s="196">
        <f t="shared" ca="1" si="647"/>
        <v>5.8861469254050558E-2</v>
      </c>
      <c r="CY90" s="196">
        <f ca="1">CY73/CT73-1</f>
        <v>5.6754481961576841E-2</v>
      </c>
      <c r="CZ90" s="196">
        <f ca="1">CZ73/CU73-1</f>
        <v>5.3364536004937513E-2</v>
      </c>
      <c r="DA90" s="196">
        <f ca="1">DA73/CV73-1</f>
        <v>5.1544893964666327E-2</v>
      </c>
      <c r="DB90" s="57">
        <f ca="1">DB73/CW73-1</f>
        <v>5.5130159333858009E-2</v>
      </c>
    </row>
    <row r="91" spans="1:106" ht="11.25" customHeight="1" x14ac:dyDescent="0.35">
      <c r="A91" s="201" t="s">
        <v>211</v>
      </c>
      <c r="B91" s="202" t="e">
        <f t="shared" ref="B91" si="648">(B83-#REF!)*10000</f>
        <v>#DIV/0!</v>
      </c>
      <c r="C91" s="202" t="e">
        <f t="shared" ref="C91" si="649">(C83-#REF!)*10000</f>
        <v>#DIV/0!</v>
      </c>
      <c r="D91" s="202" t="e">
        <f t="shared" ref="D91" si="650">(D83-#REF!)*10000</f>
        <v>#DIV/0!</v>
      </c>
      <c r="E91" s="202" t="e">
        <f t="shared" ref="E91:AE91" si="651">(E83-#REF!)*10000</f>
        <v>#DIV/0!</v>
      </c>
      <c r="F91" s="203" t="e">
        <f t="shared" si="651"/>
        <v>#DIV/0!</v>
      </c>
      <c r="G91" s="202" t="e">
        <f t="shared" si="651"/>
        <v>#DIV/0!</v>
      </c>
      <c r="H91" s="202" t="e">
        <f t="shared" si="651"/>
        <v>#DIV/0!</v>
      </c>
      <c r="I91" s="202" t="e">
        <f t="shared" si="651"/>
        <v>#DIV/0!</v>
      </c>
      <c r="J91" s="202" t="e">
        <f t="shared" si="651"/>
        <v>#DIV/0!</v>
      </c>
      <c r="K91" s="203" t="e">
        <f t="shared" si="651"/>
        <v>#DIV/0!</v>
      </c>
      <c r="L91" s="202" t="e">
        <f t="shared" si="651"/>
        <v>#DIV/0!</v>
      </c>
      <c r="M91" s="202" t="e">
        <f t="shared" si="651"/>
        <v>#DIV/0!</v>
      </c>
      <c r="N91" s="202" t="e">
        <f t="shared" si="651"/>
        <v>#DIV/0!</v>
      </c>
      <c r="O91" s="202" t="e">
        <f t="shared" si="651"/>
        <v>#DIV/0!</v>
      </c>
      <c r="P91" s="203" t="e">
        <f t="shared" si="651"/>
        <v>#DIV/0!</v>
      </c>
      <c r="Q91" s="202" t="e">
        <f t="shared" si="651"/>
        <v>#DIV/0!</v>
      </c>
      <c r="R91" s="202" t="e">
        <f t="shared" si="651"/>
        <v>#DIV/0!</v>
      </c>
      <c r="S91" s="202" t="e">
        <f t="shared" si="651"/>
        <v>#DIV/0!</v>
      </c>
      <c r="T91" s="202" t="e">
        <f t="shared" si="651"/>
        <v>#DIV/0!</v>
      </c>
      <c r="U91" s="203" t="e">
        <f t="shared" si="651"/>
        <v>#DIV/0!</v>
      </c>
      <c r="V91" s="202" t="e">
        <f t="shared" si="651"/>
        <v>#DIV/0!</v>
      </c>
      <c r="W91" s="202" t="e">
        <f t="shared" si="651"/>
        <v>#DIV/0!</v>
      </c>
      <c r="X91" s="202" t="e">
        <f t="shared" si="651"/>
        <v>#DIV/0!</v>
      </c>
      <c r="Y91" s="202" t="e">
        <f t="shared" si="651"/>
        <v>#DIV/0!</v>
      </c>
      <c r="Z91" s="203" t="e">
        <f t="shared" si="651"/>
        <v>#DIV/0!</v>
      </c>
      <c r="AA91" s="202" t="e">
        <f t="shared" si="651"/>
        <v>#DIV/0!</v>
      </c>
      <c r="AB91" s="202" t="e">
        <f t="shared" si="651"/>
        <v>#DIV/0!</v>
      </c>
      <c r="AC91" s="202" t="e">
        <f t="shared" si="651"/>
        <v>#DIV/0!</v>
      </c>
      <c r="AD91" s="202" t="e">
        <f t="shared" si="651"/>
        <v>#DIV/0!</v>
      </c>
      <c r="AE91" s="203" t="e">
        <f t="shared" si="651"/>
        <v>#DIV/0!</v>
      </c>
      <c r="AF91" s="202" t="e">
        <f t="shared" ref="AF91:AL91" si="652">(AF83-AA83)*10000</f>
        <v>#DIV/0!</v>
      </c>
      <c r="AG91" s="202" t="e">
        <f t="shared" si="652"/>
        <v>#DIV/0!</v>
      </c>
      <c r="AH91" s="202" t="e">
        <f t="shared" si="652"/>
        <v>#DIV/0!</v>
      </c>
      <c r="AI91" s="202" t="e">
        <f t="shared" si="652"/>
        <v>#DIV/0!</v>
      </c>
      <c r="AJ91" s="203" t="e">
        <f t="shared" si="652"/>
        <v>#DIV/0!</v>
      </c>
      <c r="AK91" s="202" t="e">
        <f t="shared" si="652"/>
        <v>#DIV/0!</v>
      </c>
      <c r="AL91" s="202" t="e">
        <f t="shared" si="652"/>
        <v>#DIV/0!</v>
      </c>
      <c r="AM91" s="202" t="e">
        <f t="shared" ref="AM91:BR91" si="653">(AM83-AH83)*10000</f>
        <v>#DIV/0!</v>
      </c>
      <c r="AN91" s="202" t="e">
        <f t="shared" si="653"/>
        <v>#DIV/0!</v>
      </c>
      <c r="AO91" s="203" t="e">
        <f t="shared" si="653"/>
        <v>#DIV/0!</v>
      </c>
      <c r="AP91" s="202">
        <f t="shared" si="653"/>
        <v>594.84991490467553</v>
      </c>
      <c r="AQ91" s="202">
        <f t="shared" si="653"/>
        <v>418.08193104519637</v>
      </c>
      <c r="AR91" s="202">
        <f t="shared" si="653"/>
        <v>-175.28793686998418</v>
      </c>
      <c r="AS91" s="202">
        <f t="shared" si="653"/>
        <v>-545.57465880879784</v>
      </c>
      <c r="AT91" s="203">
        <f t="shared" si="653"/>
        <v>38.000200621887416</v>
      </c>
      <c r="AU91" s="202">
        <f t="shared" si="653"/>
        <v>-379.73445110648862</v>
      </c>
      <c r="AV91" s="202">
        <f t="shared" si="653"/>
        <v>920.78965357718425</v>
      </c>
      <c r="AW91" s="202">
        <f t="shared" si="653"/>
        <v>-216.5672816230979</v>
      </c>
      <c r="AX91" s="202">
        <f t="shared" si="653"/>
        <v>110.99587424128255</v>
      </c>
      <c r="AY91" s="203">
        <f t="shared" si="653"/>
        <v>147.48095023057544</v>
      </c>
      <c r="AZ91" s="202">
        <f t="shared" si="653"/>
        <v>-689.58762207057123</v>
      </c>
      <c r="BA91" s="202">
        <f t="shared" si="653"/>
        <v>-778.74387114188903</v>
      </c>
      <c r="BB91" s="202">
        <f t="shared" si="653"/>
        <v>355.50548354060186</v>
      </c>
      <c r="BC91" s="202">
        <f t="shared" si="653"/>
        <v>298.78317211466612</v>
      </c>
      <c r="BD91" s="203">
        <f t="shared" si="653"/>
        <v>-166.13412486637503</v>
      </c>
      <c r="BE91" s="202">
        <f t="shared" si="653"/>
        <v>1187.5373874146012</v>
      </c>
      <c r="BF91" s="202">
        <f t="shared" si="653"/>
        <v>239.18695143086282</v>
      </c>
      <c r="BG91" s="202">
        <f t="shared" si="653"/>
        <v>-37.679090147116348</v>
      </c>
      <c r="BH91" s="202">
        <f t="shared" si="653"/>
        <v>143.40232130585801</v>
      </c>
      <c r="BI91" s="203">
        <f t="shared" si="653"/>
        <v>319.52331455142894</v>
      </c>
      <c r="BJ91" s="202">
        <f t="shared" si="653"/>
        <v>-89.779791781147978</v>
      </c>
      <c r="BK91" s="202">
        <f t="shared" si="653"/>
        <v>-309.45155966208142</v>
      </c>
      <c r="BL91" s="202">
        <f t="shared" si="653"/>
        <v>-42.58056286155054</v>
      </c>
      <c r="BM91" s="202">
        <f t="shared" si="653"/>
        <v>-530.8377806793826</v>
      </c>
      <c r="BN91" s="203">
        <f t="shared" si="653"/>
        <v>-262.96713821497451</v>
      </c>
      <c r="BO91" s="202">
        <f t="shared" si="653"/>
        <v>160.09797311507202</v>
      </c>
      <c r="BP91" s="202">
        <f t="shared" si="653"/>
        <v>235.68602495282141</v>
      </c>
      <c r="BQ91" s="202">
        <f t="shared" si="653"/>
        <v>5.1917052058458868</v>
      </c>
      <c r="BR91" s="202">
        <f t="shared" si="653"/>
        <v>394.20714306992369</v>
      </c>
      <c r="BS91" s="203">
        <f t="shared" ref="BS91:CX91" si="654">(BS83-BN83)*10000</f>
        <v>207.79994889062763</v>
      </c>
      <c r="BT91" s="202">
        <f t="shared" si="654"/>
        <v>142.90251434839863</v>
      </c>
      <c r="BU91" s="202">
        <f t="shared" si="654"/>
        <v>57.98142543150697</v>
      </c>
      <c r="BV91" s="202">
        <f t="shared" si="654"/>
        <v>176.11458394672042</v>
      </c>
      <c r="BW91" s="202">
        <f t="shared" si="654"/>
        <v>-373.58135898289788</v>
      </c>
      <c r="BX91" s="203">
        <f t="shared" si="654"/>
        <v>-14.119359074401538</v>
      </c>
      <c r="BY91" s="202">
        <f t="shared" si="654"/>
        <v>68.588034851686515</v>
      </c>
      <c r="BZ91" s="202">
        <f t="shared" si="654"/>
        <v>32.21694122831714</v>
      </c>
      <c r="CA91" s="202">
        <f t="shared" si="654"/>
        <v>186.00461579632051</v>
      </c>
      <c r="CB91" s="202">
        <f t="shared" si="654"/>
        <v>300.50985063286737</v>
      </c>
      <c r="CC91" s="203">
        <f t="shared" si="654"/>
        <v>151.64231407959889</v>
      </c>
      <c r="CD91" s="202">
        <f t="shared" si="654"/>
        <v>122.87687941470449</v>
      </c>
      <c r="CE91" s="202">
        <f t="shared" si="654"/>
        <v>-158.25230023859049</v>
      </c>
      <c r="CF91" s="202">
        <f t="shared" ca="1" si="654"/>
        <v>-56.626110721816339</v>
      </c>
      <c r="CG91" s="202">
        <f t="shared" ca="1" si="654"/>
        <v>-10.408884079410042</v>
      </c>
      <c r="CH91" s="203">
        <f t="shared" ca="1" si="654"/>
        <v>-28.032107268027019</v>
      </c>
      <c r="CI91" s="202">
        <f t="shared" ca="1" si="654"/>
        <v>-39.223923085012217</v>
      </c>
      <c r="CJ91" s="202">
        <f t="shared" ca="1" si="654"/>
        <v>153.52359494093969</v>
      </c>
      <c r="CK91" s="202">
        <f t="shared" ca="1" si="654"/>
        <v>144.27769243843812</v>
      </c>
      <c r="CL91" s="202">
        <f t="shared" ca="1" si="654"/>
        <v>40.964855337844995</v>
      </c>
      <c r="CM91" s="203">
        <f t="shared" ca="1" si="654"/>
        <v>74.598919445424954</v>
      </c>
      <c r="CN91" s="202">
        <f t="shared" ca="1" si="654"/>
        <v>241.81223571164145</v>
      </c>
      <c r="CO91" s="202">
        <f t="shared" ca="1" si="654"/>
        <v>118.63702224465256</v>
      </c>
      <c r="CP91" s="202">
        <f t="shared" ca="1" si="654"/>
        <v>52.691491576085106</v>
      </c>
      <c r="CQ91" s="202">
        <f t="shared" ca="1" si="654"/>
        <v>67.817012938813932</v>
      </c>
      <c r="CR91" s="203">
        <f t="shared" ca="1" si="654"/>
        <v>118.31014431447711</v>
      </c>
      <c r="CS91" s="202">
        <f t="shared" ca="1" si="654"/>
        <v>-39.681319495871726</v>
      </c>
      <c r="CT91" s="202">
        <f t="shared" ca="1" si="654"/>
        <v>-42.25137763507275</v>
      </c>
      <c r="CU91" s="202">
        <f t="shared" ca="1" si="654"/>
        <v>-54.812840524232072</v>
      </c>
      <c r="CV91" s="202">
        <f t="shared" ca="1" si="654"/>
        <v>-59.719984608572197</v>
      </c>
      <c r="CW91" s="203">
        <f t="shared" ca="1" si="654"/>
        <v>-48.892682440152825</v>
      </c>
      <c r="CX91" s="202">
        <f t="shared" ca="1" si="654"/>
        <v>-18.213477560794779</v>
      </c>
      <c r="CY91" s="202">
        <f t="shared" ref="CY91:DB91" ca="1" si="655">(CY83-CT83)*10000</f>
        <v>-10.986840510877617</v>
      </c>
      <c r="CZ91" s="202">
        <f t="shared" ca="1" si="655"/>
        <v>-12.103241980678249</v>
      </c>
      <c r="DA91" s="202">
        <f t="shared" ca="1" si="655"/>
        <v>-12.225810148224491</v>
      </c>
      <c r="DB91" s="203">
        <f t="shared" ca="1" si="655"/>
        <v>-13.176618335056789</v>
      </c>
    </row>
    <row r="92" spans="1:106" ht="11.25" customHeight="1" x14ac:dyDescent="0.35">
      <c r="B92" s="52"/>
      <c r="C92" s="52"/>
      <c r="D92" s="52"/>
      <c r="E92" s="52"/>
      <c r="F92" s="53"/>
      <c r="G92" s="52"/>
      <c r="H92" s="52"/>
      <c r="I92" s="52"/>
      <c r="J92" s="52"/>
      <c r="K92" s="53"/>
      <c r="L92" s="52"/>
      <c r="M92" s="52"/>
      <c r="N92" s="52"/>
      <c r="O92" s="52"/>
      <c r="P92" s="53"/>
      <c r="Q92" s="52"/>
      <c r="R92" s="52"/>
      <c r="S92" s="52"/>
      <c r="T92" s="52"/>
      <c r="U92" s="53"/>
      <c r="V92" s="52"/>
      <c r="W92" s="52"/>
      <c r="X92" s="52"/>
      <c r="Y92" s="52"/>
      <c r="Z92" s="53"/>
      <c r="AA92" s="52"/>
      <c r="AB92" s="52"/>
      <c r="AC92" s="52"/>
      <c r="AD92" s="52"/>
      <c r="AE92" s="53"/>
      <c r="AF92" s="52"/>
      <c r="AG92" s="52"/>
      <c r="AH92" s="52"/>
      <c r="AI92" s="52"/>
      <c r="AJ92" s="53"/>
      <c r="AK92" s="52"/>
      <c r="AL92" s="52"/>
      <c r="AM92" s="52"/>
      <c r="AN92" s="52"/>
      <c r="AO92" s="53"/>
      <c r="AP92" s="52"/>
      <c r="AQ92" s="52"/>
      <c r="AR92" s="52"/>
      <c r="AS92" s="52"/>
      <c r="AT92" s="53"/>
      <c r="AU92" s="52"/>
      <c r="AV92" s="52"/>
      <c r="AW92" s="52"/>
      <c r="AX92" s="52"/>
      <c r="AY92" s="53"/>
      <c r="AZ92" s="52"/>
      <c r="BA92" s="52"/>
      <c r="BB92" s="52"/>
      <c r="BC92" s="52"/>
      <c r="BD92" s="53"/>
      <c r="BE92" s="52"/>
      <c r="BF92" s="52"/>
      <c r="BG92" s="52"/>
      <c r="BH92" s="52"/>
      <c r="BI92" s="53"/>
      <c r="BJ92" s="52"/>
      <c r="BK92" s="52"/>
      <c r="BL92" s="52"/>
      <c r="BM92" s="52"/>
      <c r="BN92" s="53"/>
      <c r="BO92" s="52"/>
      <c r="BP92" s="52"/>
      <c r="BQ92" s="52"/>
      <c r="BR92" s="52"/>
      <c r="BS92" s="53"/>
      <c r="BT92" s="52"/>
      <c r="BU92" s="52"/>
      <c r="BV92" s="52"/>
      <c r="BW92" s="52"/>
      <c r="BX92" s="53"/>
      <c r="BY92" s="52"/>
      <c r="BZ92" s="52"/>
      <c r="CA92" s="59"/>
      <c r="CB92" s="52"/>
      <c r="CC92" s="51"/>
      <c r="CD92" s="52"/>
      <c r="CE92" s="136"/>
      <c r="CF92" s="136"/>
      <c r="CG92" s="136"/>
      <c r="CH92" s="308" t="s">
        <v>341</v>
      </c>
      <c r="CI92" s="52"/>
      <c r="CJ92" s="52"/>
      <c r="CK92" s="59"/>
      <c r="CL92" s="52"/>
      <c r="CM92" s="51"/>
      <c r="CN92" s="52"/>
      <c r="CO92" s="52"/>
      <c r="CP92" s="59"/>
      <c r="CQ92" s="52"/>
      <c r="CR92" s="51"/>
      <c r="CS92" s="52"/>
      <c r="CT92" s="52"/>
      <c r="CU92" s="59"/>
      <c r="CV92" s="52"/>
      <c r="CW92" s="51"/>
      <c r="CX92" s="52"/>
      <c r="CY92" s="52"/>
      <c r="CZ92" s="59"/>
      <c r="DA92" s="52"/>
      <c r="DB92" s="51"/>
    </row>
    <row r="93" spans="1:106" s="15" customFormat="1" ht="11.25" customHeight="1" thickBot="1" x14ac:dyDescent="0.4">
      <c r="A93" s="119" t="s">
        <v>147</v>
      </c>
      <c r="B93" s="124" t="str">
        <f>Macro!B$3</f>
        <v>1Q10</v>
      </c>
      <c r="C93" s="124" t="str">
        <f>Macro!C$3</f>
        <v>2Q10</v>
      </c>
      <c r="D93" s="124" t="str">
        <f>Macro!D$3</f>
        <v>3Q10</v>
      </c>
      <c r="E93" s="125" t="str">
        <f>Macro!E$3</f>
        <v>4Q10</v>
      </c>
      <c r="F93" s="126" t="str">
        <f>Macro!F$3</f>
        <v>2010</v>
      </c>
      <c r="G93" s="124" t="str">
        <f>Macro!G$3</f>
        <v>1Q11</v>
      </c>
      <c r="H93" s="124" t="str">
        <f>Macro!H$3</f>
        <v>2Q11</v>
      </c>
      <c r="I93" s="124" t="str">
        <f>Macro!I$3</f>
        <v>3Q11</v>
      </c>
      <c r="J93" s="125" t="str">
        <f>Macro!J$3</f>
        <v>4Q11</v>
      </c>
      <c r="K93" s="126" t="str">
        <f>Macro!K$3</f>
        <v>2011</v>
      </c>
      <c r="L93" s="124" t="str">
        <f>Macro!L$3</f>
        <v>1Q12</v>
      </c>
      <c r="M93" s="124" t="str">
        <f>Macro!M$3</f>
        <v>2Q12</v>
      </c>
      <c r="N93" s="124" t="str">
        <f>Macro!N$3</f>
        <v>3Q12</v>
      </c>
      <c r="O93" s="125" t="str">
        <f>Macro!O$3</f>
        <v>4Q12</v>
      </c>
      <c r="P93" s="126" t="str">
        <f>Macro!P$3</f>
        <v>2012</v>
      </c>
      <c r="Q93" s="124" t="str">
        <f>Macro!Q$3</f>
        <v>1Q13</v>
      </c>
      <c r="R93" s="124" t="str">
        <f>Macro!R$3</f>
        <v>2Q13</v>
      </c>
      <c r="S93" s="124" t="str">
        <f>Macro!S$3</f>
        <v>3Q13</v>
      </c>
      <c r="T93" s="125" t="str">
        <f>Macro!T$3</f>
        <v>4Q13</v>
      </c>
      <c r="U93" s="126" t="str">
        <f>Macro!U$3</f>
        <v>2013</v>
      </c>
      <c r="V93" s="124" t="str">
        <f>Macro!V$3</f>
        <v>1Q14</v>
      </c>
      <c r="W93" s="124" t="str">
        <f>Macro!W$3</f>
        <v>2Q14</v>
      </c>
      <c r="X93" s="124" t="str">
        <f>Macro!X$3</f>
        <v>3Q14</v>
      </c>
      <c r="Y93" s="125" t="str">
        <f>Macro!Y$3</f>
        <v>4Q14</v>
      </c>
      <c r="Z93" s="126" t="str">
        <f>Macro!Z$3</f>
        <v>2014</v>
      </c>
      <c r="AA93" s="124" t="str">
        <f>Macro!AA$3</f>
        <v>1Q15</v>
      </c>
      <c r="AB93" s="124" t="str">
        <f>Macro!AB$3</f>
        <v>2Q15</v>
      </c>
      <c r="AC93" s="124" t="str">
        <f>Macro!AC$3</f>
        <v>3Q15</v>
      </c>
      <c r="AD93" s="125" t="str">
        <f>Macro!AD$3</f>
        <v>4Q15</v>
      </c>
      <c r="AE93" s="126" t="str">
        <f>Macro!AE$3</f>
        <v>2015</v>
      </c>
      <c r="AF93" s="124" t="str">
        <f>Macro!AF$3</f>
        <v>1Q16</v>
      </c>
      <c r="AG93" s="124" t="str">
        <f>Macro!AG$3</f>
        <v>2Q16</v>
      </c>
      <c r="AH93" s="124" t="str">
        <f>Macro!AH$3</f>
        <v>3Q16</v>
      </c>
      <c r="AI93" s="125" t="str">
        <f>Macro!AI$3</f>
        <v>4Q16</v>
      </c>
      <c r="AJ93" s="126" t="str">
        <f>Macro!AJ$3</f>
        <v>2016</v>
      </c>
      <c r="AK93" s="124" t="str">
        <f>Macro!AK$3</f>
        <v>1Q17</v>
      </c>
      <c r="AL93" s="124" t="str">
        <f>Macro!AL$3</f>
        <v>2Q17</v>
      </c>
      <c r="AM93" s="124" t="str">
        <f>Macro!AM$3</f>
        <v>3Q17</v>
      </c>
      <c r="AN93" s="125" t="str">
        <f>Macro!AN$3</f>
        <v>4Q17</v>
      </c>
      <c r="AO93" s="126" t="str">
        <f>Macro!AO$3</f>
        <v>2017</v>
      </c>
      <c r="AP93" s="124" t="str">
        <f>Macro!AP$3</f>
        <v>1Q18</v>
      </c>
      <c r="AQ93" s="124" t="str">
        <f>Macro!AQ$3</f>
        <v>2Q18</v>
      </c>
      <c r="AR93" s="124" t="str">
        <f>Macro!AR$3</f>
        <v>3Q18</v>
      </c>
      <c r="AS93" s="125" t="str">
        <f>Macro!AS$3</f>
        <v>4Q18</v>
      </c>
      <c r="AT93" s="126" t="str">
        <f>Macro!AT$3</f>
        <v>2018</v>
      </c>
      <c r="AU93" s="124" t="str">
        <f>Macro!AU$3</f>
        <v>1Q19</v>
      </c>
      <c r="AV93" s="124" t="str">
        <f>Macro!AV$3</f>
        <v>2Q19</v>
      </c>
      <c r="AW93" s="124" t="str">
        <f>Macro!AW$3</f>
        <v>3Q19</v>
      </c>
      <c r="AX93" s="125" t="str">
        <f>Macro!AX$3</f>
        <v>4Q19</v>
      </c>
      <c r="AY93" s="126" t="str">
        <f>Macro!AY$3</f>
        <v>2019</v>
      </c>
      <c r="AZ93" s="124" t="str">
        <f>Macro!AZ$3</f>
        <v>1Q20</v>
      </c>
      <c r="BA93" s="124" t="str">
        <f>Macro!BA$3</f>
        <v>2Q20</v>
      </c>
      <c r="BB93" s="124" t="str">
        <f>Macro!BB$3</f>
        <v>3Q20</v>
      </c>
      <c r="BC93" s="125" t="str">
        <f>Macro!BC$3</f>
        <v>4Q20</v>
      </c>
      <c r="BD93" s="126" t="str">
        <f>Macro!BD$3</f>
        <v>2020</v>
      </c>
      <c r="BE93" s="124" t="str">
        <f>Macro!BE$3</f>
        <v>1Q21</v>
      </c>
      <c r="BF93" s="124" t="str">
        <f>Macro!BF$3</f>
        <v>2Q21</v>
      </c>
      <c r="BG93" s="124" t="str">
        <f>Macro!BG$3</f>
        <v>3Q21</v>
      </c>
      <c r="BH93" s="125" t="str">
        <f>Macro!BH$3</f>
        <v>4Q21</v>
      </c>
      <c r="BI93" s="126" t="str">
        <f>Macro!BI$3</f>
        <v>2021</v>
      </c>
      <c r="BJ93" s="124" t="str">
        <f>Macro!BJ$3</f>
        <v>1Q22</v>
      </c>
      <c r="BK93" s="124" t="str">
        <f>Macro!BK$3</f>
        <v>2Q22</v>
      </c>
      <c r="BL93" s="124" t="str">
        <f>Macro!BL$3</f>
        <v>3Q22</v>
      </c>
      <c r="BM93" s="125" t="str">
        <f>Macro!BM$3</f>
        <v>4Q22</v>
      </c>
      <c r="BN93" s="126" t="str">
        <f>Macro!BN$3</f>
        <v>2022</v>
      </c>
      <c r="BO93" s="124" t="str">
        <f>Macro!BO$3</f>
        <v>1Q23</v>
      </c>
      <c r="BP93" s="124" t="str">
        <f>Macro!BP$3</f>
        <v>2Q23</v>
      </c>
      <c r="BQ93" s="124" t="str">
        <f>Macro!BQ$3</f>
        <v>3Q23</v>
      </c>
      <c r="BR93" s="125" t="str">
        <f>Macro!BR$3</f>
        <v>4Q23</v>
      </c>
      <c r="BS93" s="126" t="str">
        <f>Macro!BS$3</f>
        <v>2023</v>
      </c>
      <c r="BT93" s="124" t="str">
        <f>Macro!BT$3</f>
        <v>1Q24</v>
      </c>
      <c r="BU93" s="124" t="str">
        <f>Macro!BU$3</f>
        <v>2Q24</v>
      </c>
      <c r="BV93" s="124" t="str">
        <f>Macro!BV$3</f>
        <v>3Q24</v>
      </c>
      <c r="BW93" s="125" t="str">
        <f>Macro!BW$3</f>
        <v>4Q24</v>
      </c>
      <c r="BX93" s="126" t="str">
        <f>Macro!BX$3</f>
        <v>2024</v>
      </c>
      <c r="BY93" s="124" t="str">
        <f>Macro!BY$3</f>
        <v>1Q25</v>
      </c>
      <c r="BZ93" s="120" t="str">
        <f>Macro!BZ$3</f>
        <v>2Q25</v>
      </c>
      <c r="CA93" s="120" t="str">
        <f>Macro!CA$3</f>
        <v>3Q25</v>
      </c>
      <c r="CB93" s="120" t="str">
        <f>Macro!CB$3</f>
        <v>4Q25</v>
      </c>
      <c r="CC93" s="121" t="str">
        <f>Macro!CC$3</f>
        <v>2025</v>
      </c>
      <c r="CD93" s="120" t="str">
        <f>Macro!CD$3</f>
        <v>1Q26</v>
      </c>
      <c r="CE93" s="120" t="str">
        <f>Macro!CE$3</f>
        <v>2Q26E</v>
      </c>
      <c r="CF93" s="120" t="str">
        <f>Macro!CF$3</f>
        <v>3Q26E</v>
      </c>
      <c r="CG93" s="120" t="str">
        <f>Macro!CG$3</f>
        <v>4Q26E</v>
      </c>
      <c r="CH93" s="121" t="str">
        <f>Macro!CH$3</f>
        <v>2026E</v>
      </c>
      <c r="CI93" s="120" t="str">
        <f>Macro!CI$3</f>
        <v>1Q27E</v>
      </c>
      <c r="CJ93" s="120" t="str">
        <f>Macro!CJ$3</f>
        <v>2Q27E</v>
      </c>
      <c r="CK93" s="120" t="str">
        <f>Macro!CK$3</f>
        <v>3Q27E</v>
      </c>
      <c r="CL93" s="120" t="str">
        <f>Macro!CL$3</f>
        <v>4Q27E</v>
      </c>
      <c r="CM93" s="121" t="str">
        <f>Macro!CM$3</f>
        <v>2027E</v>
      </c>
      <c r="CN93" s="120" t="str">
        <f>Macro!CN$3</f>
        <v>1Q28E</v>
      </c>
      <c r="CO93" s="120" t="str">
        <f>Macro!CO$3</f>
        <v>2Q28E</v>
      </c>
      <c r="CP93" s="120" t="str">
        <f>Macro!CP$3</f>
        <v>3Q28E</v>
      </c>
      <c r="CQ93" s="120" t="str">
        <f>Macro!CQ$3</f>
        <v>4Q28E</v>
      </c>
      <c r="CR93" s="121" t="str">
        <f>Macro!CR$3</f>
        <v>2028E</v>
      </c>
      <c r="CS93" s="120" t="str">
        <f>Macro!CS$3</f>
        <v>1Q29E</v>
      </c>
      <c r="CT93" s="120" t="str">
        <f>Macro!CT$3</f>
        <v>2Q29E</v>
      </c>
      <c r="CU93" s="120" t="str">
        <f>Macro!CU$3</f>
        <v>3Q29E</v>
      </c>
      <c r="CV93" s="120" t="str">
        <f>Macro!CV$3</f>
        <v>4Q29E</v>
      </c>
      <c r="CW93" s="121" t="str">
        <f>Macro!CW$3</f>
        <v>2029E</v>
      </c>
      <c r="CX93" s="120" t="str">
        <f>Macro!CX$3</f>
        <v>1Q30E</v>
      </c>
      <c r="CY93" s="120" t="str">
        <f>Macro!CY$3</f>
        <v>2Q30E</v>
      </c>
      <c r="CZ93" s="120" t="str">
        <f>Macro!CZ$3</f>
        <v>3Q30E</v>
      </c>
      <c r="DA93" s="120" t="str">
        <f>Macro!DA$3</f>
        <v>4Q30E</v>
      </c>
      <c r="DB93" s="121" t="str">
        <f>Macro!DB$3</f>
        <v>2030E</v>
      </c>
    </row>
    <row r="94" spans="1:106" ht="11.25" customHeight="1" thickTop="1" x14ac:dyDescent="0.35">
      <c r="A94" s="146" t="s">
        <v>12</v>
      </c>
      <c r="B94" s="629"/>
      <c r="C94" s="629"/>
      <c r="D94" s="629"/>
      <c r="E94" s="629"/>
      <c r="F94" s="640">
        <f t="shared" ref="F94:F95" si="656">SUM(B94:E94)</f>
        <v>0</v>
      </c>
      <c r="G94" s="627"/>
      <c r="H94" s="627"/>
      <c r="I94" s="627"/>
      <c r="J94" s="627"/>
      <c r="K94" s="640">
        <f t="shared" ref="K94:K95" si="657">SUM(G94:J94)</f>
        <v>0</v>
      </c>
      <c r="L94" s="627"/>
      <c r="M94" s="627"/>
      <c r="N94" s="627"/>
      <c r="O94" s="627"/>
      <c r="P94" s="640">
        <f t="shared" ref="P94:P95" si="658">SUM(L94:O94)</f>
        <v>0</v>
      </c>
      <c r="Q94" s="627"/>
      <c r="R94" s="627"/>
      <c r="S94" s="627"/>
      <c r="T94" s="627"/>
      <c r="U94" s="640">
        <f t="shared" ref="U94:U95" si="659">SUM(Q94:T94)</f>
        <v>0</v>
      </c>
      <c r="V94" s="627"/>
      <c r="W94" s="627"/>
      <c r="X94" s="627"/>
      <c r="Y94" s="627"/>
      <c r="Z94" s="640">
        <f t="shared" ref="Z94:Z95" si="660">SUM(V94:Y94)</f>
        <v>0</v>
      </c>
      <c r="AA94" s="627"/>
      <c r="AB94" s="627"/>
      <c r="AC94" s="627"/>
      <c r="AD94" s="627"/>
      <c r="AE94" s="640">
        <f t="shared" ref="AE94:AE95" si="661">SUM(AA94:AD94)</f>
        <v>0</v>
      </c>
      <c r="AF94" s="627"/>
      <c r="AG94" s="627"/>
      <c r="AH94" s="627"/>
      <c r="AI94" s="627"/>
      <c r="AJ94" s="640">
        <f>SUM(AF94:AI94)</f>
        <v>0</v>
      </c>
      <c r="AK94" s="627"/>
      <c r="AL94" s="627"/>
      <c r="AM94" s="627"/>
      <c r="AN94" s="627"/>
      <c r="AO94" s="640">
        <f>SUM(AK94:AN94)</f>
        <v>0</v>
      </c>
      <c r="AP94" s="627"/>
      <c r="AQ94" s="627"/>
      <c r="AR94" s="627"/>
      <c r="AS94" s="627"/>
      <c r="AT94" s="640">
        <f>SUM(AP94:AS94)</f>
        <v>0</v>
      </c>
      <c r="AU94" s="627">
        <v>0</v>
      </c>
      <c r="AV94" s="627">
        <v>0</v>
      </c>
      <c r="AW94" s="627">
        <v>0</v>
      </c>
      <c r="AX94" s="627">
        <v>0</v>
      </c>
      <c r="AY94" s="640">
        <f>SUM(AU94:AX94)</f>
        <v>0</v>
      </c>
      <c r="AZ94" s="627">
        <v>0</v>
      </c>
      <c r="BA94" s="627">
        <v>0</v>
      </c>
      <c r="BB94" s="627">
        <v>0</v>
      </c>
      <c r="BC94" s="627">
        <v>0</v>
      </c>
      <c r="BD94" s="640">
        <f t="shared" ref="BD94" si="662">SUM(AZ94:BC94)</f>
        <v>0</v>
      </c>
      <c r="BE94" s="627">
        <v>0</v>
      </c>
      <c r="BF94" s="627">
        <v>0</v>
      </c>
      <c r="BG94" s="627">
        <v>0</v>
      </c>
      <c r="BH94" s="627">
        <v>0</v>
      </c>
      <c r="BI94" s="640">
        <f t="shared" ref="BI94" si="663">SUM(BE94:BH94)</f>
        <v>0</v>
      </c>
      <c r="BJ94" s="627">
        <v>0</v>
      </c>
      <c r="BK94" s="627">
        <v>0</v>
      </c>
      <c r="BL94" s="627">
        <v>0</v>
      </c>
      <c r="BM94" s="627">
        <v>0</v>
      </c>
      <c r="BN94" s="640">
        <f t="shared" ref="BN94" si="664">SUM(BJ94:BM94)</f>
        <v>0</v>
      </c>
      <c r="BO94" s="627">
        <v>0</v>
      </c>
      <c r="BP94" s="627">
        <v>0</v>
      </c>
      <c r="BQ94" s="627">
        <v>0</v>
      </c>
      <c r="BR94" s="627">
        <v>0</v>
      </c>
      <c r="BS94" s="640">
        <f t="shared" ref="BS94" si="665">SUM(BO94:BR94)</f>
        <v>0</v>
      </c>
      <c r="BT94" s="627">
        <v>0</v>
      </c>
      <c r="BU94" s="627">
        <v>0</v>
      </c>
      <c r="BV94" s="627">
        <v>0</v>
      </c>
      <c r="BW94" s="627">
        <v>0</v>
      </c>
      <c r="BX94" s="640">
        <f t="shared" ref="BX94" si="666">SUM(BT94:BW94)</f>
        <v>0</v>
      </c>
      <c r="BY94" s="627">
        <v>0</v>
      </c>
      <c r="BZ94" s="627">
        <v>0</v>
      </c>
      <c r="CA94" s="627">
        <v>0</v>
      </c>
      <c r="CB94" s="627">
        <v>0</v>
      </c>
      <c r="CC94" s="640">
        <f>SUM(BY94:CB94)</f>
        <v>0</v>
      </c>
      <c r="CD94" s="627">
        <v>0</v>
      </c>
      <c r="CE94" s="627">
        <v>0</v>
      </c>
      <c r="CF94" s="629">
        <f>-CF95*CF98</f>
        <v>0</v>
      </c>
      <c r="CG94" s="629">
        <f>-CG95*CG98</f>
        <v>0</v>
      </c>
      <c r="CH94" s="640">
        <f>SUM(CD94:CG94)</f>
        <v>0</v>
      </c>
      <c r="CI94" s="629">
        <f>-CI95*CI98</f>
        <v>0</v>
      </c>
      <c r="CJ94" s="629">
        <f>-CJ95*CJ98</f>
        <v>0</v>
      </c>
      <c r="CK94" s="629">
        <f>-CK95*CK98</f>
        <v>0</v>
      </c>
      <c r="CL94" s="629">
        <f>-CL95*CL98</f>
        <v>0</v>
      </c>
      <c r="CM94" s="640">
        <f>SUM(CI94:CL94)</f>
        <v>0</v>
      </c>
      <c r="CN94" s="629">
        <f>-CN95*CN98</f>
        <v>0</v>
      </c>
      <c r="CO94" s="629">
        <f>-CO95*CO98</f>
        <v>0</v>
      </c>
      <c r="CP94" s="629">
        <f>-CP95*CP98</f>
        <v>0</v>
      </c>
      <c r="CQ94" s="629">
        <f>-CQ95*CQ98</f>
        <v>0</v>
      </c>
      <c r="CR94" s="640">
        <f>SUM(CN94:CQ94)</f>
        <v>0</v>
      </c>
      <c r="CS94" s="629">
        <f>-CS95*CS98</f>
        <v>0</v>
      </c>
      <c r="CT94" s="629">
        <f>-CT95*CT98</f>
        <v>0</v>
      </c>
      <c r="CU94" s="629">
        <f>-CU95*CU98</f>
        <v>0</v>
      </c>
      <c r="CV94" s="629">
        <f>-CV95*CV98</f>
        <v>0</v>
      </c>
      <c r="CW94" s="640">
        <f>SUM(CS94:CV94)</f>
        <v>0</v>
      </c>
      <c r="CX94" s="629">
        <f>-CX95*CX98</f>
        <v>0</v>
      </c>
      <c r="CY94" s="629">
        <f>-CY95*CY98</f>
        <v>0</v>
      </c>
      <c r="CZ94" s="629">
        <f>-CZ95*CZ98</f>
        <v>0</v>
      </c>
      <c r="DA94" s="629">
        <f>-DA95*DA98</f>
        <v>0</v>
      </c>
      <c r="DB94" s="640">
        <f>SUM(CX94:DA94)</f>
        <v>0</v>
      </c>
    </row>
    <row r="95" spans="1:106" ht="11.25" customHeight="1" x14ac:dyDescent="0.35">
      <c r="A95" s="11" t="s">
        <v>13</v>
      </c>
      <c r="B95" s="46">
        <f t="shared" ref="B95:E95" si="667">B26-B94</f>
        <v>0</v>
      </c>
      <c r="C95" s="46">
        <f t="shared" si="667"/>
        <v>0</v>
      </c>
      <c r="D95" s="46">
        <f t="shared" si="667"/>
        <v>0</v>
      </c>
      <c r="E95" s="46">
        <f t="shared" si="667"/>
        <v>0</v>
      </c>
      <c r="F95" s="54">
        <f t="shared" si="656"/>
        <v>0</v>
      </c>
      <c r="G95" s="46">
        <f t="shared" ref="G95:J95" si="668">G26-G94</f>
        <v>0</v>
      </c>
      <c r="H95" s="46">
        <f t="shared" si="668"/>
        <v>0</v>
      </c>
      <c r="I95" s="46">
        <f t="shared" si="668"/>
        <v>0</v>
      </c>
      <c r="J95" s="46">
        <f t="shared" si="668"/>
        <v>0</v>
      </c>
      <c r="K95" s="54">
        <f t="shared" si="657"/>
        <v>0</v>
      </c>
      <c r="L95" s="46">
        <f t="shared" ref="L95:O95" si="669">L26-L94</f>
        <v>0</v>
      </c>
      <c r="M95" s="46">
        <f t="shared" si="669"/>
        <v>0</v>
      </c>
      <c r="N95" s="46">
        <f t="shared" si="669"/>
        <v>0</v>
      </c>
      <c r="O95" s="46">
        <f t="shared" si="669"/>
        <v>0</v>
      </c>
      <c r="P95" s="54">
        <f t="shared" si="658"/>
        <v>0</v>
      </c>
      <c r="Q95" s="46">
        <f t="shared" ref="Q95:T95" si="670">Q26-Q94</f>
        <v>0</v>
      </c>
      <c r="R95" s="46">
        <f t="shared" si="670"/>
        <v>0</v>
      </c>
      <c r="S95" s="46">
        <f t="shared" si="670"/>
        <v>0</v>
      </c>
      <c r="T95" s="46">
        <f t="shared" si="670"/>
        <v>0</v>
      </c>
      <c r="U95" s="54">
        <f t="shared" si="659"/>
        <v>0</v>
      </c>
      <c r="V95" s="46">
        <f t="shared" ref="V95:Y95" si="671">V26-V94</f>
        <v>0</v>
      </c>
      <c r="W95" s="46">
        <f t="shared" si="671"/>
        <v>0</v>
      </c>
      <c r="X95" s="46">
        <f t="shared" si="671"/>
        <v>0</v>
      </c>
      <c r="Y95" s="46">
        <f t="shared" si="671"/>
        <v>0</v>
      </c>
      <c r="Z95" s="54">
        <f t="shared" si="660"/>
        <v>0</v>
      </c>
      <c r="AA95" s="46">
        <f t="shared" ref="AA95:AD95" si="672">AA26-AA94</f>
        <v>0</v>
      </c>
      <c r="AB95" s="46">
        <f t="shared" si="672"/>
        <v>0</v>
      </c>
      <c r="AC95" s="46">
        <f t="shared" si="672"/>
        <v>0</v>
      </c>
      <c r="AD95" s="46">
        <f t="shared" si="672"/>
        <v>0</v>
      </c>
      <c r="AE95" s="54">
        <f t="shared" si="661"/>
        <v>0</v>
      </c>
      <c r="AF95" s="46">
        <f>AF26-AF94</f>
        <v>0</v>
      </c>
      <c r="AG95" s="46">
        <f>AG26-AG94</f>
        <v>0</v>
      </c>
      <c r="AH95" s="46">
        <f>AH26-AH94</f>
        <v>0</v>
      </c>
      <c r="AI95" s="46">
        <f>AI26-AI94</f>
        <v>0</v>
      </c>
      <c r="AJ95" s="54">
        <f>SUM(AF95:AI95)</f>
        <v>0</v>
      </c>
      <c r="AK95" s="46">
        <f>AK26-AK94</f>
        <v>-766.16499999999996</v>
      </c>
      <c r="AL95" s="46">
        <f>AL26-AL94</f>
        <v>-1045.3510000000001</v>
      </c>
      <c r="AM95" s="46">
        <f>AM26-AM94</f>
        <v>-1353.6529999999998</v>
      </c>
      <c r="AN95" s="46">
        <f>AN26-AN94</f>
        <v>-2114.6080000000002</v>
      </c>
      <c r="AO95" s="54">
        <f>SUM(AK95:AN95)</f>
        <v>-5279.777</v>
      </c>
      <c r="AP95" s="46">
        <f>AP26-AP94</f>
        <v>-560.90499999999997</v>
      </c>
      <c r="AQ95" s="46">
        <f>AQ26-AQ94</f>
        <v>-1107.788</v>
      </c>
      <c r="AR95" s="46">
        <f>AR26-AR94</f>
        <v>-3741.3919999999998</v>
      </c>
      <c r="AS95" s="46">
        <f>AS26-AS94</f>
        <v>-3259.3489999999993</v>
      </c>
      <c r="AT95" s="54">
        <f>SUM(AP95:AS95)</f>
        <v>-8669.4339999999993</v>
      </c>
      <c r="AU95" s="46">
        <f>AU26-AU94</f>
        <v>-3465</v>
      </c>
      <c r="AV95" s="46">
        <f>AV26-AV94</f>
        <v>-5215</v>
      </c>
      <c r="AW95" s="46">
        <f>AW26-AW94</f>
        <v>-7768</v>
      </c>
      <c r="AX95" s="46">
        <f>AX26-AX94</f>
        <v>-10241</v>
      </c>
      <c r="AY95" s="54">
        <f>SUM(AU95:AX95)</f>
        <v>-26689</v>
      </c>
      <c r="AZ95" s="46">
        <f>AZ26-AZ94</f>
        <v>-4959</v>
      </c>
      <c r="BA95" s="46">
        <f>BA26-BA94</f>
        <v>-5719</v>
      </c>
      <c r="BB95" s="46">
        <f>BB26-BB94</f>
        <v>-6639</v>
      </c>
      <c r="BC95" s="46">
        <f>BC26-BC94</f>
        <v>-6166</v>
      </c>
      <c r="BD95" s="54">
        <f>SUM(AZ95:BC95)</f>
        <v>-23483</v>
      </c>
      <c r="BE95" s="46">
        <f>BE26-BE94</f>
        <v>-7256</v>
      </c>
      <c r="BF95" s="46">
        <f>BF26-BF94</f>
        <v>-9300</v>
      </c>
      <c r="BG95" s="46">
        <f>BG26-BG94</f>
        <v>-11427</v>
      </c>
      <c r="BH95" s="46">
        <f>BH26-BH94</f>
        <v>-21731</v>
      </c>
      <c r="BI95" s="54">
        <f>SUM(BE95:BH95)</f>
        <v>-49714</v>
      </c>
      <c r="BJ95" s="46">
        <f>BJ26-BJ94</f>
        <v>-17062</v>
      </c>
      <c r="BK95" s="46">
        <f>BK26-BK94</f>
        <v>-22214</v>
      </c>
      <c r="BL95" s="46">
        <f>BL26-BL94</f>
        <v>-22860</v>
      </c>
      <c r="BM95" s="46">
        <f>BM26-BM94</f>
        <v>-26332</v>
      </c>
      <c r="BN95" s="54">
        <f>SUM(BJ95:BM95)</f>
        <v>-88468</v>
      </c>
      <c r="BO95" s="46">
        <f>BO26-BO94</f>
        <v>-25672</v>
      </c>
      <c r="BP95" s="46">
        <f>BP26-BP94</f>
        <v>-26026</v>
      </c>
      <c r="BQ95" s="46">
        <f>BQ26-BQ94</f>
        <v>-23214</v>
      </c>
      <c r="BR95" s="46">
        <f>BR26-BR94</f>
        <v>-25215</v>
      </c>
      <c r="BS95" s="54">
        <f>SUM(BO95:BR95)</f>
        <v>-100127</v>
      </c>
      <c r="BT95" s="46">
        <f>BT26-BT94</f>
        <v>-24806</v>
      </c>
      <c r="BU95" s="46">
        <f>BU26-BU94</f>
        <v>-31099</v>
      </c>
      <c r="BV95" s="46">
        <f>BV26-BV94</f>
        <v>-39673</v>
      </c>
      <c r="BW95" s="46">
        <f>BW26-BW94</f>
        <v>-41587</v>
      </c>
      <c r="BX95" s="54">
        <f>SUM(BT95:BW95)</f>
        <v>-137165</v>
      </c>
      <c r="BY95" s="46">
        <f>BY26-BY94</f>
        <v>-51332</v>
      </c>
      <c r="BZ95" s="46">
        <f>BZ26-BZ94</f>
        <v>-50846</v>
      </c>
      <c r="CA95" s="46">
        <f>CA26-CA94</f>
        <v>-56062</v>
      </c>
      <c r="CB95" s="46">
        <f>CB26-CB94</f>
        <v>-59596</v>
      </c>
      <c r="CC95" s="54">
        <f>SUM(BY95:CB95)</f>
        <v>-217836</v>
      </c>
      <c r="CD95" s="46">
        <f>CD26-CD94</f>
        <v>-59802</v>
      </c>
      <c r="CE95" s="46">
        <f>CE26-CE94</f>
        <v>-70288</v>
      </c>
      <c r="CF95" s="46">
        <f t="shared" ref="CF95:CG95" si="673">CF99+CF102</f>
        <v>-51675.015346819564</v>
      </c>
      <c r="CG95" s="46">
        <f t="shared" si="673"/>
        <v>-51884.836175829572</v>
      </c>
      <c r="CH95" s="54">
        <f>SUM(CD95:CG95)</f>
        <v>-233649.85152264914</v>
      </c>
      <c r="CI95" s="46">
        <f t="shared" ref="CI95:CL95" si="674">CI99+CI102</f>
        <v>-54494.948682934752</v>
      </c>
      <c r="CJ95" s="46">
        <f t="shared" si="674"/>
        <v>-56010.794620898385</v>
      </c>
      <c r="CK95" s="46">
        <f t="shared" si="674"/>
        <v>-55551.907603059452</v>
      </c>
      <c r="CL95" s="46">
        <f t="shared" si="674"/>
        <v>-55906.806483071916</v>
      </c>
      <c r="CM95" s="54">
        <f t="shared" ref="CM95" si="675">SUM(CI95:CL95)</f>
        <v>-221964.45738996449</v>
      </c>
      <c r="CN95" s="46">
        <f t="shared" ref="CN95:CQ95" si="676">CN99+CN102</f>
        <v>-50990.067112392629</v>
      </c>
      <c r="CO95" s="46">
        <f t="shared" si="676"/>
        <v>-53434.378199562365</v>
      </c>
      <c r="CP95" s="46">
        <f t="shared" si="676"/>
        <v>-54177.072238266672</v>
      </c>
      <c r="CQ95" s="46">
        <f t="shared" si="676"/>
        <v>-54440.293751587145</v>
      </c>
      <c r="CR95" s="54">
        <f t="shared" ref="CR95" si="677">SUM(CN95:CQ95)</f>
        <v>-213041.8113018088</v>
      </c>
      <c r="CS95" s="46">
        <f t="shared" ref="CS95:CV95" si="678">CS99+CS102</f>
        <v>-56174.195900795719</v>
      </c>
      <c r="CT95" s="46">
        <f t="shared" si="678"/>
        <v>-58349.531238932839</v>
      </c>
      <c r="CU95" s="46">
        <f t="shared" si="678"/>
        <v>-58977.093926704627</v>
      </c>
      <c r="CV95" s="46">
        <f t="shared" si="678"/>
        <v>-58944.368478198936</v>
      </c>
      <c r="CW95" s="54">
        <f t="shared" ref="CW95" si="679">SUM(CS95:CV95)</f>
        <v>-232445.18954463213</v>
      </c>
      <c r="CX95" s="46">
        <f t="shared" ref="CX95:DA95" si="680">CX99+CX102</f>
        <v>-60342.356395011593</v>
      </c>
      <c r="CY95" s="46">
        <f t="shared" si="680"/>
        <v>-62295.09256990131</v>
      </c>
      <c r="CZ95" s="46">
        <f t="shared" si="680"/>
        <v>-62707.125790653263</v>
      </c>
      <c r="DA95" s="46">
        <f t="shared" si="680"/>
        <v>-62481.122859356801</v>
      </c>
      <c r="DB95" s="54">
        <f t="shared" ref="DB95" si="681">SUM(CX95:DA95)</f>
        <v>-247825.69761492297</v>
      </c>
    </row>
    <row r="96" spans="1:106" ht="11.25" customHeight="1" x14ac:dyDescent="0.35">
      <c r="A96" s="7" t="s">
        <v>260</v>
      </c>
      <c r="B96" s="436" t="e">
        <f>(1-B95/(AVERAGE('BS &amp; FCF'!A28:B28)+AVERAGE('BS &amp; FCF'!A31:B31)))^4-1</f>
        <v>#DIV/0!</v>
      </c>
      <c r="C96" s="436" t="e">
        <f>(1-C95/(AVERAGE('BS &amp; FCF'!B28:C28)+AVERAGE('BS &amp; FCF'!B31:C31)))^4-1</f>
        <v>#DIV/0!</v>
      </c>
      <c r="D96" s="436" t="e">
        <f>(1-D95/(AVERAGE('BS &amp; FCF'!C28:D28)+AVERAGE('BS &amp; FCF'!C31:D31)))^4-1</f>
        <v>#DIV/0!</v>
      </c>
      <c r="E96" s="436" t="e">
        <f>(1-E95/(AVERAGE('BS &amp; FCF'!D28:E28)+AVERAGE('BS &amp; FCF'!D31:E31)))^4-1</f>
        <v>#DIV/0!</v>
      </c>
      <c r="F96" s="437" t="e">
        <f>(1-F95/(AVERAGE('BS &amp; FCF'!B28:E28)+AVERAGE('BS &amp; FCF'!B31:E31)))-1</f>
        <v>#DIV/0!</v>
      </c>
      <c r="G96" s="436" t="e">
        <f>(1-G95/(AVERAGE('BS &amp; FCF'!F28:G28)+AVERAGE('BS &amp; FCF'!F31:G31)))^4-1</f>
        <v>#DIV/0!</v>
      </c>
      <c r="H96" s="436" t="e">
        <f>(1-H95/(AVERAGE('BS &amp; FCF'!G28:H28)+AVERAGE('BS &amp; FCF'!G31:H31)))^4-1</f>
        <v>#DIV/0!</v>
      </c>
      <c r="I96" s="436" t="e">
        <f>(1-I95/(AVERAGE('BS &amp; FCF'!H28:I28)+AVERAGE('BS &amp; FCF'!H31:I31)))^4-1</f>
        <v>#DIV/0!</v>
      </c>
      <c r="J96" s="436" t="e">
        <f>(1-J95/(AVERAGE('BS &amp; FCF'!I28:J28)+AVERAGE('BS &amp; FCF'!I31:J31)))^4-1</f>
        <v>#DIV/0!</v>
      </c>
      <c r="K96" s="437" t="e">
        <f>(1-K95/(AVERAGE('BS &amp; FCF'!G28:J28)+AVERAGE('BS &amp; FCF'!G31:J31)))-1</f>
        <v>#DIV/0!</v>
      </c>
      <c r="L96" s="436" t="e">
        <f>(1-L95/(AVERAGE('BS &amp; FCF'!K28:L28)+AVERAGE('BS &amp; FCF'!K31:L31)))^4-1</f>
        <v>#DIV/0!</v>
      </c>
      <c r="M96" s="436" t="e">
        <f>(1-M95/(AVERAGE('BS &amp; FCF'!L28:M28)+AVERAGE('BS &amp; FCF'!L31:M31)))^4-1</f>
        <v>#DIV/0!</v>
      </c>
      <c r="N96" s="436" t="e">
        <f>(1-N95/(AVERAGE('BS &amp; FCF'!M28:N28)+AVERAGE('BS &amp; FCF'!M31:N31)))^4-1</f>
        <v>#DIV/0!</v>
      </c>
      <c r="O96" s="436" t="e">
        <f>(1-O95/(AVERAGE('BS &amp; FCF'!N28:O28)+AVERAGE('BS &amp; FCF'!N31:O31)))^4-1</f>
        <v>#DIV/0!</v>
      </c>
      <c r="P96" s="437" t="e">
        <f>(1-P95/(AVERAGE('BS &amp; FCF'!L28:O28)+AVERAGE('BS &amp; FCF'!L31:O31)))-1</f>
        <v>#DIV/0!</v>
      </c>
      <c r="Q96" s="436" t="e">
        <f>(1-Q95/(AVERAGE('BS &amp; FCF'!P28:Q28)+AVERAGE('BS &amp; FCF'!P31:Q31)))^4-1</f>
        <v>#DIV/0!</v>
      </c>
      <c r="R96" s="436" t="e">
        <f>(1-R95/(AVERAGE('BS &amp; FCF'!Q28:R28)+AVERAGE('BS &amp; FCF'!Q31:R31)))^4-1</f>
        <v>#DIV/0!</v>
      </c>
      <c r="S96" s="436" t="e">
        <f>(1-S95/(AVERAGE('BS &amp; FCF'!R28:S28)+AVERAGE('BS &amp; FCF'!R31:S31)))^4-1</f>
        <v>#DIV/0!</v>
      </c>
      <c r="T96" s="436" t="e">
        <f>(1-T95/(AVERAGE('BS &amp; FCF'!S28:T28)+AVERAGE('BS &amp; FCF'!S31:T31)))^4-1</f>
        <v>#DIV/0!</v>
      </c>
      <c r="U96" s="437" t="e">
        <f>(1-U95/(AVERAGE('BS &amp; FCF'!Q28:T28)+AVERAGE('BS &amp; FCF'!Q31:T31)))-1</f>
        <v>#DIV/0!</v>
      </c>
      <c r="V96" s="436" t="e">
        <f>(1-V95/(AVERAGE('BS &amp; FCF'!U28:V28)+AVERAGE('BS &amp; FCF'!U31:V31)))^4-1</f>
        <v>#DIV/0!</v>
      </c>
      <c r="W96" s="436" t="e">
        <f>(1-W95/(AVERAGE('BS &amp; FCF'!V28:W28)+AVERAGE('BS &amp; FCF'!V31:W31)))^4-1</f>
        <v>#DIV/0!</v>
      </c>
      <c r="X96" s="436" t="e">
        <f>(1-X95/(AVERAGE('BS &amp; FCF'!W28:X28)+AVERAGE('BS &amp; FCF'!W31:X31)))^4-1</f>
        <v>#DIV/0!</v>
      </c>
      <c r="Y96" s="436" t="e">
        <f>(1-Y95/(AVERAGE('BS &amp; FCF'!X28:Y28)+AVERAGE('BS &amp; FCF'!X31:Y31)))^4-1</f>
        <v>#DIV/0!</v>
      </c>
      <c r="Z96" s="437" t="e">
        <f>(1-Z95/(AVERAGE('BS &amp; FCF'!V28:Y28)+AVERAGE('BS &amp; FCF'!V31:Y31)))-1</f>
        <v>#DIV/0!</v>
      </c>
      <c r="AA96" s="436" t="e">
        <f>(1-AA95/(AVERAGE('BS &amp; FCF'!Z28:AA28)+AVERAGE('BS &amp; FCF'!Z31:AA31)))^4-1</f>
        <v>#DIV/0!</v>
      </c>
      <c r="AB96" s="436" t="e">
        <f>(1-AB95/(AVERAGE('BS &amp; FCF'!AA28:AB28)+AVERAGE('BS &amp; FCF'!AA31:AB31)))^4-1</f>
        <v>#DIV/0!</v>
      </c>
      <c r="AC96" s="436" t="e">
        <f>(1-AC95/(AVERAGE('BS &amp; FCF'!AB28:AC28)+AVERAGE('BS &amp; FCF'!AB31:AC31)))^4-1</f>
        <v>#DIV/0!</v>
      </c>
      <c r="AD96" s="436" t="e">
        <f>(1-AD95/(AVERAGE('BS &amp; FCF'!AC28:AD28)+AVERAGE('BS &amp; FCF'!AC31:AD31)))^4-1</f>
        <v>#DIV/0!</v>
      </c>
      <c r="AE96" s="437" t="e">
        <f>(1-AE95/(AVERAGE('BS &amp; FCF'!AA28:AD28)+AVERAGE('BS &amp; FCF'!AA31:AD31)))-1</f>
        <v>#DIV/0!</v>
      </c>
      <c r="AF96" s="436" t="e">
        <f>(1-AF95/(AVERAGE('BS &amp; FCF'!AE28:AF28)+AVERAGE('BS &amp; FCF'!AE31:AF31)))^4-1</f>
        <v>#DIV/0!</v>
      </c>
      <c r="AG96" s="436" t="e">
        <f>(1-AG95/(AVERAGE('BS &amp; FCF'!AF28:AG28)+AVERAGE('BS &amp; FCF'!AF31:AG31)))^4-1</f>
        <v>#DIV/0!</v>
      </c>
      <c r="AH96" s="436" t="e">
        <f>(1-AH95/(AVERAGE('BS &amp; FCF'!AG28:AH28)+AVERAGE('BS &amp; FCF'!AG31:AH31)))^4-1</f>
        <v>#DIV/0!</v>
      </c>
      <c r="AI96" s="436" t="e">
        <f>(1-AI95/(AVERAGE('BS &amp; FCF'!AH28:AI28)+AVERAGE('BS &amp; FCF'!AH31:AI31)))^4-1</f>
        <v>#DIV/0!</v>
      </c>
      <c r="AJ96" s="437" t="e">
        <f>(1-AJ95/(AVERAGE('BS &amp; FCF'!AF28:AI28)+AVERAGE('BS &amp; FCF'!AF31:AI31)))-1</f>
        <v>#DIV/0!</v>
      </c>
      <c r="AK96" s="436">
        <f>(1-AK95/(AVERAGE('BS &amp; FCF'!AJ28:AK28)+AVERAGE('BS &amp; FCF'!AJ31:AK31)))^4-1</f>
        <v>2.9565470987756415E-2</v>
      </c>
      <c r="AL96" s="436">
        <f>(1-AL95/(AVERAGE('BS &amp; FCF'!AK28:AL28)+AVERAGE('BS &amp; FCF'!AK31:AL31)))^4-1</f>
        <v>2.0746372398024571E-2</v>
      </c>
      <c r="AM96" s="436">
        <f>(1-AM95/(AVERAGE('BS &amp; FCF'!AL28:AM28)+AVERAGE('BS &amp; FCF'!AL31:AM31)))^4-1</f>
        <v>2.7506493726261905E-2</v>
      </c>
      <c r="AN96" s="436">
        <f>(1-AN95/(AVERAGE('BS &amp; FCF'!AM28:AN28)+AVERAGE('BS &amp; FCF'!AM31:AN31)))^4-1</f>
        <v>4.0651189660431797E-2</v>
      </c>
      <c r="AO96" s="437">
        <f>(1-AO95/(AVERAGE('BS &amp; FCF'!AK28:AN28)+AVERAGE('BS &amp; FCF'!AK31:AN31)))-1</f>
        <v>2.5485915781902735E-2</v>
      </c>
      <c r="AP96" s="436">
        <f>(1-AP95/(AVERAGE('BS &amp; FCF'!AO28:AP28)+AVERAGE('BS &amp; FCF'!AO31:AP31)))^4-1</f>
        <v>1.1647504331366854E-2</v>
      </c>
      <c r="AQ96" s="436">
        <f>(1-AQ95/(AVERAGE('BS &amp; FCF'!AP28:AQ28)+AVERAGE('BS &amp; FCF'!AP31:AQ31)))^4-1</f>
        <v>2.9373323002757523E-2</v>
      </c>
      <c r="AR96" s="436">
        <f>(1-AR95/(AVERAGE('BS &amp; FCF'!AQ28:AR28)+AVERAGE('BS &amp; FCF'!AQ31:AR31)))^4-1</f>
        <v>7.2639082611557493E-2</v>
      </c>
      <c r="AS96" s="436">
        <f>(1-AS95/(AVERAGE('BS &amp; FCF'!AR28:AS28)+AVERAGE('BS &amp; FCF'!AR31:AS31)))^4-1</f>
        <v>4.5946085130685654E-2</v>
      </c>
      <c r="AT96" s="437">
        <f>(1-AT95/(AVERAGE('BS &amp; FCF'!AP28:AS28)+AVERAGE('BS &amp; FCF'!AP31:AS31)))-1</f>
        <v>3.9307757441247038E-2</v>
      </c>
      <c r="AU96" s="436">
        <f>(1-AU95/(AVERAGE('BS &amp; FCF'!AT28:AU28)+AVERAGE('BS &amp; FCF'!AT31:AU31)))^4-1</f>
        <v>4.9967770582509674E-2</v>
      </c>
      <c r="AV96" s="436">
        <f>(1-AV95/(AVERAGE('BS &amp; FCF'!AU28:AV28)+AVERAGE('BS &amp; FCF'!AU31:AV31)))^4-1</f>
        <v>8.0905936955288471E-2</v>
      </c>
      <c r="AW96" s="436">
        <f>(1-AW95/(AVERAGE('BS &amp; FCF'!AV28:AW28)+AVERAGE('BS &amp; FCF'!AV31:AW31)))^4-1</f>
        <v>0.12523636101671354</v>
      </c>
      <c r="AX96" s="436">
        <f>(1-AX95/(AVERAGE('BS &amp; FCF'!AW28:AX28)+AVERAGE('BS &amp; FCF'!AW31:AX31)))^4-1</f>
        <v>0.14926961442410969</v>
      </c>
      <c r="AY96" s="437">
        <f>(1-AY95/(AVERAGE('BS &amp; FCF'!AU28:AX28)+AVERAGE('BS &amp; FCF'!AU31:AX31)))-1</f>
        <v>9.6198762957943496E-2</v>
      </c>
      <c r="AZ96" s="436">
        <f>(1-AZ95/(AVERAGE('BS &amp; FCF'!AY28:AZ28)+AVERAGE('BS &amp; FCF'!AY31:AZ31)))^4-1</f>
        <v>6.3219088577317839E-2</v>
      </c>
      <c r="BA96" s="436">
        <f>(1-BA95/(AVERAGE('BS &amp; FCF'!AZ28:BA28)+AVERAGE('BS &amp; FCF'!AZ31:BA31)))^4-1</f>
        <v>6.9023308109388726E-2</v>
      </c>
      <c r="BB96" s="436">
        <f>(1-BB95/(AVERAGE('BS &amp; FCF'!BA28:BB28)+AVERAGE('BS &amp; FCF'!BA31:BB31)))^4-1</f>
        <v>8.1578566115000362E-2</v>
      </c>
      <c r="BC96" s="436">
        <f>(1-BC95/(AVERAGE('BS &amp; FCF'!BB28:BC28)+AVERAGE('BS &amp; FCF'!BB31:BC31)))^4-1</f>
        <v>8.5063737204374767E-2</v>
      </c>
      <c r="BD96" s="437">
        <f>(1-BD95/(AVERAGE('BS &amp; FCF'!AZ28:BC28)+AVERAGE('BS &amp; FCF'!AZ31:BC31)))-1</f>
        <v>7.350813283301183E-2</v>
      </c>
      <c r="BE96" s="436">
        <f>(1-BE95/(AVERAGE('BS &amp; FCF'!BD28:BE28)+AVERAGE('BS &amp; FCF'!BD31:BE31)))^4-1</f>
        <v>0.10661840189701133</v>
      </c>
      <c r="BF96" s="436">
        <f>(1-BF95/(AVERAGE('BS &amp; FCF'!BE28:BF28)+AVERAGE('BS &amp; FCF'!BE31:BF31)))^4-1</f>
        <v>0.14159628985321437</v>
      </c>
      <c r="BG96" s="436">
        <f>(1-BG95/(AVERAGE('BS &amp; FCF'!BF28:BG28)+AVERAGE('BS &amp; FCF'!BF31:BG31)))^4-1</f>
        <v>0.14540451460684989</v>
      </c>
      <c r="BH96" s="436">
        <f>(1-BH95/(AVERAGE('BS &amp; FCF'!BG28:BH28)+AVERAGE('BS &amp; FCF'!BG31:BH31)))^4-1</f>
        <v>0.24147356035937451</v>
      </c>
      <c r="BI96" s="437">
        <f>(1-BI95/(AVERAGE('BS &amp; FCF'!BE28:BH28)+AVERAGE('BS &amp; FCF'!BE31:BH31)))-1</f>
        <v>0.14898124923207856</v>
      </c>
      <c r="BJ96" s="436">
        <f>(1-BJ95/(AVERAGE('BS &amp; FCF'!BI28:BJ28)+AVERAGE('BS &amp; FCF'!BI31:BJ31)))^4-1</f>
        <v>0.18628551358573731</v>
      </c>
      <c r="BK96" s="436">
        <f>(1-BK95/(AVERAGE('BS &amp; FCF'!BJ28:BK28)+AVERAGE('BS &amp; FCF'!BJ31:BK31)))^4-1</f>
        <v>0.24470533056429611</v>
      </c>
      <c r="BL96" s="436">
        <f>(1-BL95/(AVERAGE('BS &amp; FCF'!BK28:BL28)+AVERAGE('BS &amp; FCF'!BK31:BL31)))^4-1</f>
        <v>0.23167318812437609</v>
      </c>
      <c r="BM96" s="436">
        <f>(1-BM95/(AVERAGE('BS &amp; FCF'!BL28:BM28)+AVERAGE('BS &amp; FCF'!BL31:BM31)))^4-1</f>
        <v>0.24449122637994414</v>
      </c>
      <c r="BN96" s="437">
        <f>(1-BN95/(AVERAGE('BS &amp; FCF'!BJ28:BM28)+AVERAGE('BS &amp; FCF'!BJ31:BM31)))-1</f>
        <v>0.20492424615324034</v>
      </c>
      <c r="BO96" s="436">
        <f>(1-BO95/(AVERAGE('BS &amp; FCF'!BN28:BO28)+AVERAGE('BS &amp; FCF'!BN31:BO31)))^4-1</f>
        <v>0.2328933676333409</v>
      </c>
      <c r="BP96" s="436">
        <f>(1-BP95/(AVERAGE('BS &amp; FCF'!BO28:BP28)+AVERAGE('BS &amp; FCF'!BO31:BP31)))^4-1</f>
        <v>0.23148872313184343</v>
      </c>
      <c r="BQ96" s="436">
        <f>(1-BQ95/(AVERAGE('BS &amp; FCF'!BP28:BQ28)+AVERAGE('BS &amp; FCF'!BP31:BQ31)))^4-1</f>
        <v>0.17227632490174538</v>
      </c>
      <c r="BR96" s="436">
        <f>(1-BR95/(AVERAGE('BS &amp; FCF'!BQ28:BR28)+AVERAGE('BS &amp; FCF'!BQ31:BR31)))^4-1</f>
        <v>0.17009858356812435</v>
      </c>
      <c r="BS96" s="437">
        <f>(1-BS95/(AVERAGE('BS &amp; FCF'!BO28:BR28)+AVERAGE('BS &amp; FCF'!BO31:BR31)))-1</f>
        <v>0.17934304886048924</v>
      </c>
      <c r="BT96" s="436">
        <f>(1-BT95/(AVERAGE('BS &amp; FCF'!BS28:BT28)+AVERAGE('BS &amp; FCF'!BS31:BT31)))^4-1</f>
        <v>0.17357408542874109</v>
      </c>
      <c r="BU96" s="436">
        <f>(1-BU95/(AVERAGE('BS &amp; FCF'!BT28:BU28)+AVERAGE('BS &amp; FCF'!BT31:BU31)))^4-1</f>
        <v>0.15626146009226871</v>
      </c>
      <c r="BV96" s="436">
        <f>(1-BV95/(AVERAGE('BS &amp; FCF'!BU28:BV28)+AVERAGE('BS &amp; FCF'!BU31:BV31)))^4-1</f>
        <v>0.15348996851285657</v>
      </c>
      <c r="BW96" s="436">
        <f>(1-BW95/(AVERAGE('BS &amp; FCF'!BV28:BW28)+AVERAGE('BS &amp; FCF'!BV31:BW31)))^4-1</f>
        <v>0.16903535528742331</v>
      </c>
      <c r="BX96" s="437">
        <f>(1-BX95/(AVERAGE('BS &amp; FCF'!BT28:BW28)+AVERAGE('BS &amp; FCF'!BT31:BW31)))-1</f>
        <v>0.14547392507294776</v>
      </c>
      <c r="BY96" s="436">
        <f>(1-BY95/(AVERAGE('BS &amp; FCF'!BX28:BY28)+AVERAGE('BS &amp; FCF'!BX31:BY31)))^4-1</f>
        <v>0.19362598899163452</v>
      </c>
      <c r="BZ96" s="436">
        <f>(1-BZ95/(AVERAGE('BS &amp; FCF'!BY28:BZ28)+AVERAGE('BS &amp; FCF'!BY31:BZ31)))^4-1</f>
        <v>0.16682538654041079</v>
      </c>
      <c r="CA96" s="436">
        <f>(1-CA95/(AVERAGE('BS &amp; FCF'!BZ28:CA28)+AVERAGE('BS &amp; FCF'!BZ31:CA31)))^4-1</f>
        <v>0.18203655090658777</v>
      </c>
      <c r="CB96" s="436">
        <f>(1-CB95/(AVERAGE('BS &amp; FCF'!CA28:CB28)+AVERAGE('BS &amp; FCF'!CA31:CB31)))^4-1</f>
        <v>0.18160531767052213</v>
      </c>
      <c r="CC96" s="437">
        <f>(1-CC95/(AVERAGE('BS &amp; FCF'!BY28:CB28)+AVERAGE('BS &amp; FCF'!BY31:CB31)))-1</f>
        <v>0.16184565685624053</v>
      </c>
      <c r="CD96" s="436">
        <f>(1-CD95/(AVERAGE('BS &amp; FCF'!CC28:CD28)+AVERAGE('BS &amp; FCF'!CC31:CD31)))^4-1</f>
        <v>0.18039188431472786</v>
      </c>
      <c r="CE96" s="436">
        <f>(1-CE95/(AVERAGE('BS &amp; FCF'!CD28:CE28)+AVERAGE('BS &amp; FCF'!CD31:CE31)))^4-1</f>
        <v>0.22567627158092196</v>
      </c>
      <c r="CF96" s="436">
        <f>(1-CF95/(AVERAGE('BS &amp; FCF'!CE28:CF28)+AVERAGE('BS &amp; FCF'!CE31:CF31)))^4-1</f>
        <v>0.16195833333333343</v>
      </c>
      <c r="CG96" s="436">
        <f>(1-CG95/(AVERAGE('BS &amp; FCF'!CF28:CG28)+AVERAGE('BS &amp; FCF'!CF31:CG31)))^4-1</f>
        <v>0.16100000000000048</v>
      </c>
      <c r="CH96" s="437">
        <f>(1-CH95/(AVERAGE('BS &amp; FCF'!CD28:CG28)+AVERAGE('BS &amp; FCF'!CD31:CG31)))-1</f>
        <v>0.17235533766816657</v>
      </c>
      <c r="CI96" s="436">
        <f>(1-CI95/(AVERAGE('BS &amp; FCF'!CH28:CI28)+AVERAGE('BS &amp; FCF'!CH31:CI31)))^4-1</f>
        <v>0.16100000000000048</v>
      </c>
      <c r="CJ96" s="436">
        <f>(1-CJ95/(AVERAGE('BS &amp; FCF'!CI28:CJ28)+AVERAGE('BS &amp; FCF'!CI31:CJ31)))^4-1</f>
        <v>0.15333333333333354</v>
      </c>
      <c r="CK96" s="436">
        <f>(1-CK95/(AVERAGE('BS &amp; FCF'!CJ28:CK28)+AVERAGE('BS &amp; FCF'!CJ31:CK31)))^4-1</f>
        <v>0.14566666666666639</v>
      </c>
      <c r="CL96" s="436">
        <f>(1-CL95/(AVERAGE('BS &amp; FCF'!CK28:CL28)+AVERAGE('BS &amp; FCF'!CK31:CL31)))^4-1</f>
        <v>0.14375000000000071</v>
      </c>
      <c r="CM96" s="437">
        <f>(1-CM95/(AVERAGE('BS &amp; FCF'!CI28:CL28)+AVERAGE('BS &amp; FCF'!CI31:CL31)))-1</f>
        <v>0.13960672572143773</v>
      </c>
      <c r="CN96" s="436">
        <f>(1-CN95/(AVERAGE('BS &amp; FCF'!CM28:CN28)+AVERAGE('BS &amp; FCF'!CM31:CN31)))^4-1</f>
        <v>0.12499999999999978</v>
      </c>
      <c r="CO96" s="436">
        <f>(1-CO95/(AVERAGE('BS &amp; FCF'!CN28:CO28)+AVERAGE('BS &amp; FCF'!CN31:CO31)))^4-1</f>
        <v>0.12499999999999978</v>
      </c>
      <c r="CP96" s="436">
        <f>(1-CP95/(AVERAGE('BS &amp; FCF'!CO28:CP28)+AVERAGE('BS &amp; FCF'!CO31:CP31)))^4-1</f>
        <v>0.12499999999999978</v>
      </c>
      <c r="CQ96" s="436">
        <f>(1-CQ95/(AVERAGE('BS &amp; FCF'!CP28:CQ28)+AVERAGE('BS &amp; FCF'!CP31:CQ31)))^4-1</f>
        <v>0.12499999999999978</v>
      </c>
      <c r="CR96" s="437">
        <f>(1-CR95/(AVERAGE('BS &amp; FCF'!CN28:CQ28)+AVERAGE('BS &amp; FCF'!CN31:CQ31)))-1</f>
        <v>0.11803419991000519</v>
      </c>
      <c r="CS96" s="436">
        <f>(1-CS95/(AVERAGE('BS &amp; FCF'!CR28:CS28)+AVERAGE('BS &amp; FCF'!CR31:CS31)))^4-1</f>
        <v>0.12499999999999978</v>
      </c>
      <c r="CT96" s="436">
        <f>(1-CT95/(AVERAGE('BS &amp; FCF'!CS28:CT28)+AVERAGE('BS &amp; FCF'!CS31:CT31)))^4-1</f>
        <v>0.12499999999999978</v>
      </c>
      <c r="CU96" s="436">
        <f>(1-CU95/(AVERAGE('BS &amp; FCF'!CT28:CU28)+AVERAGE('BS &amp; FCF'!CT31:CU31)))^4-1</f>
        <v>0.12499999999999978</v>
      </c>
      <c r="CV96" s="436">
        <f>(1-CV95/(AVERAGE('BS &amp; FCF'!CU28:CV28)+AVERAGE('BS &amp; FCF'!CU31:CV31)))^4-1</f>
        <v>0.12499999999999978</v>
      </c>
      <c r="CW96" s="437">
        <f>(1-CW95/(AVERAGE('BS &amp; FCF'!CS28:CV28)+AVERAGE('BS &amp; FCF'!CS31:CV31)))-1</f>
        <v>0.11844252026349955</v>
      </c>
      <c r="CX96" s="436">
        <f>(1-CX95/(AVERAGE('BS &amp; FCF'!CW28:CX28)+AVERAGE('BS &amp; FCF'!CW31:CX31)))^4-1</f>
        <v>0.12499999999999978</v>
      </c>
      <c r="CY96" s="436">
        <f>(1-CY95/(AVERAGE('BS &amp; FCF'!CX28:CY28)+AVERAGE('BS &amp; FCF'!CX31:CY31)))^4-1</f>
        <v>0.12499999999999978</v>
      </c>
      <c r="CZ96" s="436">
        <f>(1-CZ95/(AVERAGE('BS &amp; FCF'!CY28:CZ28)+AVERAGE('BS &amp; FCF'!CY31:CZ31)))^4-1</f>
        <v>0.12499999999999978</v>
      </c>
      <c r="DA96" s="436">
        <f>(1-DA95/(AVERAGE('BS &amp; FCF'!CZ28:DA28)+AVERAGE('BS &amp; FCF'!CZ31:DA31)))^4-1</f>
        <v>0.12499999999999978</v>
      </c>
      <c r="DB96" s="437">
        <f>(1-DB95/(AVERAGE('BS &amp; FCF'!CX28:DA28)+AVERAGE('BS &amp; FCF'!CX31:DA31)))-1</f>
        <v>0.1187071917694964</v>
      </c>
    </row>
    <row r="97" spans="1:106" s="32" customFormat="1" ht="11.25" customHeight="1" x14ac:dyDescent="0.35">
      <c r="A97" s="32" t="s">
        <v>14</v>
      </c>
      <c r="B97" s="438" t="e">
        <f>B96/Macro!B12</f>
        <v>#DIV/0!</v>
      </c>
      <c r="C97" s="438" t="e">
        <f>C96/Macro!C12</f>
        <v>#DIV/0!</v>
      </c>
      <c r="D97" s="438" t="e">
        <f>D96/Macro!D12</f>
        <v>#DIV/0!</v>
      </c>
      <c r="E97" s="438" t="e">
        <f>E96/Macro!E12</f>
        <v>#DIV/0!</v>
      </c>
      <c r="F97" s="439" t="e">
        <f>F96/Macro!F12</f>
        <v>#DIV/0!</v>
      </c>
      <c r="G97" s="438" t="e">
        <f>G96/Macro!G12</f>
        <v>#DIV/0!</v>
      </c>
      <c r="H97" s="438" t="e">
        <f>H96/Macro!H12</f>
        <v>#DIV/0!</v>
      </c>
      <c r="I97" s="438" t="e">
        <f>I96/Macro!I12</f>
        <v>#DIV/0!</v>
      </c>
      <c r="J97" s="438" t="e">
        <f>J96/Macro!J12</f>
        <v>#DIV/0!</v>
      </c>
      <c r="K97" s="439" t="e">
        <f>K96/Macro!K12</f>
        <v>#DIV/0!</v>
      </c>
      <c r="L97" s="438" t="e">
        <f>L96/Macro!L12</f>
        <v>#DIV/0!</v>
      </c>
      <c r="M97" s="438" t="e">
        <f>M96/Macro!M12</f>
        <v>#DIV/0!</v>
      </c>
      <c r="N97" s="438" t="e">
        <f>N96/Macro!N12</f>
        <v>#DIV/0!</v>
      </c>
      <c r="O97" s="438" t="e">
        <f>O96/Macro!O12</f>
        <v>#DIV/0!</v>
      </c>
      <c r="P97" s="439" t="e">
        <f>P96/Macro!P12</f>
        <v>#DIV/0!</v>
      </c>
      <c r="Q97" s="438" t="e">
        <f>Q96/Macro!Q12</f>
        <v>#DIV/0!</v>
      </c>
      <c r="R97" s="438" t="e">
        <f>R96/Macro!R12</f>
        <v>#DIV/0!</v>
      </c>
      <c r="S97" s="438" t="e">
        <f>S96/Macro!S12</f>
        <v>#DIV/0!</v>
      </c>
      <c r="T97" s="438" t="e">
        <f>T96/Macro!T12</f>
        <v>#DIV/0!</v>
      </c>
      <c r="U97" s="439" t="e">
        <f>U96/Macro!U12</f>
        <v>#DIV/0!</v>
      </c>
      <c r="V97" s="438" t="e">
        <f>V96/Macro!V12</f>
        <v>#DIV/0!</v>
      </c>
      <c r="W97" s="438" t="e">
        <f>W96/Macro!W12</f>
        <v>#DIV/0!</v>
      </c>
      <c r="X97" s="438" t="e">
        <f>X96/Macro!X12</f>
        <v>#DIV/0!</v>
      </c>
      <c r="Y97" s="438" t="e">
        <f>Y96/Macro!Y12</f>
        <v>#DIV/0!</v>
      </c>
      <c r="Z97" s="439" t="e">
        <f>Z96/Macro!Z12</f>
        <v>#DIV/0!</v>
      </c>
      <c r="AA97" s="438" t="e">
        <f>AA96/Macro!AA12</f>
        <v>#DIV/0!</v>
      </c>
      <c r="AB97" s="438" t="e">
        <f>AB96/Macro!AB12</f>
        <v>#DIV/0!</v>
      </c>
      <c r="AC97" s="438" t="e">
        <f>AC96/Macro!AC12</f>
        <v>#DIV/0!</v>
      </c>
      <c r="AD97" s="438" t="e">
        <f>AD96/Macro!AD12</f>
        <v>#DIV/0!</v>
      </c>
      <c r="AE97" s="439" t="e">
        <f>AE96/Macro!AE12</f>
        <v>#DIV/0!</v>
      </c>
      <c r="AF97" s="438" t="e">
        <f>AF96/Macro!AF12</f>
        <v>#DIV/0!</v>
      </c>
      <c r="AG97" s="438" t="e">
        <f>AG96/Macro!AG12</f>
        <v>#DIV/0!</v>
      </c>
      <c r="AH97" s="438" t="e">
        <f>AH96/Macro!AH12</f>
        <v>#DIV/0!</v>
      </c>
      <c r="AI97" s="438" t="e">
        <f>AI96/Macro!AI12</f>
        <v>#DIV/0!</v>
      </c>
      <c r="AJ97" s="439" t="e">
        <f>AJ96/Macro!AJ12</f>
        <v>#DIV/0!</v>
      </c>
      <c r="AK97" s="438">
        <f>AK96/Macro!AK12</f>
        <v>0.23652376790205132</v>
      </c>
      <c r="AL97" s="438">
        <f>AL96/Macro!AL12</f>
        <v>0.19004310593610294</v>
      </c>
      <c r="AM97" s="438">
        <f>AM96/Macro!AM12</f>
        <v>0.30848404178985317</v>
      </c>
      <c r="AN97" s="438">
        <f>AN96/Macro!AN12</f>
        <v>0.55433440446043358</v>
      </c>
      <c r="AO97" s="439">
        <f>AO96/Macro!AO12</f>
        <v>0.2570008314141452</v>
      </c>
      <c r="AP97" s="438">
        <f>AP96/Macro!AP12</f>
        <v>0.17255561972395336</v>
      </c>
      <c r="AQ97" s="438">
        <f>AQ96/Macro!AQ12</f>
        <v>0.45189727696550036</v>
      </c>
      <c r="AR97" s="438">
        <f>AR96/Macro!AR12</f>
        <v>1.1175243478701153</v>
      </c>
      <c r="AS97" s="438">
        <f>AS96/Macro!AS12</f>
        <v>0.70686284816439471</v>
      </c>
      <c r="AT97" s="439">
        <f>AT96/Macro!AT12</f>
        <v>0.59897535148566916</v>
      </c>
      <c r="AU97" s="438">
        <f>AU96/Macro!AU12</f>
        <v>0.76873493203861032</v>
      </c>
      <c r="AV97" s="438">
        <f>AV96/Macro!AV12</f>
        <v>1.2447067223890533</v>
      </c>
      <c r="AW97" s="438">
        <f>AW96/Macro!AW12</f>
        <v>2.0872726836118924</v>
      </c>
      <c r="AX97" s="438">
        <f>AX96/Macro!AX12</f>
        <v>3.0883368501539934</v>
      </c>
      <c r="AY97" s="439">
        <f>AY96/Macro!AY12</f>
        <v>1.6145246930004504</v>
      </c>
      <c r="AZ97" s="438">
        <f>AZ96/Macro!AZ12</f>
        <v>1.5172581258556279</v>
      </c>
      <c r="BA97" s="438">
        <f>BA96/Macro!BA12</f>
        <v>2.3007769369796245</v>
      </c>
      <c r="BB97" s="438">
        <f>BB96/Macro!BB12</f>
        <v>3.9157711735200169</v>
      </c>
      <c r="BC97" s="438">
        <f>BC96/Macro!BC12</f>
        <v>4.2531868602187384</v>
      </c>
      <c r="BD97" s="439">
        <f>BD96/Macro!BD12</f>
        <v>2.6136225007293095</v>
      </c>
      <c r="BE97" s="438">
        <f>BE96/Macro!BE12</f>
        <v>4.73859563986717</v>
      </c>
      <c r="BF97" s="438">
        <f>BF96/Macro!BF12</f>
        <v>4.0456082815204102</v>
      </c>
      <c r="BG97" s="438">
        <f>BG96/Macro!BG12</f>
        <v>2.769609802035236</v>
      </c>
      <c r="BH97" s="438">
        <f>BH96/Macro!BH12</f>
        <v>2.9269522467802971</v>
      </c>
      <c r="BI97" s="439">
        <f>BI96/Macro!BI12</f>
        <v>3.0957142697574764</v>
      </c>
      <c r="BJ97" s="438">
        <f>BJ96/Macro!BJ12</f>
        <v>1.7601780811250769</v>
      </c>
      <c r="BK97" s="438">
        <f>BK96/Macro!BK12</f>
        <v>1.9446781236897701</v>
      </c>
      <c r="BL97" s="438">
        <f>BL96/Macro!BL12</f>
        <v>1.7055694831242412</v>
      </c>
      <c r="BM97" s="438">
        <f>BM96/Macro!BM12</f>
        <v>1.7781180100359573</v>
      </c>
      <c r="BN97" s="439">
        <f>BN96/Macro!BN12</f>
        <v>1.6231623457682403</v>
      </c>
      <c r="BO97" s="438">
        <f>BO96/Macro!BO12</f>
        <v>1.6937699464242972</v>
      </c>
      <c r="BP97" s="438">
        <f>BP96/Macro!BP12</f>
        <v>1.6835543500497703</v>
      </c>
      <c r="BQ97" s="438">
        <f>BQ96/Macro!BQ12</f>
        <v>1.3001986785037387</v>
      </c>
      <c r="BR97" s="438">
        <f>BR96/Macro!BR12</f>
        <v>1.3885598658622396</v>
      </c>
      <c r="BS97" s="439">
        <f>BS96/Macro!BS12</f>
        <v>1.3535324442301073</v>
      </c>
      <c r="BT97" s="438">
        <f>BT96/Macro!BT12</f>
        <v>1.5660819737931526</v>
      </c>
      <c r="BU97" s="438">
        <f>BU96/Macro!BU12</f>
        <v>1.4764862370923029</v>
      </c>
      <c r="BV97" s="438">
        <f>BV96/Macro!BV12</f>
        <v>1.4502989150821093</v>
      </c>
      <c r="BW97" s="438">
        <f>BW96/Macro!BW12</f>
        <v>1.4806016521526129</v>
      </c>
      <c r="BX97" s="439">
        <f>BX96/Macro!BX12</f>
        <v>1.3325855731873077</v>
      </c>
      <c r="BY97" s="438">
        <f>BY96/Macro!BY12</f>
        <v>1.4254674036193953</v>
      </c>
      <c r="BZ97" s="438">
        <f>BZ96/Macro!BZ12</f>
        <v>1.1374458173209827</v>
      </c>
      <c r="CA97" s="438">
        <f>CA96/Macro!CA12</f>
        <v>1.2135770060439186</v>
      </c>
      <c r="CB97" s="438">
        <f>CB96/Macro!CB12</f>
        <v>1.2107021178034809</v>
      </c>
      <c r="CC97" s="439">
        <f>CC96/Macro!CC12</f>
        <v>1.1113864848497204</v>
      </c>
      <c r="CD97" s="438">
        <f>CD96/Macro!CD12</f>
        <v>1.2093310680316951</v>
      </c>
      <c r="CE97" s="438">
        <f>CE96/Macro!CE12</f>
        <v>1.5653845427578401</v>
      </c>
      <c r="CF97" s="438">
        <f>CF96/Macro!CF12</f>
        <v>1.1500000000000006</v>
      </c>
      <c r="CG97" s="438">
        <f>CG96/Macro!CG12</f>
        <v>1.1500000000000032</v>
      </c>
      <c r="CH97" s="439">
        <f>CH96/Macro!CH12</f>
        <v>1.2007338473253986</v>
      </c>
      <c r="CI97" s="438">
        <f>CI96/Macro!CI12</f>
        <v>1.1500000000000032</v>
      </c>
      <c r="CJ97" s="438">
        <f>CJ96/Macro!CJ12</f>
        <v>1.1500000000000017</v>
      </c>
      <c r="CK97" s="438">
        <f>CK96/Macro!CK12</f>
        <v>1.1499999999999979</v>
      </c>
      <c r="CL97" s="438">
        <f>CL96/Macro!CL12</f>
        <v>1.1500000000000057</v>
      </c>
      <c r="CM97" s="439">
        <f>CM96/Macro!CM12</f>
        <v>1.0636702912109541</v>
      </c>
      <c r="CN97" s="438">
        <f>CN96/Macro!CN12</f>
        <v>0.99999999999999822</v>
      </c>
      <c r="CO97" s="438">
        <f>CO96/Macro!CO12</f>
        <v>0.99999999999999822</v>
      </c>
      <c r="CP97" s="438">
        <f>CP96/Macro!CP12</f>
        <v>0.99999999999999822</v>
      </c>
      <c r="CQ97" s="438">
        <f>CQ96/Macro!CQ12</f>
        <v>0.99999999999999822</v>
      </c>
      <c r="CR97" s="439">
        <f>CR96/Macro!CR12</f>
        <v>0.94427359928004151</v>
      </c>
      <c r="CS97" s="438">
        <f>CS96/Macro!CS12</f>
        <v>0.99999999999999822</v>
      </c>
      <c r="CT97" s="438">
        <f>CT96/Macro!CT12</f>
        <v>0.99999999999999822</v>
      </c>
      <c r="CU97" s="438">
        <f>CU96/Macro!CU12</f>
        <v>0.99999999999999822</v>
      </c>
      <c r="CV97" s="438">
        <f>CV96/Macro!CV12</f>
        <v>0.99999999999999822</v>
      </c>
      <c r="CW97" s="439">
        <f>CW96/Macro!CW12</f>
        <v>0.94754016210799641</v>
      </c>
      <c r="CX97" s="438">
        <f>CX96/Macro!CX12</f>
        <v>0.99999999999999822</v>
      </c>
      <c r="CY97" s="438">
        <f>CY96/Macro!CY12</f>
        <v>0.99999999999999822</v>
      </c>
      <c r="CZ97" s="438">
        <f>CZ96/Macro!CZ12</f>
        <v>0.99999999999999822</v>
      </c>
      <c r="DA97" s="438">
        <f>DA96/Macro!DA12</f>
        <v>0.99999999999999822</v>
      </c>
      <c r="DB97" s="439">
        <f>DB96/Macro!DB12</f>
        <v>0.94965753415597121</v>
      </c>
    </row>
    <row r="98" spans="1:106" s="32" customFormat="1" ht="11.25" customHeight="1" x14ac:dyDescent="0.35">
      <c r="A98" s="151" t="s">
        <v>259</v>
      </c>
      <c r="B98" s="152" t="e">
        <f t="shared" ref="B98:AE98" si="682">B94/-B95</f>
        <v>#DIV/0!</v>
      </c>
      <c r="C98" s="152" t="e">
        <f t="shared" si="682"/>
        <v>#DIV/0!</v>
      </c>
      <c r="D98" s="152" t="e">
        <f t="shared" si="682"/>
        <v>#DIV/0!</v>
      </c>
      <c r="E98" s="152" t="e">
        <f t="shared" si="682"/>
        <v>#DIV/0!</v>
      </c>
      <c r="F98" s="153" t="e">
        <f t="shared" si="682"/>
        <v>#DIV/0!</v>
      </c>
      <c r="G98" s="152" t="e">
        <f t="shared" si="682"/>
        <v>#DIV/0!</v>
      </c>
      <c r="H98" s="152" t="e">
        <f t="shared" si="682"/>
        <v>#DIV/0!</v>
      </c>
      <c r="I98" s="152" t="e">
        <f t="shared" si="682"/>
        <v>#DIV/0!</v>
      </c>
      <c r="J98" s="152" t="e">
        <f t="shared" si="682"/>
        <v>#DIV/0!</v>
      </c>
      <c r="K98" s="153" t="e">
        <f t="shared" si="682"/>
        <v>#DIV/0!</v>
      </c>
      <c r="L98" s="152" t="e">
        <f t="shared" si="682"/>
        <v>#DIV/0!</v>
      </c>
      <c r="M98" s="152" t="e">
        <f t="shared" si="682"/>
        <v>#DIV/0!</v>
      </c>
      <c r="N98" s="152" t="e">
        <f t="shared" si="682"/>
        <v>#DIV/0!</v>
      </c>
      <c r="O98" s="152" t="e">
        <f t="shared" si="682"/>
        <v>#DIV/0!</v>
      </c>
      <c r="P98" s="153" t="e">
        <f t="shared" si="682"/>
        <v>#DIV/0!</v>
      </c>
      <c r="Q98" s="152" t="e">
        <f t="shared" si="682"/>
        <v>#DIV/0!</v>
      </c>
      <c r="R98" s="152" t="e">
        <f t="shared" si="682"/>
        <v>#DIV/0!</v>
      </c>
      <c r="S98" s="152" t="e">
        <f t="shared" si="682"/>
        <v>#DIV/0!</v>
      </c>
      <c r="T98" s="152" t="e">
        <f t="shared" si="682"/>
        <v>#DIV/0!</v>
      </c>
      <c r="U98" s="153" t="e">
        <f t="shared" si="682"/>
        <v>#DIV/0!</v>
      </c>
      <c r="V98" s="152" t="e">
        <f t="shared" si="682"/>
        <v>#DIV/0!</v>
      </c>
      <c r="W98" s="152" t="e">
        <f t="shared" si="682"/>
        <v>#DIV/0!</v>
      </c>
      <c r="X98" s="152" t="e">
        <f t="shared" si="682"/>
        <v>#DIV/0!</v>
      </c>
      <c r="Y98" s="152" t="e">
        <f t="shared" si="682"/>
        <v>#DIV/0!</v>
      </c>
      <c r="Z98" s="153" t="e">
        <f t="shared" si="682"/>
        <v>#DIV/0!</v>
      </c>
      <c r="AA98" s="152" t="e">
        <f t="shared" si="682"/>
        <v>#DIV/0!</v>
      </c>
      <c r="AB98" s="152" t="e">
        <f t="shared" si="682"/>
        <v>#DIV/0!</v>
      </c>
      <c r="AC98" s="152" t="e">
        <f t="shared" si="682"/>
        <v>#DIV/0!</v>
      </c>
      <c r="AD98" s="152" t="e">
        <f t="shared" si="682"/>
        <v>#DIV/0!</v>
      </c>
      <c r="AE98" s="153" t="e">
        <f t="shared" si="682"/>
        <v>#DIV/0!</v>
      </c>
      <c r="AF98" s="152" t="e">
        <f t="shared" ref="AF98:BG98" si="683">AF94/-AF95</f>
        <v>#DIV/0!</v>
      </c>
      <c r="AG98" s="152" t="e">
        <f t="shared" si="683"/>
        <v>#DIV/0!</v>
      </c>
      <c r="AH98" s="152" t="e">
        <f t="shared" si="683"/>
        <v>#DIV/0!</v>
      </c>
      <c r="AI98" s="152" t="e">
        <f t="shared" si="683"/>
        <v>#DIV/0!</v>
      </c>
      <c r="AJ98" s="153" t="e">
        <f t="shared" si="683"/>
        <v>#DIV/0!</v>
      </c>
      <c r="AK98" s="152">
        <f t="shared" si="683"/>
        <v>0</v>
      </c>
      <c r="AL98" s="152">
        <f t="shared" si="683"/>
        <v>0</v>
      </c>
      <c r="AM98" s="152">
        <f t="shared" si="683"/>
        <v>0</v>
      </c>
      <c r="AN98" s="152">
        <f t="shared" si="683"/>
        <v>0</v>
      </c>
      <c r="AO98" s="153">
        <f t="shared" si="683"/>
        <v>0</v>
      </c>
      <c r="AP98" s="152">
        <f t="shared" si="683"/>
        <v>0</v>
      </c>
      <c r="AQ98" s="152">
        <f t="shared" si="683"/>
        <v>0</v>
      </c>
      <c r="AR98" s="152">
        <f t="shared" si="683"/>
        <v>0</v>
      </c>
      <c r="AS98" s="152">
        <f t="shared" si="683"/>
        <v>0</v>
      </c>
      <c r="AT98" s="153">
        <f t="shared" si="683"/>
        <v>0</v>
      </c>
      <c r="AU98" s="152">
        <f t="shared" si="683"/>
        <v>0</v>
      </c>
      <c r="AV98" s="152">
        <f t="shared" si="683"/>
        <v>0</v>
      </c>
      <c r="AW98" s="152">
        <f t="shared" si="683"/>
        <v>0</v>
      </c>
      <c r="AX98" s="152">
        <f t="shared" si="683"/>
        <v>0</v>
      </c>
      <c r="AY98" s="153">
        <f t="shared" si="683"/>
        <v>0</v>
      </c>
      <c r="AZ98" s="152">
        <f t="shared" si="683"/>
        <v>0</v>
      </c>
      <c r="BA98" s="152">
        <f t="shared" si="683"/>
        <v>0</v>
      </c>
      <c r="BB98" s="152">
        <f t="shared" si="683"/>
        <v>0</v>
      </c>
      <c r="BC98" s="152">
        <f t="shared" si="683"/>
        <v>0</v>
      </c>
      <c r="BD98" s="153">
        <f t="shared" si="683"/>
        <v>0</v>
      </c>
      <c r="BE98" s="152">
        <f t="shared" si="683"/>
        <v>0</v>
      </c>
      <c r="BF98" s="152">
        <f t="shared" si="683"/>
        <v>0</v>
      </c>
      <c r="BG98" s="152">
        <f t="shared" si="683"/>
        <v>0</v>
      </c>
      <c r="BH98" s="152">
        <f t="shared" ref="BH98:BW98" si="684">BH94/-BH95</f>
        <v>0</v>
      </c>
      <c r="BI98" s="153">
        <f t="shared" si="684"/>
        <v>0</v>
      </c>
      <c r="BJ98" s="152">
        <f t="shared" si="684"/>
        <v>0</v>
      </c>
      <c r="BK98" s="152">
        <f t="shared" si="684"/>
        <v>0</v>
      </c>
      <c r="BL98" s="152">
        <f t="shared" si="684"/>
        <v>0</v>
      </c>
      <c r="BM98" s="152">
        <f t="shared" si="684"/>
        <v>0</v>
      </c>
      <c r="BN98" s="153">
        <f t="shared" si="684"/>
        <v>0</v>
      </c>
      <c r="BO98" s="152">
        <f t="shared" si="684"/>
        <v>0</v>
      </c>
      <c r="BP98" s="152">
        <f t="shared" si="684"/>
        <v>0</v>
      </c>
      <c r="BQ98" s="152">
        <f t="shared" si="684"/>
        <v>0</v>
      </c>
      <c r="BR98" s="152">
        <f t="shared" si="684"/>
        <v>0</v>
      </c>
      <c r="BS98" s="153">
        <f t="shared" si="684"/>
        <v>0</v>
      </c>
      <c r="BT98" s="152">
        <f t="shared" si="684"/>
        <v>0</v>
      </c>
      <c r="BU98" s="152">
        <f t="shared" si="684"/>
        <v>0</v>
      </c>
      <c r="BV98" s="152">
        <f t="shared" si="684"/>
        <v>0</v>
      </c>
      <c r="BW98" s="152">
        <f t="shared" si="684"/>
        <v>0</v>
      </c>
      <c r="BX98" s="153">
        <f>BX94/-BX95</f>
        <v>0</v>
      </c>
      <c r="BY98" s="152">
        <f>BY94/-BY95</f>
        <v>0</v>
      </c>
      <c r="BZ98" s="152">
        <f t="shared" ref="BZ98:CB98" si="685">BZ94/-BZ95</f>
        <v>0</v>
      </c>
      <c r="CA98" s="152">
        <f t="shared" si="685"/>
        <v>0</v>
      </c>
      <c r="CB98" s="152">
        <f t="shared" si="685"/>
        <v>0</v>
      </c>
      <c r="CC98" s="153">
        <f>CC94/-CC95</f>
        <v>0</v>
      </c>
      <c r="CD98" s="152">
        <f>CD94/-CD95</f>
        <v>0</v>
      </c>
      <c r="CE98" s="152">
        <f t="shared" ref="CE98" si="686">CE94/-CE95</f>
        <v>0</v>
      </c>
      <c r="CF98" s="152">
        <f t="shared" ref="CF98:CG98" si="687">CE98</f>
        <v>0</v>
      </c>
      <c r="CG98" s="152">
        <f t="shared" si="687"/>
        <v>0</v>
      </c>
      <c r="CH98" s="153">
        <f>CH94/-CH95</f>
        <v>0</v>
      </c>
      <c r="CI98" s="152">
        <f>CG98</f>
        <v>0</v>
      </c>
      <c r="CJ98" s="152">
        <f t="shared" ref="CJ98:CL98" si="688">CI98</f>
        <v>0</v>
      </c>
      <c r="CK98" s="152">
        <f t="shared" si="688"/>
        <v>0</v>
      </c>
      <c r="CL98" s="152">
        <f t="shared" si="688"/>
        <v>0</v>
      </c>
      <c r="CM98" s="153">
        <f>CM94/-CM95</f>
        <v>0</v>
      </c>
      <c r="CN98" s="152">
        <f>CL98</f>
        <v>0</v>
      </c>
      <c r="CO98" s="152">
        <f t="shared" ref="CO98:CQ98" si="689">CN98</f>
        <v>0</v>
      </c>
      <c r="CP98" s="152">
        <f t="shared" si="689"/>
        <v>0</v>
      </c>
      <c r="CQ98" s="152">
        <f t="shared" si="689"/>
        <v>0</v>
      </c>
      <c r="CR98" s="153">
        <f>CR94/-CR95</f>
        <v>0</v>
      </c>
      <c r="CS98" s="152">
        <f>CQ98</f>
        <v>0</v>
      </c>
      <c r="CT98" s="152">
        <f t="shared" ref="CT98:CV98" si="690">CS98</f>
        <v>0</v>
      </c>
      <c r="CU98" s="152">
        <f t="shared" si="690"/>
        <v>0</v>
      </c>
      <c r="CV98" s="152">
        <f t="shared" si="690"/>
        <v>0</v>
      </c>
      <c r="CW98" s="153">
        <f>CW94/-CW95</f>
        <v>0</v>
      </c>
      <c r="CX98" s="152">
        <f>CV98</f>
        <v>0</v>
      </c>
      <c r="CY98" s="152">
        <f t="shared" ref="CY98:DA98" si="691">CX98</f>
        <v>0</v>
      </c>
      <c r="CZ98" s="152">
        <f t="shared" si="691"/>
        <v>0</v>
      </c>
      <c r="DA98" s="152">
        <f t="shared" si="691"/>
        <v>0</v>
      </c>
      <c r="DB98" s="153">
        <f>DB94/-DB95</f>
        <v>0</v>
      </c>
    </row>
    <row r="99" spans="1:106" ht="11.25" customHeight="1" x14ac:dyDescent="0.35">
      <c r="A99" s="11" t="s">
        <v>95</v>
      </c>
      <c r="B99" s="415">
        <v>0</v>
      </c>
      <c r="C99" s="415">
        <v>0</v>
      </c>
      <c r="D99" s="415">
        <v>0</v>
      </c>
      <c r="E99" s="415">
        <v>0</v>
      </c>
      <c r="F99" s="162">
        <f t="shared" ref="F99" si="692">SUM(B99:E99)</f>
        <v>0</v>
      </c>
      <c r="G99" s="415">
        <v>0</v>
      </c>
      <c r="H99" s="415">
        <v>0</v>
      </c>
      <c r="I99" s="415">
        <v>0</v>
      </c>
      <c r="J99" s="415">
        <v>0</v>
      </c>
      <c r="K99" s="162">
        <f t="shared" ref="K99" si="693">SUM(G99:J99)</f>
        <v>0</v>
      </c>
      <c r="L99" s="415">
        <v>0</v>
      </c>
      <c r="M99" s="415">
        <v>0</v>
      </c>
      <c r="N99" s="415">
        <v>0</v>
      </c>
      <c r="O99" s="415">
        <v>0</v>
      </c>
      <c r="P99" s="162">
        <f t="shared" ref="P99" si="694">SUM(L99:O99)</f>
        <v>0</v>
      </c>
      <c r="Q99" s="415">
        <v>0</v>
      </c>
      <c r="R99" s="415">
        <v>0</v>
      </c>
      <c r="S99" s="415">
        <v>0</v>
      </c>
      <c r="T99" s="415">
        <v>0</v>
      </c>
      <c r="U99" s="162">
        <f t="shared" ref="U99" si="695">SUM(Q99:T99)</f>
        <v>0</v>
      </c>
      <c r="V99" s="415">
        <v>0</v>
      </c>
      <c r="W99" s="415">
        <v>0</v>
      </c>
      <c r="X99" s="415">
        <v>0</v>
      </c>
      <c r="Y99" s="415">
        <v>0</v>
      </c>
      <c r="Z99" s="162">
        <f t="shared" ref="Z99" si="696">SUM(V99:Y99)</f>
        <v>0</v>
      </c>
      <c r="AA99" s="415">
        <v>0</v>
      </c>
      <c r="AB99" s="415">
        <v>0</v>
      </c>
      <c r="AC99" s="415">
        <v>0</v>
      </c>
      <c r="AD99" s="415">
        <v>0</v>
      </c>
      <c r="AE99" s="162">
        <f t="shared" ref="AE99" si="697">SUM(AA99:AD99)</f>
        <v>0</v>
      </c>
      <c r="AF99" s="415">
        <v>0</v>
      </c>
      <c r="AG99" s="415">
        <v>0</v>
      </c>
      <c r="AH99" s="415">
        <v>0</v>
      </c>
      <c r="AI99" s="415">
        <v>0</v>
      </c>
      <c r="AJ99" s="162">
        <f>SUM(AF99:AI99)</f>
        <v>0</v>
      </c>
      <c r="AK99" s="415">
        <v>0</v>
      </c>
      <c r="AL99" s="415">
        <v>0</v>
      </c>
      <c r="AM99" s="415">
        <v>0</v>
      </c>
      <c r="AN99" s="415">
        <v>0</v>
      </c>
      <c r="AO99" s="162">
        <f>SUM(AK99:AN99)</f>
        <v>0</v>
      </c>
      <c r="AP99" s="415">
        <v>0</v>
      </c>
      <c r="AQ99" s="415">
        <v>0</v>
      </c>
      <c r="AR99" s="415">
        <v>0</v>
      </c>
      <c r="AS99" s="415">
        <v>0</v>
      </c>
      <c r="AT99" s="162">
        <f>SUM(AP99:AS99)</f>
        <v>0</v>
      </c>
      <c r="AU99" s="415">
        <v>0</v>
      </c>
      <c r="AV99" s="415">
        <v>0</v>
      </c>
      <c r="AW99" s="415">
        <v>0</v>
      </c>
      <c r="AX99" s="415">
        <v>0</v>
      </c>
      <c r="AY99" s="162">
        <f>SUM(AU99:AX99)</f>
        <v>0</v>
      </c>
      <c r="AZ99" s="415">
        <v>0</v>
      </c>
      <c r="BA99" s="415">
        <v>0</v>
      </c>
      <c r="BB99" s="415">
        <v>0</v>
      </c>
      <c r="BC99" s="415">
        <v>0</v>
      </c>
      <c r="BD99" s="162">
        <f>SUM(AZ99:BC99)</f>
        <v>0</v>
      </c>
      <c r="BE99" s="415">
        <v>0</v>
      </c>
      <c r="BF99" s="415">
        <v>0</v>
      </c>
      <c r="BG99" s="415">
        <v>0</v>
      </c>
      <c r="BH99" s="415">
        <v>0</v>
      </c>
      <c r="BI99" s="162">
        <f>SUM(BE99:BH99)</f>
        <v>0</v>
      </c>
      <c r="BJ99" s="415">
        <v>0</v>
      </c>
      <c r="BK99" s="415">
        <v>0</v>
      </c>
      <c r="BL99" s="415">
        <v>0</v>
      </c>
      <c r="BM99" s="415">
        <v>0</v>
      </c>
      <c r="BN99" s="162">
        <f>SUM(BJ99:BM99)</f>
        <v>0</v>
      </c>
      <c r="BO99" s="23">
        <v>0</v>
      </c>
      <c r="BP99" s="23">
        <v>0</v>
      </c>
      <c r="BQ99" s="23">
        <v>0</v>
      </c>
      <c r="BR99" s="23">
        <v>0</v>
      </c>
      <c r="BS99" s="162">
        <f>SUM(BO99:BR99)</f>
        <v>0</v>
      </c>
      <c r="BT99" s="415">
        <v>0</v>
      </c>
      <c r="BU99" s="415">
        <v>0</v>
      </c>
      <c r="BV99" s="415">
        <v>0</v>
      </c>
      <c r="BW99" s="415">
        <v>0</v>
      </c>
      <c r="BX99" s="162">
        <f>SUM(BT99:BW99)</f>
        <v>0</v>
      </c>
      <c r="BY99" s="415">
        <v>0</v>
      </c>
      <c r="BZ99" s="415">
        <v>0</v>
      </c>
      <c r="CA99" s="415">
        <v>0</v>
      </c>
      <c r="CB99" s="415">
        <v>0</v>
      </c>
      <c r="CC99" s="162">
        <f>SUM(BY99:CB99)</f>
        <v>0</v>
      </c>
      <c r="CD99" s="415">
        <v>0</v>
      </c>
      <c r="CE99" s="415">
        <v>0</v>
      </c>
      <c r="CF99" s="409">
        <f>IFERROR(-CF100*AVERAGE('BS &amp; FCF'!CE32:CF32)/4,0)</f>
        <v>0</v>
      </c>
      <c r="CG99" s="409">
        <f>IFERROR(-CG100*AVERAGE('BS &amp; FCF'!CF32:CG32)/4,0)</f>
        <v>0</v>
      </c>
      <c r="CH99" s="162">
        <f>SUM(CD99:CG99)</f>
        <v>0</v>
      </c>
      <c r="CI99" s="409">
        <f>IFERROR(-CI100*AVERAGE('BS &amp; FCF'!CH32:CI32)/4,0)</f>
        <v>0</v>
      </c>
      <c r="CJ99" s="409">
        <f>IFERROR(-CJ100*AVERAGE('BS &amp; FCF'!CI32:CJ32)/4,0)</f>
        <v>0</v>
      </c>
      <c r="CK99" s="409">
        <f>IFERROR(-CK100*AVERAGE('BS &amp; FCF'!CJ32:CK32)/4,0)</f>
        <v>0</v>
      </c>
      <c r="CL99" s="409">
        <f>IFERROR(-CL100*AVERAGE('BS &amp; FCF'!CK32:CL32)/4,0)</f>
        <v>0</v>
      </c>
      <c r="CM99" s="162">
        <f>SUM(CI99:CL99)</f>
        <v>0</v>
      </c>
      <c r="CN99" s="409">
        <f>IFERROR(-CN100*AVERAGE('BS &amp; FCF'!CM32:CN32)/4,0)</f>
        <v>0</v>
      </c>
      <c r="CO99" s="409">
        <f>IFERROR(-CO100*AVERAGE('BS &amp; FCF'!CN32:CO32)/4,0)</f>
        <v>0</v>
      </c>
      <c r="CP99" s="409">
        <f>IFERROR(-CP100*AVERAGE('BS &amp; FCF'!CO32:CP32)/4,0)</f>
        <v>0</v>
      </c>
      <c r="CQ99" s="409">
        <f>IFERROR(-CQ100*AVERAGE('BS &amp; FCF'!CP32:CQ32)/4,0)</f>
        <v>0</v>
      </c>
      <c r="CR99" s="162">
        <f>SUM(CN99:CQ99)</f>
        <v>0</v>
      </c>
      <c r="CS99" s="409">
        <f>IFERROR(-CS100*AVERAGE('BS &amp; FCF'!CR32:CS32)/4,0)</f>
        <v>0</v>
      </c>
      <c r="CT99" s="409">
        <f>IFERROR(-CT100*AVERAGE('BS &amp; FCF'!CS32:CT32)/4,0)</f>
        <v>0</v>
      </c>
      <c r="CU99" s="409">
        <f>IFERROR(-CU100*AVERAGE('BS &amp; FCF'!CT32:CU32)/4,0)</f>
        <v>0</v>
      </c>
      <c r="CV99" s="409">
        <f>IFERROR(-CV100*AVERAGE('BS &amp; FCF'!CU32:CV32)/4,0)</f>
        <v>0</v>
      </c>
      <c r="CW99" s="162">
        <f>SUM(CS99:CV99)</f>
        <v>0</v>
      </c>
      <c r="CX99" s="409">
        <f>IFERROR(-CX100*AVERAGE('BS &amp; FCF'!CW32:CX32)/4,0)</f>
        <v>0</v>
      </c>
      <c r="CY99" s="409">
        <f>IFERROR(-CY100*AVERAGE('BS &amp; FCF'!CX32:CY32)/4,0)</f>
        <v>0</v>
      </c>
      <c r="CZ99" s="409">
        <f>IFERROR(-CZ100*AVERAGE('BS &amp; FCF'!CY32:CZ32)/4,0)</f>
        <v>0</v>
      </c>
      <c r="DA99" s="409">
        <f>IFERROR(-DA100*AVERAGE('BS &amp; FCF'!CZ32:DA32)/4,0)</f>
        <v>0</v>
      </c>
      <c r="DB99" s="162">
        <f>SUM(CX99:DA99)</f>
        <v>0</v>
      </c>
    </row>
    <row r="100" spans="1:106" ht="11.25" customHeight="1" x14ac:dyDescent="0.35">
      <c r="A100" s="7" t="s">
        <v>96</v>
      </c>
      <c r="B100" s="426">
        <f>IFERROR(-B99/AVERAGE('BS &amp; FCF'!A32:B32)*4,0)</f>
        <v>0</v>
      </c>
      <c r="C100" s="426">
        <f>IFERROR(-C99/AVERAGE('BS &amp; FCF'!B32:C32)*4,0)</f>
        <v>0</v>
      </c>
      <c r="D100" s="426">
        <f>IFERROR(-D99/AVERAGE('BS &amp; FCF'!C32:D32)*4,0)</f>
        <v>0</v>
      </c>
      <c r="E100" s="426">
        <f>IFERROR(-E99/AVERAGE('BS &amp; FCF'!D32:E32)*4,0)</f>
        <v>0</v>
      </c>
      <c r="F100" s="441">
        <f>IFERROR(((1-F99/(AVERAGE('BS &amp; FCF'!B32:E32)))-1),0)</f>
        <v>0</v>
      </c>
      <c r="G100" s="426">
        <f>IFERROR(-G99/AVERAGE('BS &amp; FCF'!F32:G32)*4,0)</f>
        <v>0</v>
      </c>
      <c r="H100" s="426">
        <f>IFERROR(-H99/AVERAGE('BS &amp; FCF'!G32:H32)*4,0)</f>
        <v>0</v>
      </c>
      <c r="I100" s="426">
        <f>IFERROR(-I99/AVERAGE('BS &amp; FCF'!H32:I32)*4,0)</f>
        <v>0</v>
      </c>
      <c r="J100" s="426">
        <f>IFERROR(-J99/AVERAGE('BS &amp; FCF'!I32:J32)*4,0)</f>
        <v>0</v>
      </c>
      <c r="K100" s="441">
        <f>IFERROR(((1-K99/(AVERAGE('BS &amp; FCF'!G32:J32)))-1),0)</f>
        <v>0</v>
      </c>
      <c r="L100" s="426">
        <f>IFERROR(-L99/AVERAGE('BS &amp; FCF'!K32:L32)*4,0)</f>
        <v>0</v>
      </c>
      <c r="M100" s="426">
        <f>IFERROR(-M99/AVERAGE('BS &amp; FCF'!L32:M32)*4,0)</f>
        <v>0</v>
      </c>
      <c r="N100" s="426">
        <f>IFERROR(-N99/AVERAGE('BS &amp; FCF'!M32:N32)*4,0)</f>
        <v>0</v>
      </c>
      <c r="O100" s="426">
        <f>IFERROR(-O99/AVERAGE('BS &amp; FCF'!N32:O32)*4,0)</f>
        <v>0</v>
      </c>
      <c r="P100" s="441">
        <f>IFERROR(((1-P99/(AVERAGE('BS &amp; FCF'!L32:O32)))-1),0)</f>
        <v>0</v>
      </c>
      <c r="Q100" s="426">
        <f>IFERROR(-Q99/AVERAGE('BS &amp; FCF'!P32:Q32)*4,0)</f>
        <v>0</v>
      </c>
      <c r="R100" s="426">
        <f>IFERROR(-R99/AVERAGE('BS &amp; FCF'!Q32:R32)*4,0)</f>
        <v>0</v>
      </c>
      <c r="S100" s="426">
        <f>IFERROR(-S99/AVERAGE('BS &amp; FCF'!R32:S32)*4,0)</f>
        <v>0</v>
      </c>
      <c r="T100" s="426">
        <f>IFERROR(-T99/AVERAGE('BS &amp; FCF'!S32:T32)*4,0)</f>
        <v>0</v>
      </c>
      <c r="U100" s="441">
        <f>IFERROR(((1-U99/(AVERAGE('BS &amp; FCF'!Q32:T32)))-1),0)</f>
        <v>0</v>
      </c>
      <c r="V100" s="426">
        <f>IFERROR(-V99/AVERAGE('BS &amp; FCF'!U32:V32)*4,0)</f>
        <v>0</v>
      </c>
      <c r="W100" s="426">
        <f>IFERROR(-W99/AVERAGE('BS &amp; FCF'!V32:W32)*4,0)</f>
        <v>0</v>
      </c>
      <c r="X100" s="426">
        <f>IFERROR(-X99/AVERAGE('BS &amp; FCF'!W32:X32)*4,0)</f>
        <v>0</v>
      </c>
      <c r="Y100" s="426">
        <f>IFERROR(-Y99/AVERAGE('BS &amp; FCF'!X32:Y32)*4,0)</f>
        <v>0</v>
      </c>
      <c r="Z100" s="441">
        <f>IFERROR(((1-Z99/(AVERAGE('BS &amp; FCF'!V32:Y32)))-1),0)</f>
        <v>0</v>
      </c>
      <c r="AA100" s="426">
        <f>IFERROR(-AA99/AVERAGE('BS &amp; FCF'!Z32:AA32)*4,0)</f>
        <v>0</v>
      </c>
      <c r="AB100" s="426">
        <f>IFERROR(-AB99/AVERAGE('BS &amp; FCF'!AA32:AB32)*4,0)</f>
        <v>0</v>
      </c>
      <c r="AC100" s="426">
        <f>IFERROR(-AC99/AVERAGE('BS &amp; FCF'!AB32:AC32)*4,0)</f>
        <v>0</v>
      </c>
      <c r="AD100" s="426">
        <f>IFERROR(-AD99/AVERAGE('BS &amp; FCF'!AC32:AD32)*4,0)</f>
        <v>0</v>
      </c>
      <c r="AE100" s="441">
        <f>IFERROR(((1-AE99/(AVERAGE('BS &amp; FCF'!AA32:AD32)))-1),0)</f>
        <v>0</v>
      </c>
      <c r="AF100" s="426">
        <f>IFERROR(-AF99/AVERAGE('BS &amp; FCF'!AE32:AF32)*4,0)</f>
        <v>0</v>
      </c>
      <c r="AG100" s="426">
        <f>IFERROR(-AG99/AVERAGE('BS &amp; FCF'!AF32:AG32)*4,0)</f>
        <v>0</v>
      </c>
      <c r="AH100" s="426">
        <f>IFERROR(-AH99/AVERAGE('BS &amp; FCF'!AG32:AH32)*4,0)</f>
        <v>0</v>
      </c>
      <c r="AI100" s="426">
        <f>IFERROR(-AI99/AVERAGE('BS &amp; FCF'!AH32:AI32)*4,0)</f>
        <v>0</v>
      </c>
      <c r="AJ100" s="441">
        <f>IFERROR(((1-AJ99/(AVERAGE('BS &amp; FCF'!AF32:AI32)))-1),0)</f>
        <v>0</v>
      </c>
      <c r="AK100" s="426">
        <f>IFERROR(-AK99/AVERAGE('BS &amp; FCF'!AJ32:AK32)*4,0)</f>
        <v>0</v>
      </c>
      <c r="AL100" s="426">
        <f>IFERROR(-AL99/AVERAGE('BS &amp; FCF'!AK32:AL32)*4,0)</f>
        <v>0</v>
      </c>
      <c r="AM100" s="426">
        <f>IFERROR(-AM99/AVERAGE('BS &amp; FCF'!AL32:AM32)*4,0)</f>
        <v>0</v>
      </c>
      <c r="AN100" s="426">
        <f>IFERROR(-AN99/AVERAGE('BS &amp; FCF'!AM32:AN32)*4,0)</f>
        <v>0</v>
      </c>
      <c r="AO100" s="441">
        <f>IFERROR(((1-AO99/(AVERAGE('BS &amp; FCF'!AK32:AN32)))-1),0)</f>
        <v>0</v>
      </c>
      <c r="AP100" s="426">
        <f>IFERROR(-AP99/AVERAGE('BS &amp; FCF'!AO32:AP32)*4,0)</f>
        <v>0</v>
      </c>
      <c r="AQ100" s="426">
        <f>IFERROR(-AQ99/AVERAGE('BS &amp; FCF'!AP32:AQ32)*4,0)</f>
        <v>0</v>
      </c>
      <c r="AR100" s="426">
        <f>IFERROR(-AR99/AVERAGE('BS &amp; FCF'!AQ32:AR32)*4,0)</f>
        <v>0</v>
      </c>
      <c r="AS100" s="426">
        <f>IFERROR(-AS99/AVERAGE('BS &amp; FCF'!AR32:AS32)*4,0)</f>
        <v>0</v>
      </c>
      <c r="AT100" s="441">
        <f>IFERROR(((1-AT99/(AVERAGE('BS &amp; FCF'!AP32:AS32)))-1),0)</f>
        <v>0</v>
      </c>
      <c r="AU100" s="426">
        <f>IFERROR(-AU99/AVERAGE('BS &amp; FCF'!AT32:AU32)*4,0)</f>
        <v>0</v>
      </c>
      <c r="AV100" s="426">
        <f>IFERROR(-AV99/AVERAGE('BS &amp; FCF'!AU32:AV32)*4,0)</f>
        <v>0</v>
      </c>
      <c r="AW100" s="426">
        <f>IFERROR(-AW99/AVERAGE('BS &amp; FCF'!AV32:AW32)*4,0)</f>
        <v>0</v>
      </c>
      <c r="AX100" s="426">
        <f>IFERROR(-AX99/AVERAGE('BS &amp; FCF'!AW32:AX32)*4,0)</f>
        <v>0</v>
      </c>
      <c r="AY100" s="441">
        <f>IFERROR(((1-AY99/(AVERAGE('BS &amp; FCF'!AU32:AX32)))-1),0)</f>
        <v>0</v>
      </c>
      <c r="AZ100" s="426">
        <f>IFERROR(-AZ99/AVERAGE('BS &amp; FCF'!AY32:AZ32)*4,0)</f>
        <v>0</v>
      </c>
      <c r="BA100" s="426">
        <f>IFERROR(-BA99/AVERAGE('BS &amp; FCF'!AZ32:BA32)*4,0)</f>
        <v>0</v>
      </c>
      <c r="BB100" s="426">
        <f>IFERROR(-BB99/AVERAGE('BS &amp; FCF'!BA32:BB32)*4,0)</f>
        <v>0</v>
      </c>
      <c r="BC100" s="426">
        <f>IFERROR(-BC99/AVERAGE('BS &amp; FCF'!BB32:BC32)*4,0)</f>
        <v>0</v>
      </c>
      <c r="BD100" s="441">
        <f>IFERROR(((1-BD99/(AVERAGE('BS &amp; FCF'!AZ32:BC32)))-1),0)</f>
        <v>0</v>
      </c>
      <c r="BE100" s="426">
        <f>IFERROR(-BE99/AVERAGE('BS &amp; FCF'!BD32:BE32)*4,0)</f>
        <v>0</v>
      </c>
      <c r="BF100" s="426">
        <f>IFERROR(-BF99/AVERAGE('BS &amp; FCF'!BE32:BF32)*4,0)</f>
        <v>0</v>
      </c>
      <c r="BG100" s="426">
        <f>IFERROR(-BG99/AVERAGE('BS &amp; FCF'!BF32:BG32)*4,0)</f>
        <v>0</v>
      </c>
      <c r="BH100" s="426">
        <f>IFERROR(-BH99/AVERAGE('BS &amp; FCF'!BG32:BH32)*4,0)</f>
        <v>0</v>
      </c>
      <c r="BI100" s="441">
        <f>IFERROR(((1-BI99/(AVERAGE('BS &amp; FCF'!BE32:BH32)))-1),0)</f>
        <v>0</v>
      </c>
      <c r="BJ100" s="426">
        <f>IFERROR(-BJ99/AVERAGE('BS &amp; FCF'!BI32:BJ32)*4,0)</f>
        <v>0</v>
      </c>
      <c r="BK100" s="426">
        <f>IFERROR(-BK99/AVERAGE('BS &amp; FCF'!BJ32:BK32)*4,0)</f>
        <v>0</v>
      </c>
      <c r="BL100" s="426">
        <f>IFERROR(-BL99/AVERAGE('BS &amp; FCF'!BK32:BL32)*4,0)</f>
        <v>0</v>
      </c>
      <c r="BM100" s="426">
        <f>IFERROR(-BM99/AVERAGE('BS &amp; FCF'!BL32:BM32)*4,0)</f>
        <v>0</v>
      </c>
      <c r="BN100" s="441">
        <f>IFERROR(((1-BN99/(AVERAGE('BS &amp; FCF'!BJ32:BM32)))-1),0)</f>
        <v>0</v>
      </c>
      <c r="BO100" s="426">
        <f>IFERROR(-BO99/AVERAGE('BS &amp; FCF'!BN32:BO32)*4,0)</f>
        <v>0</v>
      </c>
      <c r="BP100" s="426">
        <f>IFERROR(-BP99/AVERAGE('BS &amp; FCF'!BO32:BP32)*4,0)</f>
        <v>0</v>
      </c>
      <c r="BQ100" s="426">
        <f>IFERROR(-BQ99/AVERAGE('BS &amp; FCF'!BP32:BQ32)*4,0)</f>
        <v>0</v>
      </c>
      <c r="BR100" s="426">
        <f>IFERROR(-BR99/AVERAGE('BS &amp; FCF'!BQ32:BR32)*4,0)</f>
        <v>0</v>
      </c>
      <c r="BS100" s="441">
        <f>IFERROR(((1-BS99/(AVERAGE('BS &amp; FCF'!BO32:BR32)))-1),0)</f>
        <v>0</v>
      </c>
      <c r="BT100" s="426">
        <f>IFERROR(-BT99/AVERAGE('BS &amp; FCF'!BS32:BT32)*4,0)</f>
        <v>0</v>
      </c>
      <c r="BU100" s="426">
        <f>IFERROR(-BU99/AVERAGE('BS &amp; FCF'!BT32:BU32)*4,0)</f>
        <v>0</v>
      </c>
      <c r="BV100" s="426">
        <f>IFERROR(-BV99/AVERAGE('BS &amp; FCF'!BU32:BV32)*4,0)</f>
        <v>0</v>
      </c>
      <c r="BW100" s="426">
        <f>IFERROR(-BW99/AVERAGE('BS &amp; FCF'!BV32:BW32)*4,0)</f>
        <v>0</v>
      </c>
      <c r="BX100" s="441">
        <f>IFERROR(((1-BX99/(AVERAGE('BS &amp; FCF'!BT32:BW32)))-1),0)</f>
        <v>0</v>
      </c>
      <c r="BY100" s="426">
        <f>IFERROR(-BY99/AVERAGE('BS &amp; FCF'!BX32:BY32)*4,0)</f>
        <v>0</v>
      </c>
      <c r="BZ100" s="426">
        <f>IFERROR(-BZ99/AVERAGE('BS &amp; FCF'!BY32:BZ32)*4,0)</f>
        <v>0</v>
      </c>
      <c r="CA100" s="426">
        <f>IFERROR(-CA99/AVERAGE('BS &amp; FCF'!BZ32:CA32)*4,0)</f>
        <v>0</v>
      </c>
      <c r="CB100" s="426">
        <f>IFERROR(-CB99/AVERAGE('BS &amp; FCF'!CA32:CB32)*4,0)</f>
        <v>0</v>
      </c>
      <c r="CC100" s="441">
        <f>IFERROR(((1-CC99/(AVERAGE('BS &amp; FCF'!BY32:CB32)))-1),0)</f>
        <v>0</v>
      </c>
      <c r="CD100" s="426">
        <f>IFERROR(-CD99/AVERAGE('BS &amp; FCF'!CC32:CD32)*4,0)</f>
        <v>0</v>
      </c>
      <c r="CE100" s="426">
        <f>IFERROR(-CE99/AVERAGE('BS &amp; FCF'!CD32:CE32)*4,0)</f>
        <v>0</v>
      </c>
      <c r="CF100" s="426">
        <f>CF101*Macro!CF12</f>
        <v>0</v>
      </c>
      <c r="CG100" s="426">
        <f>CG101*Macro!CG12</f>
        <v>0</v>
      </c>
      <c r="CH100" s="441">
        <f>IFERROR(((1-CH99/(AVERAGE('BS &amp; FCF'!CD32:CG32)))-1),0)</f>
        <v>0</v>
      </c>
      <c r="CI100" s="426">
        <f>CI101*Macro!CI12</f>
        <v>0</v>
      </c>
      <c r="CJ100" s="426">
        <f>CJ101*Macro!CJ12</f>
        <v>0</v>
      </c>
      <c r="CK100" s="426">
        <f>CK101*Macro!CK12</f>
        <v>0</v>
      </c>
      <c r="CL100" s="426">
        <f>CL101*Macro!CL12</f>
        <v>0</v>
      </c>
      <c r="CM100" s="441">
        <f>IFERROR(((1-CM99/(AVERAGE('BS &amp; FCF'!CI32:CL32)))-1),0)</f>
        <v>0</v>
      </c>
      <c r="CN100" s="426">
        <f>CN101*Macro!CN12</f>
        <v>0</v>
      </c>
      <c r="CO100" s="426">
        <f>CO101*Macro!CO12</f>
        <v>0</v>
      </c>
      <c r="CP100" s="426">
        <f>CP101*Macro!CP12</f>
        <v>0</v>
      </c>
      <c r="CQ100" s="426">
        <f>CQ101*Macro!CQ12</f>
        <v>0</v>
      </c>
      <c r="CR100" s="441">
        <f>IFERROR(((1-CR99/(AVERAGE('BS &amp; FCF'!CN32:CQ32)))-1),0)</f>
        <v>0</v>
      </c>
      <c r="CS100" s="426">
        <f>CS101*Macro!CS12</f>
        <v>0</v>
      </c>
      <c r="CT100" s="426">
        <f>CT101*Macro!CT12</f>
        <v>0</v>
      </c>
      <c r="CU100" s="426">
        <f>CU101*Macro!CU12</f>
        <v>0</v>
      </c>
      <c r="CV100" s="426">
        <f>CV101*Macro!CV12</f>
        <v>0</v>
      </c>
      <c r="CW100" s="441">
        <f>IFERROR(((1-CW99/(AVERAGE('BS &amp; FCF'!CS32:CV32)))-1),0)</f>
        <v>0</v>
      </c>
      <c r="CX100" s="426">
        <f>CX101*Macro!CX12</f>
        <v>0</v>
      </c>
      <c r="CY100" s="426">
        <f>CY101*Macro!CY12</f>
        <v>0</v>
      </c>
      <c r="CZ100" s="426">
        <f>CZ101*Macro!CZ12</f>
        <v>0</v>
      </c>
      <c r="DA100" s="426">
        <f>DA101*Macro!DA12</f>
        <v>0</v>
      </c>
      <c r="DB100" s="441">
        <f>IFERROR(((1-DB99/(AVERAGE('BS &amp; FCF'!CX32:DA32)))-1),0)</f>
        <v>0</v>
      </c>
    </row>
    <row r="101" spans="1:106" ht="11.25" customHeight="1" x14ac:dyDescent="0.35">
      <c r="A101" s="219" t="s">
        <v>14</v>
      </c>
      <c r="B101" s="440">
        <f>B100/Macro!B12</f>
        <v>0</v>
      </c>
      <c r="C101" s="440">
        <f>C100/Macro!C12</f>
        <v>0</v>
      </c>
      <c r="D101" s="440">
        <f>D100/Macro!D12</f>
        <v>0</v>
      </c>
      <c r="E101" s="440">
        <f>E100/Macro!E12</f>
        <v>0</v>
      </c>
      <c r="F101" s="442">
        <f>F100/Macro!F12</f>
        <v>0</v>
      </c>
      <c r="G101" s="440">
        <f>G100/Macro!G12</f>
        <v>0</v>
      </c>
      <c r="H101" s="440">
        <f>H100/Macro!H12</f>
        <v>0</v>
      </c>
      <c r="I101" s="440">
        <f>I100/Macro!I12</f>
        <v>0</v>
      </c>
      <c r="J101" s="440">
        <f>J100/Macro!J12</f>
        <v>0</v>
      </c>
      <c r="K101" s="442">
        <f>K100/Macro!K12</f>
        <v>0</v>
      </c>
      <c r="L101" s="440">
        <f>L100/Macro!L12</f>
        <v>0</v>
      </c>
      <c r="M101" s="440">
        <f>M100/Macro!M12</f>
        <v>0</v>
      </c>
      <c r="N101" s="440">
        <f>N100/Macro!N12</f>
        <v>0</v>
      </c>
      <c r="O101" s="440">
        <f>O100/Macro!O12</f>
        <v>0</v>
      </c>
      <c r="P101" s="442">
        <f>P100/Macro!P12</f>
        <v>0</v>
      </c>
      <c r="Q101" s="440">
        <f>Q100/Macro!Q12</f>
        <v>0</v>
      </c>
      <c r="R101" s="440">
        <f>R100/Macro!R12</f>
        <v>0</v>
      </c>
      <c r="S101" s="440">
        <f>S100/Macro!S12</f>
        <v>0</v>
      </c>
      <c r="T101" s="440">
        <f>T100/Macro!T12</f>
        <v>0</v>
      </c>
      <c r="U101" s="442">
        <f>U100/Macro!U12</f>
        <v>0</v>
      </c>
      <c r="V101" s="440">
        <f>V100/Macro!V12</f>
        <v>0</v>
      </c>
      <c r="W101" s="440">
        <f>W100/Macro!W12</f>
        <v>0</v>
      </c>
      <c r="X101" s="440">
        <f>X100/Macro!X12</f>
        <v>0</v>
      </c>
      <c r="Y101" s="440">
        <f>Y100/Macro!Y12</f>
        <v>0</v>
      </c>
      <c r="Z101" s="442">
        <f>Z100/Macro!Z12</f>
        <v>0</v>
      </c>
      <c r="AA101" s="440">
        <f>AA100/Macro!AA12</f>
        <v>0</v>
      </c>
      <c r="AB101" s="440">
        <f>AB100/Macro!AB12</f>
        <v>0</v>
      </c>
      <c r="AC101" s="440">
        <f>AC100/Macro!AC12</f>
        <v>0</v>
      </c>
      <c r="AD101" s="440">
        <f>AD100/Macro!AD12</f>
        <v>0</v>
      </c>
      <c r="AE101" s="442">
        <f>AE100/Macro!AE12</f>
        <v>0</v>
      </c>
      <c r="AF101" s="440">
        <f>AF100/Macro!AF12</f>
        <v>0</v>
      </c>
      <c r="AG101" s="440">
        <f>AG100/Macro!AG12</f>
        <v>0</v>
      </c>
      <c r="AH101" s="440">
        <f>AH100/Macro!AH12</f>
        <v>0</v>
      </c>
      <c r="AI101" s="440">
        <f>AI100/Macro!AI12</f>
        <v>0</v>
      </c>
      <c r="AJ101" s="442">
        <f>AJ100/Macro!AJ12</f>
        <v>0</v>
      </c>
      <c r="AK101" s="440">
        <f>AK100/Macro!AK12</f>
        <v>0</v>
      </c>
      <c r="AL101" s="440">
        <f>AL100/Macro!AL12</f>
        <v>0</v>
      </c>
      <c r="AM101" s="440">
        <f>AM100/Macro!AM12</f>
        <v>0</v>
      </c>
      <c r="AN101" s="440">
        <f>AN100/Macro!AN12</f>
        <v>0</v>
      </c>
      <c r="AO101" s="442">
        <f>AO100/Macro!AO12</f>
        <v>0</v>
      </c>
      <c r="AP101" s="440">
        <f>AP100/Macro!AP12</f>
        <v>0</v>
      </c>
      <c r="AQ101" s="440">
        <f>AQ100/Macro!AQ12</f>
        <v>0</v>
      </c>
      <c r="AR101" s="440">
        <f>AR100/Macro!AR12</f>
        <v>0</v>
      </c>
      <c r="AS101" s="440">
        <f>AS100/Macro!AS12</f>
        <v>0</v>
      </c>
      <c r="AT101" s="442">
        <f>AT100/Macro!AT12</f>
        <v>0</v>
      </c>
      <c r="AU101" s="440">
        <f>AU100/Macro!AU12</f>
        <v>0</v>
      </c>
      <c r="AV101" s="440">
        <f>AV100/Macro!AV12</f>
        <v>0</v>
      </c>
      <c r="AW101" s="440">
        <f>AW100/Macro!AW12</f>
        <v>0</v>
      </c>
      <c r="AX101" s="440">
        <f>AX100/Macro!AX12</f>
        <v>0</v>
      </c>
      <c r="AY101" s="442">
        <f>AY100/Macro!AY12</f>
        <v>0</v>
      </c>
      <c r="AZ101" s="440">
        <f>AZ100/Macro!AZ12</f>
        <v>0</v>
      </c>
      <c r="BA101" s="440">
        <f>BA100/Macro!BA12</f>
        <v>0</v>
      </c>
      <c r="BB101" s="440">
        <f>BB100/Macro!BB12</f>
        <v>0</v>
      </c>
      <c r="BC101" s="440">
        <f>BC100/Macro!BC12</f>
        <v>0</v>
      </c>
      <c r="BD101" s="442">
        <f>BD100/Macro!BD12</f>
        <v>0</v>
      </c>
      <c r="BE101" s="440">
        <f>BE100/Macro!BE12</f>
        <v>0</v>
      </c>
      <c r="BF101" s="440">
        <f>BF100/Macro!BF12</f>
        <v>0</v>
      </c>
      <c r="BG101" s="440">
        <f>BG100/Macro!BG12</f>
        <v>0</v>
      </c>
      <c r="BH101" s="440">
        <f>BH100/Macro!BH12</f>
        <v>0</v>
      </c>
      <c r="BI101" s="442">
        <f>BI100/Macro!BI12</f>
        <v>0</v>
      </c>
      <c r="BJ101" s="440">
        <f>BJ100/Macro!BJ12</f>
        <v>0</v>
      </c>
      <c r="BK101" s="440">
        <f>BK100/Macro!BK12</f>
        <v>0</v>
      </c>
      <c r="BL101" s="440">
        <f>BL100/Macro!BL12</f>
        <v>0</v>
      </c>
      <c r="BM101" s="440">
        <f>BM100/Macro!BM12</f>
        <v>0</v>
      </c>
      <c r="BN101" s="442">
        <f>BN100/Macro!BN12</f>
        <v>0</v>
      </c>
      <c r="BO101" s="440">
        <f>BO100/Macro!BO12</f>
        <v>0</v>
      </c>
      <c r="BP101" s="440">
        <f>BP100/Macro!BP12</f>
        <v>0</v>
      </c>
      <c r="BQ101" s="440">
        <f>BQ100/Macro!BQ12</f>
        <v>0</v>
      </c>
      <c r="BR101" s="440">
        <f>BR100/Macro!BR12</f>
        <v>0</v>
      </c>
      <c r="BS101" s="442">
        <f>BS100/Macro!BS12</f>
        <v>0</v>
      </c>
      <c r="BT101" s="440">
        <f>BT100/Macro!BT12</f>
        <v>0</v>
      </c>
      <c r="BU101" s="440">
        <f>BU100/Macro!BU12</f>
        <v>0</v>
      </c>
      <c r="BV101" s="440">
        <f>BV100/Macro!BV12</f>
        <v>0</v>
      </c>
      <c r="BW101" s="440">
        <f>BW100/Macro!BW12</f>
        <v>0</v>
      </c>
      <c r="BX101" s="442">
        <f>BX100/Macro!BX12</f>
        <v>0</v>
      </c>
      <c r="BY101" s="440">
        <f>BY100/Macro!BY12</f>
        <v>0</v>
      </c>
      <c r="BZ101" s="440">
        <f>BZ100/Macro!BZ12</f>
        <v>0</v>
      </c>
      <c r="CA101" s="440">
        <f>CA100/Macro!CA12</f>
        <v>0</v>
      </c>
      <c r="CB101" s="440">
        <f>CB100/Macro!CB12</f>
        <v>0</v>
      </c>
      <c r="CC101" s="442">
        <f>CC100/Macro!CC12</f>
        <v>0</v>
      </c>
      <c r="CD101" s="440">
        <f>CD100/Macro!CD12</f>
        <v>0</v>
      </c>
      <c r="CE101" s="440">
        <f>CE100/Macro!CE12</f>
        <v>0</v>
      </c>
      <c r="CF101" s="440">
        <f>CE101</f>
        <v>0</v>
      </c>
      <c r="CG101" s="440">
        <f>CF101</f>
        <v>0</v>
      </c>
      <c r="CH101" s="442">
        <f>CH100/Macro!CH12</f>
        <v>0</v>
      </c>
      <c r="CI101" s="440">
        <f>CG101</f>
        <v>0</v>
      </c>
      <c r="CJ101" s="440">
        <f>CI101</f>
        <v>0</v>
      </c>
      <c r="CK101" s="440">
        <f>CJ101</f>
        <v>0</v>
      </c>
      <c r="CL101" s="440">
        <f>CK101</f>
        <v>0</v>
      </c>
      <c r="CM101" s="442">
        <f>CM100/Macro!CM12</f>
        <v>0</v>
      </c>
      <c r="CN101" s="440">
        <f>CL101</f>
        <v>0</v>
      </c>
      <c r="CO101" s="440">
        <f>CN101</f>
        <v>0</v>
      </c>
      <c r="CP101" s="440">
        <f>CO101</f>
        <v>0</v>
      </c>
      <c r="CQ101" s="440">
        <f>CP101</f>
        <v>0</v>
      </c>
      <c r="CR101" s="442">
        <f>CR100/Macro!CR12</f>
        <v>0</v>
      </c>
      <c r="CS101" s="440">
        <f>CQ101</f>
        <v>0</v>
      </c>
      <c r="CT101" s="440">
        <f>CS101</f>
        <v>0</v>
      </c>
      <c r="CU101" s="440">
        <f>CT101</f>
        <v>0</v>
      </c>
      <c r="CV101" s="440">
        <f>CU101</f>
        <v>0</v>
      </c>
      <c r="CW101" s="442">
        <f>CW100/Macro!CW12</f>
        <v>0</v>
      </c>
      <c r="CX101" s="440">
        <f>CV101</f>
        <v>0</v>
      </c>
      <c r="CY101" s="440">
        <f>CX101</f>
        <v>0</v>
      </c>
      <c r="CZ101" s="440">
        <f>CY101</f>
        <v>0</v>
      </c>
      <c r="DA101" s="440">
        <f>CZ101</f>
        <v>0</v>
      </c>
      <c r="DB101" s="442">
        <f>DB100/Macro!DB12</f>
        <v>0</v>
      </c>
    </row>
    <row r="102" spans="1:106" ht="11.25" customHeight="1" x14ac:dyDescent="0.35">
      <c r="A102" s="11" t="s">
        <v>97</v>
      </c>
      <c r="B102" s="46">
        <f t="shared" ref="B102:E102" si="698">B95-B99</f>
        <v>0</v>
      </c>
      <c r="C102" s="46">
        <f t="shared" si="698"/>
        <v>0</v>
      </c>
      <c r="D102" s="46">
        <f t="shared" si="698"/>
        <v>0</v>
      </c>
      <c r="E102" s="46">
        <f t="shared" si="698"/>
        <v>0</v>
      </c>
      <c r="F102" s="163">
        <f t="shared" ref="F102" si="699">SUM(B102:E102)</f>
        <v>0</v>
      </c>
      <c r="G102" s="46">
        <f t="shared" ref="G102:J102" si="700">G95-G99</f>
        <v>0</v>
      </c>
      <c r="H102" s="46">
        <f t="shared" si="700"/>
        <v>0</v>
      </c>
      <c r="I102" s="46">
        <f t="shared" si="700"/>
        <v>0</v>
      </c>
      <c r="J102" s="46">
        <f t="shared" si="700"/>
        <v>0</v>
      </c>
      <c r="K102" s="163">
        <f t="shared" ref="K102" si="701">SUM(G102:J102)</f>
        <v>0</v>
      </c>
      <c r="L102" s="46">
        <f t="shared" ref="L102:O102" si="702">L95-L99</f>
        <v>0</v>
      </c>
      <c r="M102" s="46">
        <f t="shared" si="702"/>
        <v>0</v>
      </c>
      <c r="N102" s="46">
        <f t="shared" si="702"/>
        <v>0</v>
      </c>
      <c r="O102" s="46">
        <f t="shared" si="702"/>
        <v>0</v>
      </c>
      <c r="P102" s="163">
        <f t="shared" ref="P102" si="703">SUM(L102:O102)</f>
        <v>0</v>
      </c>
      <c r="Q102" s="46">
        <f t="shared" ref="Q102:T102" si="704">Q95-Q99</f>
        <v>0</v>
      </c>
      <c r="R102" s="46">
        <f t="shared" si="704"/>
        <v>0</v>
      </c>
      <c r="S102" s="46">
        <f t="shared" si="704"/>
        <v>0</v>
      </c>
      <c r="T102" s="46">
        <f t="shared" si="704"/>
        <v>0</v>
      </c>
      <c r="U102" s="163">
        <f t="shared" ref="U102" si="705">SUM(Q102:T102)</f>
        <v>0</v>
      </c>
      <c r="V102" s="46">
        <f t="shared" ref="V102:Y102" si="706">V95-V99</f>
        <v>0</v>
      </c>
      <c r="W102" s="46">
        <f t="shared" si="706"/>
        <v>0</v>
      </c>
      <c r="X102" s="46">
        <f t="shared" si="706"/>
        <v>0</v>
      </c>
      <c r="Y102" s="46">
        <f t="shared" si="706"/>
        <v>0</v>
      </c>
      <c r="Z102" s="163">
        <f t="shared" ref="Z102" si="707">SUM(V102:Y102)</f>
        <v>0</v>
      </c>
      <c r="AA102" s="46">
        <f t="shared" ref="AA102:AD102" si="708">AA95-AA99</f>
        <v>0</v>
      </c>
      <c r="AB102" s="46">
        <f t="shared" si="708"/>
        <v>0</v>
      </c>
      <c r="AC102" s="46">
        <f t="shared" si="708"/>
        <v>0</v>
      </c>
      <c r="AD102" s="46">
        <f t="shared" si="708"/>
        <v>0</v>
      </c>
      <c r="AE102" s="163">
        <f t="shared" ref="AE102" si="709">SUM(AA102:AD102)</f>
        <v>0</v>
      </c>
      <c r="AF102" s="46">
        <f>AF95-AF99</f>
        <v>0</v>
      </c>
      <c r="AG102" s="46">
        <f>AG95-AG99</f>
        <v>0</v>
      </c>
      <c r="AH102" s="46">
        <f>AH95-AH99</f>
        <v>0</v>
      </c>
      <c r="AI102" s="46">
        <f>AI95-AI99</f>
        <v>0</v>
      </c>
      <c r="AJ102" s="163">
        <f>SUM(AF102:AI102)</f>
        <v>0</v>
      </c>
      <c r="AK102" s="46">
        <f>AK95-AK99</f>
        <v>-766.16499999999996</v>
      </c>
      <c r="AL102" s="46">
        <f>AL95-AL99</f>
        <v>-1045.3510000000001</v>
      </c>
      <c r="AM102" s="46">
        <f>AM95-AM99</f>
        <v>-1353.6529999999998</v>
      </c>
      <c r="AN102" s="46">
        <f>AN95-AN99</f>
        <v>-2114.6080000000002</v>
      </c>
      <c r="AO102" s="163">
        <f>SUM(AK102:AN102)</f>
        <v>-5279.777</v>
      </c>
      <c r="AP102" s="46">
        <f>AP95-AP99</f>
        <v>-560.90499999999997</v>
      </c>
      <c r="AQ102" s="46">
        <f>AQ95-AQ99</f>
        <v>-1107.788</v>
      </c>
      <c r="AR102" s="46">
        <f>AR95-AR99</f>
        <v>-3741.3919999999998</v>
      </c>
      <c r="AS102" s="46">
        <f>AS95-AS99</f>
        <v>-3259.3489999999993</v>
      </c>
      <c r="AT102" s="163">
        <f>SUM(AP102:AS102)</f>
        <v>-8669.4339999999993</v>
      </c>
      <c r="AU102" s="46">
        <f>AU95-AU99</f>
        <v>-3465</v>
      </c>
      <c r="AV102" s="46">
        <f>AV95-AV99</f>
        <v>-5215</v>
      </c>
      <c r="AW102" s="46">
        <f>AW95-AW99</f>
        <v>-7768</v>
      </c>
      <c r="AX102" s="46">
        <f>AX95-AX99</f>
        <v>-10241</v>
      </c>
      <c r="AY102" s="163">
        <f>SUM(AU102:AX102)</f>
        <v>-26689</v>
      </c>
      <c r="AZ102" s="46">
        <f>AZ95-AZ99</f>
        <v>-4959</v>
      </c>
      <c r="BA102" s="46">
        <f>BA95-BA99</f>
        <v>-5719</v>
      </c>
      <c r="BB102" s="46">
        <f>BB95-BB99</f>
        <v>-6639</v>
      </c>
      <c r="BC102" s="46">
        <f>BC95-BC99</f>
        <v>-6166</v>
      </c>
      <c r="BD102" s="163">
        <f>SUM(AZ102:BC102)</f>
        <v>-23483</v>
      </c>
      <c r="BE102" s="46">
        <f>BE95-BE99</f>
        <v>-7256</v>
      </c>
      <c r="BF102" s="46">
        <f>BF95-BF99</f>
        <v>-9300</v>
      </c>
      <c r="BG102" s="46">
        <f>BG95-BG99</f>
        <v>-11427</v>
      </c>
      <c r="BH102" s="46">
        <f>BH95-BH99</f>
        <v>-21731</v>
      </c>
      <c r="BI102" s="163">
        <f>SUM(BE102:BH102)</f>
        <v>-49714</v>
      </c>
      <c r="BJ102" s="46">
        <f>BJ95-BJ99</f>
        <v>-17062</v>
      </c>
      <c r="BK102" s="46">
        <f>BK95-BK99</f>
        <v>-22214</v>
      </c>
      <c r="BL102" s="46">
        <f>BL95-BL99</f>
        <v>-22860</v>
      </c>
      <c r="BM102" s="46">
        <f>BM95-BM99</f>
        <v>-26332</v>
      </c>
      <c r="BN102" s="163">
        <f>SUM(BJ102:BM102)</f>
        <v>-88468</v>
      </c>
      <c r="BO102" s="46">
        <f>BO95-BO99</f>
        <v>-25672</v>
      </c>
      <c r="BP102" s="46">
        <f>BP95-BP99</f>
        <v>-26026</v>
      </c>
      <c r="BQ102" s="46">
        <f>BQ95-BQ99</f>
        <v>-23214</v>
      </c>
      <c r="BR102" s="46">
        <f>BR95-BR99</f>
        <v>-25215</v>
      </c>
      <c r="BS102" s="163">
        <f>SUM(BO102:BR102)</f>
        <v>-100127</v>
      </c>
      <c r="BT102" s="46">
        <f>BT95-BT99</f>
        <v>-24806</v>
      </c>
      <c r="BU102" s="46">
        <f>BU95-BU99</f>
        <v>-31099</v>
      </c>
      <c r="BV102" s="46">
        <f>BV95-BV99</f>
        <v>-39673</v>
      </c>
      <c r="BW102" s="46">
        <f>BW95-BW99</f>
        <v>-41587</v>
      </c>
      <c r="BX102" s="163">
        <f>SUM(BT102:BW102)</f>
        <v>-137165</v>
      </c>
      <c r="BY102" s="46">
        <f>BY95-BY99</f>
        <v>-51332</v>
      </c>
      <c r="BZ102" s="46">
        <f>BZ95-BZ99</f>
        <v>-50846</v>
      </c>
      <c r="CA102" s="46">
        <f>CA95-CA99</f>
        <v>-56062</v>
      </c>
      <c r="CB102" s="46">
        <f>CB95-CB99</f>
        <v>-59596</v>
      </c>
      <c r="CC102" s="163">
        <f>SUM(BY102:CB102)</f>
        <v>-217836</v>
      </c>
      <c r="CD102" s="46">
        <f>CD95-CD99</f>
        <v>-59802</v>
      </c>
      <c r="CE102" s="46">
        <f>CE95-CE99</f>
        <v>-70288</v>
      </c>
      <c r="CF102" s="46">
        <f>-(AVERAGE('BS &amp; FCF'!CE28:CF28)+AVERAGE('BS &amp; FCF'!CE31:CF31))*((1+CF103)^(1/4)-1)</f>
        <v>-51675.015346819564</v>
      </c>
      <c r="CG102" s="46">
        <f>-(AVERAGE('BS &amp; FCF'!CF28:CG28)+AVERAGE('BS &amp; FCF'!CF31:CG31))*((1+CG103)^(1/4)-1)</f>
        <v>-51884.836175829572</v>
      </c>
      <c r="CH102" s="163">
        <f>SUM(CD102:CG102)</f>
        <v>-233649.85152264914</v>
      </c>
      <c r="CI102" s="46">
        <f>-(AVERAGE('BS &amp; FCF'!CH28:CI28)+AVERAGE('BS &amp; FCF'!CH31:CI31))*((1+CI103)^(1/4)-1)</f>
        <v>-54494.948682934752</v>
      </c>
      <c r="CJ102" s="46">
        <f>-(AVERAGE('BS &amp; FCF'!CI28:CJ28)+AVERAGE('BS &amp; FCF'!CI31:CJ31))*((1+CJ103)^(1/4)-1)</f>
        <v>-56010.794620898385</v>
      </c>
      <c r="CK102" s="46">
        <f>-(AVERAGE('BS &amp; FCF'!CJ28:CK28)+AVERAGE('BS &amp; FCF'!CJ31:CK31))*((1+CK103)^(1/4)-1)</f>
        <v>-55551.907603059452</v>
      </c>
      <c r="CL102" s="46">
        <f>-(AVERAGE('BS &amp; FCF'!CK28:CL28)+AVERAGE('BS &amp; FCF'!CK31:CL31))*((1+CL103)^(1/4)-1)</f>
        <v>-55906.806483071916</v>
      </c>
      <c r="CM102" s="163">
        <f t="shared" ref="CM102" si="710">SUM(CI102:CL102)</f>
        <v>-221964.45738996449</v>
      </c>
      <c r="CN102" s="46">
        <f>-(AVERAGE('BS &amp; FCF'!CM28:CN28)+AVERAGE('BS &amp; FCF'!CM31:CN31))*((1+CN103)^(1/4)-1)</f>
        <v>-50990.067112392629</v>
      </c>
      <c r="CO102" s="46">
        <f>-(AVERAGE('BS &amp; FCF'!CN28:CO28)+AVERAGE('BS &amp; FCF'!CN31:CO31))*((1+CO103)^(1/4)-1)</f>
        <v>-53434.378199562365</v>
      </c>
      <c r="CP102" s="46">
        <f>-(AVERAGE('BS &amp; FCF'!CO28:CP28)+AVERAGE('BS &amp; FCF'!CO31:CP31))*((1+CP103)^(1/4)-1)</f>
        <v>-54177.072238266672</v>
      </c>
      <c r="CQ102" s="46">
        <f>-(AVERAGE('BS &amp; FCF'!CP28:CQ28)+AVERAGE('BS &amp; FCF'!CP31:CQ31))*((1+CQ103)^(1/4)-1)</f>
        <v>-54440.293751587145</v>
      </c>
      <c r="CR102" s="163">
        <f t="shared" ref="CR102" si="711">SUM(CN102:CQ102)</f>
        <v>-213041.8113018088</v>
      </c>
      <c r="CS102" s="46">
        <f>-(AVERAGE('BS &amp; FCF'!CR28:CS28)+AVERAGE('BS &amp; FCF'!CR31:CS31))*((1+CS103)^(1/4)-1)</f>
        <v>-56174.195900795719</v>
      </c>
      <c r="CT102" s="46">
        <f>-(AVERAGE('BS &amp; FCF'!CS28:CT28)+AVERAGE('BS &amp; FCF'!CS31:CT31))*((1+CT103)^(1/4)-1)</f>
        <v>-58349.531238932839</v>
      </c>
      <c r="CU102" s="46">
        <f>-(AVERAGE('BS &amp; FCF'!CT28:CU28)+AVERAGE('BS &amp; FCF'!CT31:CU31))*((1+CU103)^(1/4)-1)</f>
        <v>-58977.093926704627</v>
      </c>
      <c r="CV102" s="46">
        <f>-(AVERAGE('BS &amp; FCF'!CU28:CV28)+AVERAGE('BS &amp; FCF'!CU31:CV31))*((1+CV103)^(1/4)-1)</f>
        <v>-58944.368478198936</v>
      </c>
      <c r="CW102" s="163">
        <f t="shared" ref="CW102" si="712">SUM(CS102:CV102)</f>
        <v>-232445.18954463213</v>
      </c>
      <c r="CX102" s="46">
        <f>-(AVERAGE('BS &amp; FCF'!CW28:CX28)+AVERAGE('BS &amp; FCF'!CW31:CX31))*((1+CX103)^(1/4)-1)</f>
        <v>-60342.356395011593</v>
      </c>
      <c r="CY102" s="46">
        <f>-(AVERAGE('BS &amp; FCF'!CX28:CY28)+AVERAGE('BS &amp; FCF'!CX31:CY31))*((1+CY103)^(1/4)-1)</f>
        <v>-62295.09256990131</v>
      </c>
      <c r="CZ102" s="46">
        <f>-(AVERAGE('BS &amp; FCF'!CY28:CZ28)+AVERAGE('BS &amp; FCF'!CY31:CZ31))*((1+CZ103)^(1/4)-1)</f>
        <v>-62707.125790653263</v>
      </c>
      <c r="DA102" s="46">
        <f>-(AVERAGE('BS &amp; FCF'!CZ28:DA28)+AVERAGE('BS &amp; FCF'!CZ31:DA31))*((1+DA103)^(1/4)-1)</f>
        <v>-62481.122859356801</v>
      </c>
      <c r="DB102" s="163">
        <f t="shared" ref="DB102" si="713">SUM(CX102:DA102)</f>
        <v>-247825.69761492297</v>
      </c>
    </row>
    <row r="103" spans="1:106" ht="11.25" customHeight="1" x14ac:dyDescent="0.35">
      <c r="A103" s="7" t="s">
        <v>98</v>
      </c>
      <c r="B103" s="443" t="e">
        <f>-B102/AVERAGE('BS &amp; FCF'!A28:B28)*4</f>
        <v>#DIV/0!</v>
      </c>
      <c r="C103" s="443" t="e">
        <f>-C102/AVERAGE('BS &amp; FCF'!B28:C28)*4</f>
        <v>#DIV/0!</v>
      </c>
      <c r="D103" s="443" t="e">
        <f>-D102/AVERAGE('BS &amp; FCF'!C28:D28)*4</f>
        <v>#DIV/0!</v>
      </c>
      <c r="E103" s="443" t="e">
        <f>-E102/AVERAGE('BS &amp; FCF'!D28:E28)*4</f>
        <v>#DIV/0!</v>
      </c>
      <c r="F103" s="444" t="e">
        <f>-F102/AVERAGE('BS &amp; FCF'!B28:E28)</f>
        <v>#DIV/0!</v>
      </c>
      <c r="G103" s="443" t="e">
        <f>-G102/AVERAGE('BS &amp; FCF'!F28:G28)*4</f>
        <v>#DIV/0!</v>
      </c>
      <c r="H103" s="443" t="e">
        <f>-H102/AVERAGE('BS &amp; FCF'!G28:H28)*4</f>
        <v>#DIV/0!</v>
      </c>
      <c r="I103" s="443" t="e">
        <f>-I102/AVERAGE('BS &amp; FCF'!H28:I28)*4</f>
        <v>#DIV/0!</v>
      </c>
      <c r="J103" s="443" t="e">
        <f>-J102/AVERAGE('BS &amp; FCF'!I28:J28)*4</f>
        <v>#DIV/0!</v>
      </c>
      <c r="K103" s="444" t="e">
        <f>-K102/AVERAGE('BS &amp; FCF'!G28:J28)</f>
        <v>#DIV/0!</v>
      </c>
      <c r="L103" s="443" t="e">
        <f>-L102/AVERAGE('BS &amp; FCF'!K28:L28)*4</f>
        <v>#DIV/0!</v>
      </c>
      <c r="M103" s="443" t="e">
        <f>-M102/AVERAGE('BS &amp; FCF'!L28:M28)*4</f>
        <v>#DIV/0!</v>
      </c>
      <c r="N103" s="443" t="e">
        <f>-N102/AVERAGE('BS &amp; FCF'!M28:N28)*4</f>
        <v>#DIV/0!</v>
      </c>
      <c r="O103" s="443" t="e">
        <f>-O102/AVERAGE('BS &amp; FCF'!N28:O28)*4</f>
        <v>#DIV/0!</v>
      </c>
      <c r="P103" s="444" t="e">
        <f>-P102/AVERAGE('BS &amp; FCF'!L28:O28)</f>
        <v>#DIV/0!</v>
      </c>
      <c r="Q103" s="443" t="e">
        <f>-Q102/AVERAGE('BS &amp; FCF'!P28:Q28)*4</f>
        <v>#DIV/0!</v>
      </c>
      <c r="R103" s="443" t="e">
        <f>-R102/AVERAGE('BS &amp; FCF'!Q28:R28)*4</f>
        <v>#DIV/0!</v>
      </c>
      <c r="S103" s="443" t="e">
        <f>-S102/AVERAGE('BS &amp; FCF'!R28:S28)*4</f>
        <v>#DIV/0!</v>
      </c>
      <c r="T103" s="443" t="e">
        <f>-T102/AVERAGE('BS &amp; FCF'!S28:T28)*4</f>
        <v>#DIV/0!</v>
      </c>
      <c r="U103" s="444" t="e">
        <f>-U102/AVERAGE('BS &amp; FCF'!Q28:T28)</f>
        <v>#DIV/0!</v>
      </c>
      <c r="V103" s="443" t="e">
        <f>-V102/AVERAGE('BS &amp; FCF'!U28:V28)*4</f>
        <v>#DIV/0!</v>
      </c>
      <c r="W103" s="443" t="e">
        <f>-W102/AVERAGE('BS &amp; FCF'!V28:W28)*4</f>
        <v>#DIV/0!</v>
      </c>
      <c r="X103" s="443" t="e">
        <f>-X102/AVERAGE('BS &amp; FCF'!W28:X28)*4</f>
        <v>#DIV/0!</v>
      </c>
      <c r="Y103" s="443" t="e">
        <f>-Y102/AVERAGE('BS &amp; FCF'!X28:Y28)*4</f>
        <v>#DIV/0!</v>
      </c>
      <c r="Z103" s="444" t="e">
        <f>-Z102/AVERAGE('BS &amp; FCF'!V28:Y28)</f>
        <v>#DIV/0!</v>
      </c>
      <c r="AA103" s="443" t="e">
        <f>-AA102/AVERAGE('BS &amp; FCF'!Z28:AA28)*4</f>
        <v>#DIV/0!</v>
      </c>
      <c r="AB103" s="443" t="e">
        <f>-AB102/AVERAGE('BS &amp; FCF'!AA28:AB28)*4</f>
        <v>#DIV/0!</v>
      </c>
      <c r="AC103" s="443" t="e">
        <f>-AC102/AVERAGE('BS &amp; FCF'!AB28:AC28)*4</f>
        <v>#DIV/0!</v>
      </c>
      <c r="AD103" s="443" t="e">
        <f>-AD102/AVERAGE('BS &amp; FCF'!AC28:AD28)*4</f>
        <v>#DIV/0!</v>
      </c>
      <c r="AE103" s="444" t="e">
        <f>-AE102/AVERAGE('BS &amp; FCF'!AA28:AD28)</f>
        <v>#DIV/0!</v>
      </c>
      <c r="AF103" s="443" t="e">
        <f>-AF102/AVERAGE('BS &amp; FCF'!AE28:AF28)*4</f>
        <v>#DIV/0!</v>
      </c>
      <c r="AG103" s="443" t="e">
        <f>-AG102/AVERAGE('BS &amp; FCF'!AF28:AG28)*4</f>
        <v>#DIV/0!</v>
      </c>
      <c r="AH103" s="443" t="e">
        <f>-AH102/AVERAGE('BS &amp; FCF'!AG28:AH28)*4</f>
        <v>#DIV/0!</v>
      </c>
      <c r="AI103" s="443" t="e">
        <f>-AI102/AVERAGE('BS &amp; FCF'!AH28:AI28)*4</f>
        <v>#DIV/0!</v>
      </c>
      <c r="AJ103" s="444" t="e">
        <f>-AJ102/AVERAGE('BS &amp; FCF'!AF28:AI28)</f>
        <v>#DIV/0!</v>
      </c>
      <c r="AK103" s="443">
        <f>-AK102/AVERAGE('BS &amp; FCF'!AJ28:AK28)*4</f>
        <v>3.1252428323042168E-2</v>
      </c>
      <c r="AL103" s="443">
        <f>-AL102/AVERAGE('BS &amp; FCF'!AK28:AL28)*4</f>
        <v>2.169971042170488E-2</v>
      </c>
      <c r="AM103" s="443">
        <f>-AM102/AVERAGE('BS &amp; FCF'!AL28:AM28)*4</f>
        <v>2.8732124711132567E-2</v>
      </c>
      <c r="AN103" s="443">
        <f>-AN102/AVERAGE('BS &amp; FCF'!AM28:AN28)*4</f>
        <v>4.5087470449172579E-2</v>
      </c>
      <c r="AO103" s="444">
        <f>-AO102/AVERAGE('BS &amp; FCF'!AK28:AN28)</f>
        <v>2.7766780744922684E-2</v>
      </c>
      <c r="AP103" s="443">
        <f>-AP102/AVERAGE('BS &amp; FCF'!AO28:AP28)*4</f>
        <v>1.3194543684923973E-2</v>
      </c>
      <c r="AQ103" s="443">
        <f>-AQ102/AVERAGE('BS &amp; FCF'!AP28:AQ28)*4</f>
        <v>3.1529696383210355E-2</v>
      </c>
      <c r="AR103" s="443">
        <f>-AR102/AVERAGE('BS &amp; FCF'!AQ28:AR28)*4</f>
        <v>8.5599462342527841E-2</v>
      </c>
      <c r="AS103" s="443">
        <f>-AS102/AVERAGE('BS &amp; FCF'!AR28:AS28)*4</f>
        <v>5.9436092299346016E-2</v>
      </c>
      <c r="AT103" s="444">
        <f>-AT102/AVERAGE('BS &amp; FCF'!AP28:AS28)</f>
        <v>4.8178176417549221E-2</v>
      </c>
      <c r="AU103" s="443">
        <f>-AU102/AVERAGE('BS &amp; FCF'!AT28:AU28)*4</f>
        <v>6.3784990278081391E-2</v>
      </c>
      <c r="AV103" s="443">
        <f>-AV102/AVERAGE('BS &amp; FCF'!AU28:AV28)*4</f>
        <v>9.4991973952344627E-2</v>
      </c>
      <c r="AW103" s="443">
        <f>-AW102/AVERAGE('BS &amp; FCF'!AV28:AW28)*4</f>
        <v>0.14433799022169574</v>
      </c>
      <c r="AX103" s="443">
        <f>-AX102/AVERAGE('BS &amp; FCF'!AW28:AX28)*4</f>
        <v>0.1654091923158458</v>
      </c>
      <c r="AY103" s="444">
        <f>-AY102/AVERAGE('BS &amp; FCF'!AU28:AX28)</f>
        <v>0.1142386302835741</v>
      </c>
      <c r="AZ103" s="443">
        <f>-AZ102/AVERAGE('BS &amp; FCF'!AY28:AZ28)*4</f>
        <v>6.8130180990113295E-2</v>
      </c>
      <c r="BA103" s="443">
        <f>-BA102/AVERAGE('BS &amp; FCF'!AZ28:BA28)*4</f>
        <v>7.2492541120883755E-2</v>
      </c>
      <c r="BB103" s="443">
        <f>-BB102/AVERAGE('BS &amp; FCF'!BA28:BB28)*4</f>
        <v>8.2730518327445379E-2</v>
      </c>
      <c r="BC103" s="443">
        <f>-BC102/AVERAGE('BS &amp; FCF'!BB28:BC28)*4</f>
        <v>8.462587601540586E-2</v>
      </c>
      <c r="BD103" s="444">
        <f>-BD102/AVERAGE('BS &amp; FCF'!AZ28:BC28)</f>
        <v>7.7372568207165926E-2</v>
      </c>
      <c r="BE103" s="443">
        <f>-BE102/AVERAGE('BS &amp; FCF'!BD28:BE28)*4</f>
        <v>0.10412346724257926</v>
      </c>
      <c r="BF103" s="443">
        <f>-BF102/AVERAGE('BS &amp; FCF'!BE28:BF28)*4</f>
        <v>0.13500664145574903</v>
      </c>
      <c r="BG103" s="443">
        <f>-BG102/AVERAGE('BS &amp; FCF'!BF28:BG28)*4</f>
        <v>0.13840025797895292</v>
      </c>
      <c r="BH103" s="443">
        <f>-BH102/AVERAGE('BS &amp; FCF'!BG28:BH28)*4</f>
        <v>0.22246791869494223</v>
      </c>
      <c r="BI103" s="444">
        <f>-BI102/AVERAGE('BS &amp; FCF'!BE28:BH28)</f>
        <v>0.14923124028168844</v>
      </c>
      <c r="BJ103" s="443">
        <f>-BJ102/AVERAGE('BS &amp; FCF'!BI28:BJ28)*4</f>
        <v>0.17452722832410592</v>
      </c>
      <c r="BK103" s="443">
        <f>-BK102/AVERAGE('BS &amp; FCF'!BJ28:BK28)*4</f>
        <v>0.22499917704226458</v>
      </c>
      <c r="BL103" s="443">
        <f>-BL102/AVERAGE('BS &amp; FCF'!BK28:BL28)*4</f>
        <v>0.21389648804142256</v>
      </c>
      <c r="BM103" s="443">
        <f>-BM102/AVERAGE('BS &amp; FCF'!BL28:BM28)*4</f>
        <v>0.22481747774034189</v>
      </c>
      <c r="BN103" s="444">
        <f>-BN102/AVERAGE('BS &amp; FCF'!BJ28:BM28)</f>
        <v>0.20492424615324034</v>
      </c>
      <c r="BO103" s="443">
        <f>-BO102/AVERAGE('BS &amp; FCF'!BN28:BO28)*4</f>
        <v>0.21493974390505544</v>
      </c>
      <c r="BP103" s="443">
        <f>-BP102/AVERAGE('BS &amp; FCF'!BO28:BP28)*4</f>
        <v>0.2137387026702966</v>
      </c>
      <c r="BQ103" s="443">
        <f>-BQ102/AVERAGE('BS &amp; FCF'!BP28:BQ28)*4</f>
        <v>0.1621477203870339</v>
      </c>
      <c r="BR103" s="443">
        <f>-BR102/AVERAGE('BS &amp; FCF'!BQ28:BR28)*4</f>
        <v>0.16021336366257344</v>
      </c>
      <c r="BS103" s="444">
        <f>-BS102/AVERAGE('BS &amp; FCF'!BO28:BR28)</f>
        <v>0.17934304886048913</v>
      </c>
      <c r="BT103" s="443">
        <f>-BT102/AVERAGE('BS &amp; FCF'!BS28:BT28)*4</f>
        <v>0.16329916181303805</v>
      </c>
      <c r="BU103" s="443">
        <f>-BU102/AVERAGE('BS &amp; FCF'!BT28:BU28)*4</f>
        <v>0.14785918218405969</v>
      </c>
      <c r="BV103" s="443">
        <f>-BV102/AVERAGE('BS &amp; FCF'!BU28:BV28)*4</f>
        <v>0.14537140051381808</v>
      </c>
      <c r="BW103" s="443">
        <f>-BW102/AVERAGE('BS &amp; FCF'!BV28:BW28)*4</f>
        <v>0.15926798081484719</v>
      </c>
      <c r="BX103" s="444">
        <f>-BX102/AVERAGE('BS &amp; FCF'!BT28:BW28)</f>
        <v>0.14547392507294776</v>
      </c>
      <c r="BY103" s="443">
        <f>-BY102/AVERAGE('BS &amp; FCF'!BX28:BY28)*4</f>
        <v>0.18097006292545412</v>
      </c>
      <c r="BZ103" s="443">
        <f>-BZ102/AVERAGE('BS &amp; FCF'!BY28:BZ28)*4</f>
        <v>0.15730089411014944</v>
      </c>
      <c r="CA103" s="443">
        <f>-CA102/AVERAGE('BS &amp; FCF'!BZ28:CA28)*4</f>
        <v>0.17078418246386845</v>
      </c>
      <c r="CB103" s="443">
        <f>-CB102/AVERAGE('BS &amp; FCF'!CA28:CB28)*4</f>
        <v>0.17040373169189596</v>
      </c>
      <c r="CC103" s="444">
        <f>-CC102/AVERAGE('BS &amp; FCF'!BY28:CB28)</f>
        <v>0.16184565685624047</v>
      </c>
      <c r="CD103" s="443">
        <f>-CD102/AVERAGE('BS &amp; FCF'!CC28:CD28)*4</f>
        <v>0.16933263441124721</v>
      </c>
      <c r="CE103" s="443">
        <f>-CE102/AVERAGE('BS &amp; FCF'!CD28:CE28)*4</f>
        <v>0.20875781629665599</v>
      </c>
      <c r="CF103" s="443">
        <f>CF104*Macro!CF12</f>
        <v>0.16195833333333332</v>
      </c>
      <c r="CG103" s="443">
        <f>CG104*Macro!CG12</f>
        <v>0.161</v>
      </c>
      <c r="CH103" s="444">
        <f>-CH102/AVERAGE('BS &amp; FCF'!CD28:CG28)</f>
        <v>0.17235533766816655</v>
      </c>
      <c r="CI103" s="443">
        <f>CI104*Macro!CI12</f>
        <v>0.161</v>
      </c>
      <c r="CJ103" s="443">
        <f>CJ104*Macro!CJ12</f>
        <v>0.15333333333333332</v>
      </c>
      <c r="CK103" s="443">
        <f>CK104*Macro!CK12</f>
        <v>0.14566666666666664</v>
      </c>
      <c r="CL103" s="443">
        <f>CL104*Macro!CL12</f>
        <v>0.14374999999999999</v>
      </c>
      <c r="CM103" s="444">
        <f>-CM102/AVERAGE('BS &amp; FCF'!CI28:CL28)</f>
        <v>0.1396067257214377</v>
      </c>
      <c r="CN103" s="443">
        <f>CN104*Macro!CN12</f>
        <v>0.125</v>
      </c>
      <c r="CO103" s="443">
        <f>CO104*Macro!CO12</f>
        <v>0.125</v>
      </c>
      <c r="CP103" s="443">
        <f>CP104*Macro!CP12</f>
        <v>0.125</v>
      </c>
      <c r="CQ103" s="443">
        <f>CQ104*Macro!CQ12</f>
        <v>0.125</v>
      </c>
      <c r="CR103" s="444">
        <f>-CR102/AVERAGE('BS &amp; FCF'!CN28:CQ28)</f>
        <v>0.11803419991000526</v>
      </c>
      <c r="CS103" s="443">
        <f>CS104*Macro!CS12</f>
        <v>0.125</v>
      </c>
      <c r="CT103" s="443">
        <f>CT104*Macro!CT12</f>
        <v>0.125</v>
      </c>
      <c r="CU103" s="443">
        <f>CU104*Macro!CU12</f>
        <v>0.125</v>
      </c>
      <c r="CV103" s="443">
        <f>CV104*Macro!CV12</f>
        <v>0.125</v>
      </c>
      <c r="CW103" s="444">
        <f>-CW102/AVERAGE('BS &amp; FCF'!CS28:CV28)</f>
        <v>0.11844252026349963</v>
      </c>
      <c r="CX103" s="443">
        <f>CX104*Macro!CX12</f>
        <v>0.125</v>
      </c>
      <c r="CY103" s="443">
        <f>CY104*Macro!CY12</f>
        <v>0.125</v>
      </c>
      <c r="CZ103" s="443">
        <f>CZ104*Macro!CZ12</f>
        <v>0.125</v>
      </c>
      <c r="DA103" s="443">
        <f>DA104*Macro!DA12</f>
        <v>0.125</v>
      </c>
      <c r="DB103" s="444">
        <f>-DB102/AVERAGE('BS &amp; FCF'!CX28:DA28)</f>
        <v>0.11870719176949636</v>
      </c>
    </row>
    <row r="104" spans="1:106" ht="11.25" customHeight="1" x14ac:dyDescent="0.35">
      <c r="A104" s="75" t="s">
        <v>14</v>
      </c>
      <c r="B104" s="445" t="e">
        <f>B103/Macro!B12</f>
        <v>#DIV/0!</v>
      </c>
      <c r="C104" s="445" t="e">
        <f>C103/Macro!C12</f>
        <v>#DIV/0!</v>
      </c>
      <c r="D104" s="445" t="e">
        <f>D103/Macro!D12</f>
        <v>#DIV/0!</v>
      </c>
      <c r="E104" s="445" t="e">
        <f>E103/Macro!E12</f>
        <v>#DIV/0!</v>
      </c>
      <c r="F104" s="446" t="e">
        <f>F103/Macro!F12</f>
        <v>#DIV/0!</v>
      </c>
      <c r="G104" s="445" t="e">
        <f>G103/Macro!G12</f>
        <v>#DIV/0!</v>
      </c>
      <c r="H104" s="445" t="e">
        <f>H103/Macro!H12</f>
        <v>#DIV/0!</v>
      </c>
      <c r="I104" s="445" t="e">
        <f>I103/Macro!I12</f>
        <v>#DIV/0!</v>
      </c>
      <c r="J104" s="445" t="e">
        <f>J103/Macro!J12</f>
        <v>#DIV/0!</v>
      </c>
      <c r="K104" s="446" t="e">
        <f>K103/Macro!K12</f>
        <v>#DIV/0!</v>
      </c>
      <c r="L104" s="445" t="e">
        <f>L103/Macro!L12</f>
        <v>#DIV/0!</v>
      </c>
      <c r="M104" s="445" t="e">
        <f>M103/Macro!M12</f>
        <v>#DIV/0!</v>
      </c>
      <c r="N104" s="445" t="e">
        <f>N103/Macro!N12</f>
        <v>#DIV/0!</v>
      </c>
      <c r="O104" s="445" t="e">
        <f>O103/Macro!O12</f>
        <v>#DIV/0!</v>
      </c>
      <c r="P104" s="446" t="e">
        <f>P103/Macro!P12</f>
        <v>#DIV/0!</v>
      </c>
      <c r="Q104" s="445" t="e">
        <f>Q103/Macro!Q12</f>
        <v>#DIV/0!</v>
      </c>
      <c r="R104" s="445" t="e">
        <f>R103/Macro!R12</f>
        <v>#DIV/0!</v>
      </c>
      <c r="S104" s="445" t="e">
        <f>S103/Macro!S12</f>
        <v>#DIV/0!</v>
      </c>
      <c r="T104" s="445" t="e">
        <f>T103/Macro!T12</f>
        <v>#DIV/0!</v>
      </c>
      <c r="U104" s="446" t="e">
        <f>U103/Macro!U12</f>
        <v>#DIV/0!</v>
      </c>
      <c r="V104" s="445" t="e">
        <f>V103/Macro!V12</f>
        <v>#DIV/0!</v>
      </c>
      <c r="W104" s="445" t="e">
        <f>W103/Macro!W12</f>
        <v>#DIV/0!</v>
      </c>
      <c r="X104" s="445" t="e">
        <f>X103/Macro!X12</f>
        <v>#DIV/0!</v>
      </c>
      <c r="Y104" s="445" t="e">
        <f>Y103/Macro!Y12</f>
        <v>#DIV/0!</v>
      </c>
      <c r="Z104" s="446" t="e">
        <f>Z103/Macro!Z12</f>
        <v>#DIV/0!</v>
      </c>
      <c r="AA104" s="445" t="e">
        <f>AA103/Macro!AA12</f>
        <v>#DIV/0!</v>
      </c>
      <c r="AB104" s="445" t="e">
        <f>AB103/Macro!AB12</f>
        <v>#DIV/0!</v>
      </c>
      <c r="AC104" s="445" t="e">
        <f>AC103/Macro!AC12</f>
        <v>#DIV/0!</v>
      </c>
      <c r="AD104" s="445" t="e">
        <f>AD103/Macro!AD12</f>
        <v>#DIV/0!</v>
      </c>
      <c r="AE104" s="446" t="e">
        <f>AE103/Macro!AE12</f>
        <v>#DIV/0!</v>
      </c>
      <c r="AF104" s="445" t="e">
        <f>AF103/Macro!AF12</f>
        <v>#DIV/0!</v>
      </c>
      <c r="AG104" s="445" t="e">
        <f>AG103/Macro!AG12</f>
        <v>#DIV/0!</v>
      </c>
      <c r="AH104" s="445" t="e">
        <f>AH103/Macro!AH12</f>
        <v>#DIV/0!</v>
      </c>
      <c r="AI104" s="445" t="e">
        <f>AI103/Macro!AI12</f>
        <v>#DIV/0!</v>
      </c>
      <c r="AJ104" s="446" t="e">
        <f>AJ103/Macro!AJ12</f>
        <v>#DIV/0!</v>
      </c>
      <c r="AK104" s="445">
        <f>AK103/Macro!AK12</f>
        <v>0.25001942658433735</v>
      </c>
      <c r="AL104" s="445">
        <f>AL103/Macro!AL12</f>
        <v>0.19877597332859434</v>
      </c>
      <c r="AM104" s="445">
        <f>AM103/Macro!AM12</f>
        <v>0.32222943601270171</v>
      </c>
      <c r="AN104" s="445">
        <f>AN103/Macro!AN12</f>
        <v>0.61482914248871701</v>
      </c>
      <c r="AO104" s="446">
        <f>AO103/Macro!AO12</f>
        <v>0.28000115036896822</v>
      </c>
      <c r="AP104" s="445">
        <f>AP103/Macro!AP12</f>
        <v>0.19547472125813292</v>
      </c>
      <c r="AQ104" s="445">
        <f>AQ103/Macro!AQ12</f>
        <v>0.48507225204939008</v>
      </c>
      <c r="AR104" s="445">
        <f>AR103/Macro!AR12</f>
        <v>1.3169148052696591</v>
      </c>
      <c r="AS104" s="445">
        <f>AS103/Macro!AS12</f>
        <v>0.91440141998993862</v>
      </c>
      <c r="AT104" s="446">
        <f>AT103/Macro!AT12</f>
        <v>0.73414364064836901</v>
      </c>
      <c r="AU104" s="445">
        <f>AU103/Macro!AU12</f>
        <v>0.98130754273971366</v>
      </c>
      <c r="AV104" s="445">
        <f>AV103/Macro!AV12</f>
        <v>1.461414983882225</v>
      </c>
      <c r="AW104" s="445">
        <f>AW103/Macro!AW12</f>
        <v>2.4056331703615959</v>
      </c>
      <c r="AX104" s="445">
        <f>AX103/Macro!AX12</f>
        <v>3.4222591513623271</v>
      </c>
      <c r="AY104" s="446">
        <f>AY103/Macro!AY12</f>
        <v>1.917291697066978</v>
      </c>
      <c r="AZ104" s="445">
        <f>AZ103/Macro!AZ12</f>
        <v>1.635124343762719</v>
      </c>
      <c r="BA104" s="445">
        <f>BA103/Macro!BA12</f>
        <v>2.4164180373627917</v>
      </c>
      <c r="BB104" s="445">
        <f>BB103/Macro!BB12</f>
        <v>3.9710648797173778</v>
      </c>
      <c r="BC104" s="445">
        <f>BC103/Macro!BC12</f>
        <v>4.2312938007702927</v>
      </c>
      <c r="BD104" s="446">
        <f>BD103/Macro!BD12</f>
        <v>2.7510246473658997</v>
      </c>
      <c r="BE104" s="445">
        <f>BE103/Macro!BE12</f>
        <v>4.6277096552257451</v>
      </c>
      <c r="BF104" s="445">
        <f>BF103/Macro!BF12</f>
        <v>3.8573326130214007</v>
      </c>
      <c r="BG104" s="445">
        <f>BG103/Macro!BG12</f>
        <v>2.6361953900752937</v>
      </c>
      <c r="BH104" s="445">
        <f>BH103/Macro!BH12</f>
        <v>2.6965808326659664</v>
      </c>
      <c r="BI104" s="446">
        <f>BI103/Macro!BI12</f>
        <v>3.1009088889701495</v>
      </c>
      <c r="BJ104" s="445">
        <f>BJ103/Macro!BJ12</f>
        <v>1.6490761731411583</v>
      </c>
      <c r="BK104" s="445">
        <f>BK103/Macro!BK12</f>
        <v>1.7880729301372016</v>
      </c>
      <c r="BL104" s="445">
        <f>BL103/Macro!BL12</f>
        <v>1.5746980714705956</v>
      </c>
      <c r="BM104" s="445">
        <f>BM103/Macro!BM12</f>
        <v>1.635036201747941</v>
      </c>
      <c r="BN104" s="446">
        <f>BN103/Macro!BN12</f>
        <v>1.6231623457682403</v>
      </c>
      <c r="BO104" s="445">
        <f>BO103/Macro!BO12</f>
        <v>1.5631981374913122</v>
      </c>
      <c r="BP104" s="445">
        <f>BP103/Macro!BP12</f>
        <v>1.5544632921476116</v>
      </c>
      <c r="BQ104" s="445">
        <f>BQ103/Macro!BQ12</f>
        <v>1.2237563802795011</v>
      </c>
      <c r="BR104" s="445">
        <f>BR103/Macro!BR12</f>
        <v>1.3078641931638648</v>
      </c>
      <c r="BS104" s="446">
        <f>BS103/Macro!BS12</f>
        <v>1.3535324442301067</v>
      </c>
      <c r="BT104" s="445">
        <f>BT103/Macro!BT12</f>
        <v>1.4733758960574861</v>
      </c>
      <c r="BU104" s="445">
        <f>BU103/Macro!BU12</f>
        <v>1.3970946348100128</v>
      </c>
      <c r="BV104" s="445">
        <f>BV103/Macro!BV12</f>
        <v>1.3735880363510369</v>
      </c>
      <c r="BW104" s="445">
        <f>BW103/Macro!BW12</f>
        <v>1.3950480071373477</v>
      </c>
      <c r="BX104" s="446">
        <f>BX103/Macro!BX12</f>
        <v>1.3325855731873077</v>
      </c>
      <c r="BY104" s="445">
        <f>BY103/Macro!BY12</f>
        <v>1.3322949417824843</v>
      </c>
      <c r="BZ104" s="445">
        <f>BZ103/Macro!BZ12</f>
        <v>1.0725060962055644</v>
      </c>
      <c r="CA104" s="445">
        <f>CA103/Macro!CA12</f>
        <v>1.1385612164257897</v>
      </c>
      <c r="CB104" s="445">
        <f>CB103/Macro!CB12</f>
        <v>1.1360248779459732</v>
      </c>
      <c r="CC104" s="446">
        <f>CC103/Macro!CC12</f>
        <v>1.1113864848497199</v>
      </c>
      <c r="CD104" s="445">
        <f>CD103/Macro!CD12</f>
        <v>1.1351908452150652</v>
      </c>
      <c r="CE104" s="445">
        <f>CE103/Macro!CE12</f>
        <v>1.4480310956993478</v>
      </c>
      <c r="CF104" s="99">
        <v>1.1499999999999999</v>
      </c>
      <c r="CG104" s="99">
        <f>CF104</f>
        <v>1.1499999999999999</v>
      </c>
      <c r="CH104" s="446">
        <f>CH103/Macro!CH12</f>
        <v>1.2007338473253983</v>
      </c>
      <c r="CI104" s="99">
        <f>CG104</f>
        <v>1.1499999999999999</v>
      </c>
      <c r="CJ104" s="99">
        <f>CI104</f>
        <v>1.1499999999999999</v>
      </c>
      <c r="CK104" s="99">
        <f>CJ104</f>
        <v>1.1499999999999999</v>
      </c>
      <c r="CL104" s="99">
        <f>CK104</f>
        <v>1.1499999999999999</v>
      </c>
      <c r="CM104" s="446">
        <f>CM103/Macro!CM12</f>
        <v>1.0636702912109539</v>
      </c>
      <c r="CN104" s="414">
        <v>1</v>
      </c>
      <c r="CO104" s="99">
        <f>CN104</f>
        <v>1</v>
      </c>
      <c r="CP104" s="99">
        <f>CO104</f>
        <v>1</v>
      </c>
      <c r="CQ104" s="99">
        <f>CP104</f>
        <v>1</v>
      </c>
      <c r="CR104" s="446">
        <f>CR103/Macro!CR12</f>
        <v>0.94427359928004206</v>
      </c>
      <c r="CS104" s="99">
        <f>CQ104</f>
        <v>1</v>
      </c>
      <c r="CT104" s="99">
        <f>CS104</f>
        <v>1</v>
      </c>
      <c r="CU104" s="99">
        <f>CT104</f>
        <v>1</v>
      </c>
      <c r="CV104" s="99">
        <f>CU104</f>
        <v>1</v>
      </c>
      <c r="CW104" s="446">
        <f>CW103/Macro!CW12</f>
        <v>0.94754016210799707</v>
      </c>
      <c r="CX104" s="99">
        <f>CV104</f>
        <v>1</v>
      </c>
      <c r="CY104" s="99">
        <f>CX104</f>
        <v>1</v>
      </c>
      <c r="CZ104" s="99">
        <f>CY104</f>
        <v>1</v>
      </c>
      <c r="DA104" s="99">
        <f>CZ104</f>
        <v>1</v>
      </c>
      <c r="DB104" s="446">
        <f>DB103/Macro!DB12</f>
        <v>0.94965753415597087</v>
      </c>
    </row>
    <row r="105" spans="1:106" ht="11.25" customHeight="1" x14ac:dyDescent="0.35">
      <c r="F105" s="179"/>
      <c r="K105" s="179"/>
      <c r="P105" s="179"/>
      <c r="U105" s="179"/>
      <c r="Z105" s="179"/>
      <c r="AE105" s="179"/>
      <c r="AJ105" s="179"/>
      <c r="AO105" s="179"/>
      <c r="AT105" s="179"/>
      <c r="AY105" s="179"/>
      <c r="BD105" s="179"/>
      <c r="BI105" s="179"/>
      <c r="BN105" s="179"/>
      <c r="BS105" s="179"/>
      <c r="BX105" s="179"/>
      <c r="BY105" s="77"/>
      <c r="BZ105" s="77"/>
      <c r="CC105" s="179"/>
      <c r="CH105" s="179"/>
      <c r="CM105" s="179"/>
      <c r="CR105" s="179"/>
      <c r="CW105" s="179"/>
      <c r="DB105" s="179"/>
    </row>
    <row r="106" spans="1:106" s="80" customFormat="1" ht="11.25" customHeight="1" thickBot="1" x14ac:dyDescent="0.4">
      <c r="A106" s="119" t="s">
        <v>23</v>
      </c>
      <c r="B106" s="124" t="str">
        <f>Macro!B$3</f>
        <v>1Q10</v>
      </c>
      <c r="C106" s="124" t="str">
        <f>Macro!C$3</f>
        <v>2Q10</v>
      </c>
      <c r="D106" s="124" t="str">
        <f>Macro!D$3</f>
        <v>3Q10</v>
      </c>
      <c r="E106" s="125" t="str">
        <f>Macro!E$3</f>
        <v>4Q10</v>
      </c>
      <c r="F106" s="126" t="str">
        <f>Macro!F$3</f>
        <v>2010</v>
      </c>
      <c r="G106" s="124" t="str">
        <f>Macro!G$3</f>
        <v>1Q11</v>
      </c>
      <c r="H106" s="124" t="str">
        <f>Macro!H$3</f>
        <v>2Q11</v>
      </c>
      <c r="I106" s="124" t="str">
        <f>Macro!I$3</f>
        <v>3Q11</v>
      </c>
      <c r="J106" s="125" t="str">
        <f>Macro!J$3</f>
        <v>4Q11</v>
      </c>
      <c r="K106" s="126" t="str">
        <f>Macro!K$3</f>
        <v>2011</v>
      </c>
      <c r="L106" s="124" t="str">
        <f>Macro!L$3</f>
        <v>1Q12</v>
      </c>
      <c r="M106" s="124" t="str">
        <f>Macro!M$3</f>
        <v>2Q12</v>
      </c>
      <c r="N106" s="124" t="str">
        <f>Macro!N$3</f>
        <v>3Q12</v>
      </c>
      <c r="O106" s="125" t="str">
        <f>Macro!O$3</f>
        <v>4Q12</v>
      </c>
      <c r="P106" s="126" t="str">
        <f>Macro!P$3</f>
        <v>2012</v>
      </c>
      <c r="Q106" s="124" t="str">
        <f>Macro!Q$3</f>
        <v>1Q13</v>
      </c>
      <c r="R106" s="124" t="str">
        <f>Macro!R$3</f>
        <v>2Q13</v>
      </c>
      <c r="S106" s="124" t="str">
        <f>Macro!S$3</f>
        <v>3Q13</v>
      </c>
      <c r="T106" s="125" t="str">
        <f>Macro!T$3</f>
        <v>4Q13</v>
      </c>
      <c r="U106" s="126" t="str">
        <f>Macro!U$3</f>
        <v>2013</v>
      </c>
      <c r="V106" s="124" t="str">
        <f>Macro!V$3</f>
        <v>1Q14</v>
      </c>
      <c r="W106" s="124" t="str">
        <f>Macro!W$3</f>
        <v>2Q14</v>
      </c>
      <c r="X106" s="124" t="str">
        <f>Macro!X$3</f>
        <v>3Q14</v>
      </c>
      <c r="Y106" s="125" t="str">
        <f>Macro!Y$3</f>
        <v>4Q14</v>
      </c>
      <c r="Z106" s="126" t="str">
        <f>Macro!Z$3</f>
        <v>2014</v>
      </c>
      <c r="AA106" s="124" t="str">
        <f>Macro!AA$3</f>
        <v>1Q15</v>
      </c>
      <c r="AB106" s="124" t="str">
        <f>Macro!AB$3</f>
        <v>2Q15</v>
      </c>
      <c r="AC106" s="124" t="str">
        <f>Macro!AC$3</f>
        <v>3Q15</v>
      </c>
      <c r="AD106" s="125" t="str">
        <f>Macro!AD$3</f>
        <v>4Q15</v>
      </c>
      <c r="AE106" s="126" t="str">
        <f>Macro!AE$3</f>
        <v>2015</v>
      </c>
      <c r="AF106" s="124" t="str">
        <f>Macro!AF$3</f>
        <v>1Q16</v>
      </c>
      <c r="AG106" s="124" t="str">
        <f>Macro!AG$3</f>
        <v>2Q16</v>
      </c>
      <c r="AH106" s="124" t="str">
        <f>Macro!AH$3</f>
        <v>3Q16</v>
      </c>
      <c r="AI106" s="125" t="str">
        <f>Macro!AI$3</f>
        <v>4Q16</v>
      </c>
      <c r="AJ106" s="126" t="str">
        <f>Macro!AJ$3</f>
        <v>2016</v>
      </c>
      <c r="AK106" s="124" t="str">
        <f>Macro!AK$3</f>
        <v>1Q17</v>
      </c>
      <c r="AL106" s="124" t="str">
        <f>Macro!AL$3</f>
        <v>2Q17</v>
      </c>
      <c r="AM106" s="124" t="str">
        <f>Macro!AM$3</f>
        <v>3Q17</v>
      </c>
      <c r="AN106" s="125" t="str">
        <f>Macro!AN$3</f>
        <v>4Q17</v>
      </c>
      <c r="AO106" s="126" t="str">
        <f>Macro!AO$3</f>
        <v>2017</v>
      </c>
      <c r="AP106" s="124" t="str">
        <f>Macro!AP$3</f>
        <v>1Q18</v>
      </c>
      <c r="AQ106" s="124" t="str">
        <f>Macro!AQ$3</f>
        <v>2Q18</v>
      </c>
      <c r="AR106" s="124" t="str">
        <f>Macro!AR$3</f>
        <v>3Q18</v>
      </c>
      <c r="AS106" s="125" t="str">
        <f>Macro!AS$3</f>
        <v>4Q18</v>
      </c>
      <c r="AT106" s="126" t="str">
        <f>Macro!AT$3</f>
        <v>2018</v>
      </c>
      <c r="AU106" s="124" t="str">
        <f>Macro!AU$3</f>
        <v>1Q19</v>
      </c>
      <c r="AV106" s="124" t="str">
        <f>Macro!AV$3</f>
        <v>2Q19</v>
      </c>
      <c r="AW106" s="124" t="str">
        <f>Macro!AW$3</f>
        <v>3Q19</v>
      </c>
      <c r="AX106" s="125" t="str">
        <f>Macro!AX$3</f>
        <v>4Q19</v>
      </c>
      <c r="AY106" s="126" t="str">
        <f>Macro!AY$3</f>
        <v>2019</v>
      </c>
      <c r="AZ106" s="124" t="str">
        <f>Macro!AZ$3</f>
        <v>1Q20</v>
      </c>
      <c r="BA106" s="124" t="str">
        <f>Macro!BA$3</f>
        <v>2Q20</v>
      </c>
      <c r="BB106" s="124" t="str">
        <f>Macro!BB$3</f>
        <v>3Q20</v>
      </c>
      <c r="BC106" s="125" t="str">
        <f>Macro!BC$3</f>
        <v>4Q20</v>
      </c>
      <c r="BD106" s="126" t="str">
        <f>Macro!BD$3</f>
        <v>2020</v>
      </c>
      <c r="BE106" s="124" t="str">
        <f>Macro!BE$3</f>
        <v>1Q21</v>
      </c>
      <c r="BF106" s="124" t="str">
        <f>Macro!BF$3</f>
        <v>2Q21</v>
      </c>
      <c r="BG106" s="124" t="str">
        <f>Macro!BG$3</f>
        <v>3Q21</v>
      </c>
      <c r="BH106" s="125" t="str">
        <f>Macro!BH$3</f>
        <v>4Q21</v>
      </c>
      <c r="BI106" s="126" t="str">
        <f>Macro!BI$3</f>
        <v>2021</v>
      </c>
      <c r="BJ106" s="124" t="str">
        <f>Macro!BJ$3</f>
        <v>1Q22</v>
      </c>
      <c r="BK106" s="124" t="str">
        <f>Macro!BK$3</f>
        <v>2Q22</v>
      </c>
      <c r="BL106" s="124" t="str">
        <f>Macro!BL$3</f>
        <v>3Q22</v>
      </c>
      <c r="BM106" s="125" t="str">
        <f>Macro!BM$3</f>
        <v>4Q22</v>
      </c>
      <c r="BN106" s="126" t="str">
        <f>Macro!BN$3</f>
        <v>2022</v>
      </c>
      <c r="BO106" s="124" t="str">
        <f>Macro!BO$3</f>
        <v>1Q23</v>
      </c>
      <c r="BP106" s="124" t="str">
        <f>Macro!BP$3</f>
        <v>2Q23</v>
      </c>
      <c r="BQ106" s="124" t="str">
        <f>Macro!BQ$3</f>
        <v>3Q23</v>
      </c>
      <c r="BR106" s="125" t="str">
        <f>Macro!BR$3</f>
        <v>4Q23</v>
      </c>
      <c r="BS106" s="126" t="str">
        <f>Macro!BS$3</f>
        <v>2023</v>
      </c>
      <c r="BT106" s="124" t="str">
        <f>Macro!BT$3</f>
        <v>1Q24</v>
      </c>
      <c r="BU106" s="124" t="str">
        <f>Macro!BU$3</f>
        <v>2Q24</v>
      </c>
      <c r="BV106" s="124" t="str">
        <f>Macro!BV$3</f>
        <v>3Q24</v>
      </c>
      <c r="BW106" s="125" t="str">
        <f>Macro!BW$3</f>
        <v>4Q24</v>
      </c>
      <c r="BX106" s="126" t="str">
        <f>Macro!BX$3</f>
        <v>2024</v>
      </c>
      <c r="BY106" s="124" t="str">
        <f>Macro!BY$3</f>
        <v>1Q25</v>
      </c>
      <c r="BZ106" s="120" t="str">
        <f>Macro!BZ$3</f>
        <v>2Q25</v>
      </c>
      <c r="CA106" s="120" t="str">
        <f>Macro!CA$3</f>
        <v>3Q25</v>
      </c>
      <c r="CB106" s="120" t="str">
        <f>Macro!CB$3</f>
        <v>4Q25</v>
      </c>
      <c r="CC106" s="121" t="str">
        <f>Macro!CC$3</f>
        <v>2025</v>
      </c>
      <c r="CD106" s="120" t="str">
        <f>Macro!CD$3</f>
        <v>1Q26</v>
      </c>
      <c r="CE106" s="120" t="str">
        <f>Macro!CE$3</f>
        <v>2Q26E</v>
      </c>
      <c r="CF106" s="120" t="str">
        <f>Macro!CF$3</f>
        <v>3Q26E</v>
      </c>
      <c r="CG106" s="120" t="str">
        <f>Macro!CG$3</f>
        <v>4Q26E</v>
      </c>
      <c r="CH106" s="121" t="str">
        <f>Macro!CH$3</f>
        <v>2026E</v>
      </c>
      <c r="CI106" s="120" t="str">
        <f>Macro!CI$3</f>
        <v>1Q27E</v>
      </c>
      <c r="CJ106" s="120" t="str">
        <f>Macro!CJ$3</f>
        <v>2Q27E</v>
      </c>
      <c r="CK106" s="120" t="str">
        <f>Macro!CK$3</f>
        <v>3Q27E</v>
      </c>
      <c r="CL106" s="120" t="str">
        <f>Macro!CL$3</f>
        <v>4Q27E</v>
      </c>
      <c r="CM106" s="121" t="str">
        <f>Macro!CM$3</f>
        <v>2027E</v>
      </c>
      <c r="CN106" s="120" t="str">
        <f>Macro!CN$3</f>
        <v>1Q28E</v>
      </c>
      <c r="CO106" s="120" t="str">
        <f>Macro!CO$3</f>
        <v>2Q28E</v>
      </c>
      <c r="CP106" s="120" t="str">
        <f>Macro!CP$3</f>
        <v>3Q28E</v>
      </c>
      <c r="CQ106" s="120" t="str">
        <f>Macro!CQ$3</f>
        <v>4Q28E</v>
      </c>
      <c r="CR106" s="121" t="str">
        <f>Macro!CR$3</f>
        <v>2028E</v>
      </c>
      <c r="CS106" s="120" t="str">
        <f>Macro!CS$3</f>
        <v>1Q29E</v>
      </c>
      <c r="CT106" s="120" t="str">
        <f>Macro!CT$3</f>
        <v>2Q29E</v>
      </c>
      <c r="CU106" s="120" t="str">
        <f>Macro!CU$3</f>
        <v>3Q29E</v>
      </c>
      <c r="CV106" s="120" t="str">
        <f>Macro!CV$3</f>
        <v>4Q29E</v>
      </c>
      <c r="CW106" s="121" t="str">
        <f>Macro!CW$3</f>
        <v>2029E</v>
      </c>
      <c r="CX106" s="120" t="str">
        <f>Macro!CX$3</f>
        <v>1Q30E</v>
      </c>
      <c r="CY106" s="120" t="str">
        <f>Macro!CY$3</f>
        <v>2Q30E</v>
      </c>
      <c r="CZ106" s="120" t="str">
        <f>Macro!CZ$3</f>
        <v>3Q30E</v>
      </c>
      <c r="DA106" s="120" t="str">
        <f>Macro!DA$3</f>
        <v>4Q30E</v>
      </c>
      <c r="DB106" s="121" t="str">
        <f>Macro!DB$3</f>
        <v>2030E</v>
      </c>
    </row>
    <row r="107" spans="1:106" s="52" customFormat="1" ht="11.25" customHeight="1" thickTop="1" x14ac:dyDescent="0.35">
      <c r="A107" s="146" t="s">
        <v>269</v>
      </c>
      <c r="B107" s="639"/>
      <c r="C107" s="639"/>
      <c r="D107" s="639"/>
      <c r="E107" s="639"/>
      <c r="F107" s="640">
        <f t="shared" ref="F107" si="714">E107</f>
        <v>0</v>
      </c>
      <c r="G107" s="641"/>
      <c r="H107" s="641"/>
      <c r="I107" s="641"/>
      <c r="J107" s="641"/>
      <c r="K107" s="640">
        <f t="shared" ref="K107" si="715">J107</f>
        <v>0</v>
      </c>
      <c r="L107" s="641"/>
      <c r="M107" s="641"/>
      <c r="N107" s="641"/>
      <c r="O107" s="641"/>
      <c r="P107" s="640">
        <f t="shared" ref="P107" si="716">O107</f>
        <v>0</v>
      </c>
      <c r="Q107" s="641"/>
      <c r="R107" s="641"/>
      <c r="S107" s="641"/>
      <c r="T107" s="641"/>
      <c r="U107" s="640">
        <f t="shared" ref="U107" si="717">T107</f>
        <v>0</v>
      </c>
      <c r="V107" s="641"/>
      <c r="W107" s="641"/>
      <c r="X107" s="641"/>
      <c r="Y107" s="641"/>
      <c r="Z107" s="640">
        <f t="shared" ref="Z107" si="718">Y107</f>
        <v>0</v>
      </c>
      <c r="AA107" s="641"/>
      <c r="AB107" s="641"/>
      <c r="AC107" s="641"/>
      <c r="AD107" s="641"/>
      <c r="AE107" s="640">
        <f t="shared" ref="AE107:AE109" si="719">AD107</f>
        <v>0</v>
      </c>
      <c r="AF107" s="641"/>
      <c r="AG107" s="641"/>
      <c r="AH107" s="641"/>
      <c r="AI107" s="641"/>
      <c r="AJ107" s="640">
        <f>AI107</f>
        <v>0</v>
      </c>
      <c r="AK107" s="641"/>
      <c r="AL107" s="641"/>
      <c r="AM107" s="641"/>
      <c r="AN107" s="641"/>
      <c r="AO107" s="640">
        <f>AN107</f>
        <v>0</v>
      </c>
      <c r="AP107" s="641"/>
      <c r="AQ107" s="641"/>
      <c r="AR107" s="641"/>
      <c r="AS107" s="641"/>
      <c r="AT107" s="640">
        <f>AS107</f>
        <v>0</v>
      </c>
      <c r="AU107" s="641"/>
      <c r="AV107" s="641"/>
      <c r="AW107" s="641"/>
      <c r="AX107" s="641">
        <v>670419</v>
      </c>
      <c r="AY107" s="640">
        <f t="shared" ref="AY107:AY108" si="720">AX107</f>
        <v>670419</v>
      </c>
      <c r="AZ107" s="641">
        <v>641933</v>
      </c>
      <c r="BA107" s="641">
        <v>649571</v>
      </c>
      <c r="BB107" s="641">
        <v>726078</v>
      </c>
      <c r="BC107" s="641">
        <v>778550</v>
      </c>
      <c r="BD107" s="640">
        <f t="shared" ref="BD107:BD108" si="721">BC107</f>
        <v>778550</v>
      </c>
      <c r="BE107" s="641">
        <v>972631</v>
      </c>
      <c r="BF107" s="641">
        <v>1172291</v>
      </c>
      <c r="BG107" s="641">
        <v>1427093</v>
      </c>
      <c r="BH107" s="641">
        <v>1560016</v>
      </c>
      <c r="BI107" s="640">
        <f t="shared" ref="BI107:BI108" si="722">BH107</f>
        <v>1560016</v>
      </c>
      <c r="BJ107" s="641">
        <v>1826371</v>
      </c>
      <c r="BK107" s="641">
        <v>2064638</v>
      </c>
      <c r="BL107" s="641">
        <v>2322205</v>
      </c>
      <c r="BM107" s="641">
        <v>2454399</v>
      </c>
      <c r="BN107" s="640">
        <f t="shared" ref="BN107:BN108" si="723">BM107</f>
        <v>2454399</v>
      </c>
      <c r="BO107" s="641">
        <v>2914433</v>
      </c>
      <c r="BP107" s="641">
        <v>3245796</v>
      </c>
      <c r="BQ107" s="641">
        <v>3439133</v>
      </c>
      <c r="BR107" s="641">
        <v>3501917</v>
      </c>
      <c r="BS107" s="640">
        <f t="shared" ref="BS107:BS108" si="724">BR107</f>
        <v>3501917</v>
      </c>
      <c r="BT107" s="641">
        <v>4153406</v>
      </c>
      <c r="BU107" s="641">
        <v>4837930</v>
      </c>
      <c r="BV107" s="641">
        <v>5203643</v>
      </c>
      <c r="BW107" s="641">
        <v>5565297</v>
      </c>
      <c r="BX107" s="640">
        <f t="shared" ref="BX107:BX108" si="725">BW107</f>
        <v>5565297</v>
      </c>
      <c r="BY107" s="641">
        <v>6430448</v>
      </c>
      <c r="BZ107" s="641">
        <v>7284016</v>
      </c>
      <c r="CA107" s="641">
        <v>7701127</v>
      </c>
      <c r="CB107" s="641">
        <v>7802275</v>
      </c>
      <c r="CC107" s="640">
        <f>CB107</f>
        <v>7802275</v>
      </c>
      <c r="CD107" s="641">
        <v>8471900</v>
      </c>
      <c r="CE107" s="641">
        <v>8831273</v>
      </c>
      <c r="CF107" s="407">
        <f>CE107-Operating!CF39+CF112</f>
        <v>9280385.148059262</v>
      </c>
      <c r="CG107" s="407">
        <f>CF107-Operating!CG39+CG112</f>
        <v>9570379.4182503</v>
      </c>
      <c r="CH107" s="640">
        <f>CG107</f>
        <v>9570379.4182503</v>
      </c>
      <c r="CI107" s="407">
        <f>CH107-Operating!CI39+CI112</f>
        <v>10325680.132800439</v>
      </c>
      <c r="CJ107" s="407">
        <f>CI107-Operating!CJ39+CJ112</f>
        <v>10892683.976767618</v>
      </c>
      <c r="CK107" s="407">
        <f>CJ107-Operating!CK39+CK112</f>
        <v>11125080.444116147</v>
      </c>
      <c r="CL107" s="407">
        <f>CK107-Operating!CL39+CL112</f>
        <v>11336744.65989621</v>
      </c>
      <c r="CM107" s="640">
        <f>CL107</f>
        <v>11336744.65989621</v>
      </c>
      <c r="CN107" s="407">
        <f>CM107-Operating!CN39+CN112</f>
        <v>11926289.70600123</v>
      </c>
      <c r="CO107" s="407">
        <f>CN107-Operating!CO39+CO112</f>
        <v>12399838.399051344</v>
      </c>
      <c r="CP107" s="407">
        <f>CO107-Operating!CP39+CP112</f>
        <v>12526391.674072754</v>
      </c>
      <c r="CQ107" s="407">
        <f>CP107-Operating!CQ39+CQ112</f>
        <v>12584334.02644386</v>
      </c>
      <c r="CR107" s="640">
        <f>CQ107</f>
        <v>12584334.02644386</v>
      </c>
      <c r="CS107" s="407">
        <f>CR107-Operating!CS39+CS112</f>
        <v>13146071.355432589</v>
      </c>
      <c r="CT107" s="407">
        <f>CS107-Operating!CT39+CT112</f>
        <v>13579348.943333676</v>
      </c>
      <c r="CU107" s="407">
        <f>CT107-Operating!CU39+CU112</f>
        <v>13649853.284974895</v>
      </c>
      <c r="CV107" s="407">
        <f>CU107-Operating!CV39+CV112</f>
        <v>13650324.811803214</v>
      </c>
      <c r="CW107" s="640">
        <f>CV107</f>
        <v>13650324.811803214</v>
      </c>
      <c r="CX107" s="407">
        <f>CW107-Operating!CX39+CX112</f>
        <v>14177621.258485951</v>
      </c>
      <c r="CY107" s="407">
        <f>CX107-Operating!CY39+CY112</f>
        <v>14575431.855838079</v>
      </c>
      <c r="CZ107" s="407">
        <f>CY107-Operating!CZ39+CZ112</f>
        <v>14600542.138639357</v>
      </c>
      <c r="DA107" s="407">
        <f>CZ107-Operating!DA39+DA112</f>
        <v>14557276.435184371</v>
      </c>
      <c r="DB107" s="640">
        <f>DA107</f>
        <v>14557276.435184371</v>
      </c>
    </row>
    <row r="108" spans="1:106" s="52" customFormat="1" ht="11.25" customHeight="1" x14ac:dyDescent="0.35">
      <c r="A108" s="19" t="s">
        <v>326</v>
      </c>
      <c r="B108" s="68"/>
      <c r="C108" s="68"/>
      <c r="D108" s="68"/>
      <c r="E108" s="68"/>
      <c r="F108" s="20">
        <f t="shared" ref="F108" si="726">E108</f>
        <v>0</v>
      </c>
      <c r="G108" s="403"/>
      <c r="H108" s="403"/>
      <c r="I108" s="403"/>
      <c r="J108" s="403"/>
      <c r="K108" s="20">
        <f t="shared" ref="K108" si="727">J108</f>
        <v>0</v>
      </c>
      <c r="L108" s="403"/>
      <c r="M108" s="403"/>
      <c r="N108" s="403"/>
      <c r="O108" s="403"/>
      <c r="P108" s="20">
        <f t="shared" ref="P108" si="728">O108</f>
        <v>0</v>
      </c>
      <c r="Q108" s="403"/>
      <c r="R108" s="403"/>
      <c r="S108" s="403"/>
      <c r="T108" s="403"/>
      <c r="U108" s="20">
        <f t="shared" ref="U108" si="729">T108</f>
        <v>0</v>
      </c>
      <c r="V108" s="403"/>
      <c r="W108" s="403"/>
      <c r="X108" s="403"/>
      <c r="Y108" s="403"/>
      <c r="Z108" s="20">
        <f t="shared" ref="Z108" si="730">Y108</f>
        <v>0</v>
      </c>
      <c r="AA108" s="403"/>
      <c r="AB108" s="403"/>
      <c r="AC108" s="403"/>
      <c r="AD108" s="403"/>
      <c r="AE108" s="20">
        <f t="shared" si="719"/>
        <v>0</v>
      </c>
      <c r="AF108" s="403"/>
      <c r="AG108" s="403"/>
      <c r="AH108" s="403"/>
      <c r="AI108" s="403"/>
      <c r="AJ108" s="20">
        <f>AI108</f>
        <v>0</v>
      </c>
      <c r="AK108" s="403"/>
      <c r="AL108" s="403"/>
      <c r="AM108" s="403"/>
      <c r="AN108" s="403"/>
      <c r="AO108" s="20">
        <f>AN108</f>
        <v>0</v>
      </c>
      <c r="AP108" s="403"/>
      <c r="AQ108" s="403"/>
      <c r="AR108" s="403"/>
      <c r="AS108" s="403"/>
      <c r="AT108" s="20">
        <f>AS108</f>
        <v>0</v>
      </c>
      <c r="AU108" s="403"/>
      <c r="AV108" s="403"/>
      <c r="AW108" s="403"/>
      <c r="AX108" s="421">
        <v>-434256</v>
      </c>
      <c r="AY108" s="20">
        <f t="shared" si="720"/>
        <v>-434256</v>
      </c>
      <c r="AZ108" s="421">
        <v>-425573</v>
      </c>
      <c r="BA108" s="421">
        <v>-409471</v>
      </c>
      <c r="BB108" s="421">
        <v>-432510</v>
      </c>
      <c r="BC108" s="421">
        <v>-475106</v>
      </c>
      <c r="BD108" s="20">
        <f t="shared" si="721"/>
        <v>-475106</v>
      </c>
      <c r="BE108" s="421">
        <v>-608581</v>
      </c>
      <c r="BF108" s="421">
        <v>-735781</v>
      </c>
      <c r="BG108" s="421">
        <v>-872072</v>
      </c>
      <c r="BH108" s="421">
        <v>-949761</v>
      </c>
      <c r="BI108" s="20">
        <f t="shared" si="722"/>
        <v>-949761</v>
      </c>
      <c r="BJ108" s="421">
        <v>-1101334</v>
      </c>
      <c r="BK108" s="421">
        <v>-1227463</v>
      </c>
      <c r="BL108" s="421">
        <v>-1343940</v>
      </c>
      <c r="BM108" s="421">
        <v>-1426532</v>
      </c>
      <c r="BN108" s="20">
        <f t="shared" si="723"/>
        <v>-1426532</v>
      </c>
      <c r="BO108" s="421">
        <v>-1691437</v>
      </c>
      <c r="BP108" s="421">
        <v>-1885672</v>
      </c>
      <c r="BQ108" s="421">
        <v>-1996732</v>
      </c>
      <c r="BR108" s="421">
        <v>-2032161</v>
      </c>
      <c r="BS108" s="20">
        <f t="shared" si="724"/>
        <v>-2032161</v>
      </c>
      <c r="BT108" s="421">
        <v>-2404100</v>
      </c>
      <c r="BU108" s="421">
        <v>-2769753</v>
      </c>
      <c r="BV108" s="421">
        <v>-2950257</v>
      </c>
      <c r="BW108" s="421">
        <v>-3150416</v>
      </c>
      <c r="BX108" s="20">
        <f t="shared" si="725"/>
        <v>-3150416</v>
      </c>
      <c r="BY108" s="421">
        <v>-3656268</v>
      </c>
      <c r="BZ108" s="421">
        <v>-4123959</v>
      </c>
      <c r="CA108" s="421">
        <v>-4355125</v>
      </c>
      <c r="CB108" s="421">
        <v>-4420540</v>
      </c>
      <c r="CC108" s="20">
        <f>CB108</f>
        <v>-4420540</v>
      </c>
      <c r="CD108" s="421">
        <v>-4834309</v>
      </c>
      <c r="CE108" s="421">
        <v>-4988360</v>
      </c>
      <c r="CF108" s="409">
        <f>CE108+CF114+Operating!CF39*(1-IS!CF12)</f>
        <v>-5282014.2478803899</v>
      </c>
      <c r="CG108" s="409">
        <f>CF108+CG114+Operating!CG39*(1-IS!CG12)</f>
        <v>-5478267.6244956153</v>
      </c>
      <c r="CH108" s="20">
        <f>CG108</f>
        <v>-5478267.6244956153</v>
      </c>
      <c r="CI108" s="409">
        <f>CH108+CI114+Operating!CI39*(1-IS!CI12)</f>
        <v>-5949830.9443420945</v>
      </c>
      <c r="CJ108" s="409">
        <f>CI108+CJ114+Operating!CJ39*(1-IS!CJ12)</f>
        <v>-6311049.0353417229</v>
      </c>
      <c r="CK108" s="409">
        <f>CJ108+CK114+Operating!CK39*(1-IS!CK12)</f>
        <v>-6475375.3154211054</v>
      </c>
      <c r="CL108" s="409">
        <f>CK108+CL114+Operating!CL39*(1-IS!CL12)</f>
        <v>-6630015.0191565482</v>
      </c>
      <c r="CM108" s="20">
        <f>CL108</f>
        <v>-6630015.0191565482</v>
      </c>
      <c r="CN108" s="409">
        <f>CM108+CN114+Operating!CN39*(1-IS!CN12)</f>
        <v>-7007364.6625849484</v>
      </c>
      <c r="CO108" s="409">
        <f>CN108+CO114+Operating!CO39*(1-IS!CO12)</f>
        <v>-7312439.908978017</v>
      </c>
      <c r="CP108" s="409">
        <f>CO108+CP114+Operating!CP39*(1-IS!CP12)</f>
        <v>-7405318.2279242817</v>
      </c>
      <c r="CQ108" s="409">
        <f>CP108+CQ114+Operating!CQ39*(1-IS!CQ12)</f>
        <v>-7455873.2332271691</v>
      </c>
      <c r="CR108" s="20">
        <f>CQ108</f>
        <v>-7455873.2332271691</v>
      </c>
      <c r="CS108" s="409">
        <f>CR108+CS114+Operating!CS39*(1-IS!CS12)</f>
        <v>-7825847.3371827388</v>
      </c>
      <c r="CT108" s="409">
        <f>CS108+CT114+Operating!CT39*(1-IS!CT12)</f>
        <v>-8114426.61829824</v>
      </c>
      <c r="CU108" s="409">
        <f>CT108+CU114+Operating!CU39*(1-IS!CU12)</f>
        <v>-8177428.9681944996</v>
      </c>
      <c r="CV108" s="409">
        <f>CU108+CV114+Operating!CV39*(1-IS!CV12)</f>
        <v>-8196405.1522144889</v>
      </c>
      <c r="CW108" s="20">
        <f>CV108</f>
        <v>-8196405.1522144889</v>
      </c>
      <c r="CX108" s="409">
        <f>CW108+CX114+Operating!CX39*(1-IS!CX12)</f>
        <v>-8540294.3488974739</v>
      </c>
      <c r="CY108" s="409">
        <f>CX108+CY114+Operating!CY39*(1-IS!CY12)</f>
        <v>-8802505.1802616753</v>
      </c>
      <c r="CZ108" s="409">
        <f>CY108+CZ114+Operating!CZ39*(1-IS!CZ12)</f>
        <v>-8833085.0813703518</v>
      </c>
      <c r="DA108" s="409">
        <f>CZ108+DA114+Operating!DA39*(1-IS!DA12)</f>
        <v>-8820764.7852774151</v>
      </c>
      <c r="DB108" s="20">
        <f>DA108</f>
        <v>-8820764.7852774151</v>
      </c>
    </row>
    <row r="109" spans="1:106" s="56" customFormat="1" ht="11.25" customHeight="1" x14ac:dyDescent="0.35">
      <c r="A109" s="16" t="s">
        <v>327</v>
      </c>
      <c r="B109" s="147">
        <f t="shared" ref="B109:E109" si="731">B107+B108</f>
        <v>0</v>
      </c>
      <c r="C109" s="147">
        <f t="shared" si="731"/>
        <v>0</v>
      </c>
      <c r="D109" s="147">
        <f t="shared" si="731"/>
        <v>0</v>
      </c>
      <c r="E109" s="147">
        <f t="shared" si="731"/>
        <v>0</v>
      </c>
      <c r="F109" s="18">
        <f t="shared" ref="F109" si="732">E109</f>
        <v>0</v>
      </c>
      <c r="G109" s="147">
        <f t="shared" ref="G109:J109" si="733">G107+G108</f>
        <v>0</v>
      </c>
      <c r="H109" s="147">
        <f t="shared" si="733"/>
        <v>0</v>
      </c>
      <c r="I109" s="147">
        <f t="shared" si="733"/>
        <v>0</v>
      </c>
      <c r="J109" s="147">
        <f t="shared" si="733"/>
        <v>0</v>
      </c>
      <c r="K109" s="18">
        <f t="shared" ref="K109" si="734">J109</f>
        <v>0</v>
      </c>
      <c r="L109" s="147">
        <f t="shared" ref="L109:O109" si="735">L107+L108</f>
        <v>0</v>
      </c>
      <c r="M109" s="147">
        <f t="shared" si="735"/>
        <v>0</v>
      </c>
      <c r="N109" s="147">
        <f t="shared" si="735"/>
        <v>0</v>
      </c>
      <c r="O109" s="147">
        <f t="shared" si="735"/>
        <v>0</v>
      </c>
      <c r="P109" s="18">
        <f t="shared" ref="P109" si="736">O109</f>
        <v>0</v>
      </c>
      <c r="Q109" s="147">
        <f t="shared" ref="Q109:T109" si="737">Q107+Q108</f>
        <v>0</v>
      </c>
      <c r="R109" s="147">
        <f t="shared" si="737"/>
        <v>0</v>
      </c>
      <c r="S109" s="147">
        <f t="shared" si="737"/>
        <v>0</v>
      </c>
      <c r="T109" s="147">
        <f t="shared" si="737"/>
        <v>0</v>
      </c>
      <c r="U109" s="18">
        <f t="shared" ref="U109" si="738">T109</f>
        <v>0</v>
      </c>
      <c r="V109" s="147">
        <f t="shared" ref="V109:Y109" si="739">V107+V108</f>
        <v>0</v>
      </c>
      <c r="W109" s="147">
        <f t="shared" si="739"/>
        <v>0</v>
      </c>
      <c r="X109" s="147">
        <f t="shared" si="739"/>
        <v>0</v>
      </c>
      <c r="Y109" s="147">
        <f t="shared" si="739"/>
        <v>0</v>
      </c>
      <c r="Z109" s="18">
        <f t="shared" ref="Z109" si="740">Y109</f>
        <v>0</v>
      </c>
      <c r="AA109" s="147">
        <f t="shared" ref="AA109:AD109" si="741">AA107+AA108</f>
        <v>0</v>
      </c>
      <c r="AB109" s="147">
        <f t="shared" si="741"/>
        <v>0</v>
      </c>
      <c r="AC109" s="147">
        <f t="shared" si="741"/>
        <v>0</v>
      </c>
      <c r="AD109" s="147">
        <f t="shared" si="741"/>
        <v>0</v>
      </c>
      <c r="AE109" s="18">
        <f t="shared" si="719"/>
        <v>0</v>
      </c>
      <c r="AF109" s="147">
        <f>AF107+AF108</f>
        <v>0</v>
      </c>
      <c r="AG109" s="147">
        <f>AG107+AG108</f>
        <v>0</v>
      </c>
      <c r="AH109" s="147">
        <f>AH107+AH108</f>
        <v>0</v>
      </c>
      <c r="AI109" s="147">
        <f>AI107+AI108</f>
        <v>0</v>
      </c>
      <c r="AJ109" s="18">
        <f>AI109</f>
        <v>0</v>
      </c>
      <c r="AK109" s="147">
        <f>AK107+AK108</f>
        <v>0</v>
      </c>
      <c r="AL109" s="147">
        <f>AL107+AL108</f>
        <v>0</v>
      </c>
      <c r="AM109" s="147">
        <f>AM107+AM108</f>
        <v>0</v>
      </c>
      <c r="AN109" s="147">
        <f>AN107+AN108</f>
        <v>0</v>
      </c>
      <c r="AO109" s="18">
        <f>AN109</f>
        <v>0</v>
      </c>
      <c r="AP109" s="147">
        <f>AP107+AP108</f>
        <v>0</v>
      </c>
      <c r="AQ109" s="147">
        <f>AQ107+AQ108</f>
        <v>0</v>
      </c>
      <c r="AR109" s="147">
        <f>AR107+AR108</f>
        <v>0</v>
      </c>
      <c r="AS109" s="147">
        <f>AS107+AS108</f>
        <v>0</v>
      </c>
      <c r="AT109" s="18">
        <f>AS109</f>
        <v>0</v>
      </c>
      <c r="AU109" s="147">
        <f>AU107+AU108</f>
        <v>0</v>
      </c>
      <c r="AV109" s="147">
        <f>AV107+AV108</f>
        <v>0</v>
      </c>
      <c r="AW109" s="147">
        <f>AW107+AW108</f>
        <v>0</v>
      </c>
      <c r="AX109" s="147">
        <f>AX107+AX108</f>
        <v>236163</v>
      </c>
      <c r="AY109" s="18">
        <f>AX109</f>
        <v>236163</v>
      </c>
      <c r="AZ109" s="147">
        <f>AZ107+AZ108</f>
        <v>216360</v>
      </c>
      <c r="BA109" s="147">
        <f>BA107+BA108</f>
        <v>240100</v>
      </c>
      <c r="BB109" s="147">
        <f>BB107+BB108</f>
        <v>293568</v>
      </c>
      <c r="BC109" s="147">
        <f>BC107+BC108</f>
        <v>303444</v>
      </c>
      <c r="BD109" s="18">
        <f>BC109</f>
        <v>303444</v>
      </c>
      <c r="BE109" s="147">
        <f>BE107+BE108</f>
        <v>364050</v>
      </c>
      <c r="BF109" s="147">
        <f>BF107+BF108</f>
        <v>436510</v>
      </c>
      <c r="BG109" s="147">
        <f>BG107+BG108</f>
        <v>555021</v>
      </c>
      <c r="BH109" s="147">
        <f>BH107+BH108</f>
        <v>610255</v>
      </c>
      <c r="BI109" s="18">
        <f>BH109</f>
        <v>610255</v>
      </c>
      <c r="BJ109" s="147">
        <f>BJ107+BJ108</f>
        <v>725037</v>
      </c>
      <c r="BK109" s="147">
        <f>BK107+BK108</f>
        <v>837175</v>
      </c>
      <c r="BL109" s="147">
        <f>BL107+BL108</f>
        <v>978265</v>
      </c>
      <c r="BM109" s="147">
        <f>BM107+BM108</f>
        <v>1027867</v>
      </c>
      <c r="BN109" s="18">
        <f>BM109</f>
        <v>1027867</v>
      </c>
      <c r="BO109" s="147">
        <f>BO107+BO108</f>
        <v>1222996</v>
      </c>
      <c r="BP109" s="147">
        <f>BP107+BP108</f>
        <v>1360124</v>
      </c>
      <c r="BQ109" s="147">
        <f>BQ107+BQ108</f>
        <v>1442401</v>
      </c>
      <c r="BR109" s="147">
        <f>BR107+BR108</f>
        <v>1469756</v>
      </c>
      <c r="BS109" s="18">
        <f>BR109</f>
        <v>1469756</v>
      </c>
      <c r="BT109" s="147">
        <f>BT107+BT108</f>
        <v>1749306</v>
      </c>
      <c r="BU109" s="147">
        <f>BU107+BU108</f>
        <v>2068177</v>
      </c>
      <c r="BV109" s="147">
        <f>BV107+BV108</f>
        <v>2253386</v>
      </c>
      <c r="BW109" s="147">
        <f>BW107+BW108</f>
        <v>2414881</v>
      </c>
      <c r="BX109" s="18">
        <f>BW109</f>
        <v>2414881</v>
      </c>
      <c r="BY109" s="147">
        <f>BY107+BY108</f>
        <v>2774180</v>
      </c>
      <c r="BZ109" s="147">
        <f>BZ107+BZ108</f>
        <v>3160057</v>
      </c>
      <c r="CA109" s="147">
        <f>CA107+CA108</f>
        <v>3346002</v>
      </c>
      <c r="CB109" s="147">
        <f>CB107+CB108</f>
        <v>3381735</v>
      </c>
      <c r="CC109" s="18">
        <f>CB109</f>
        <v>3381735</v>
      </c>
      <c r="CD109" s="147">
        <f>CD107+CD108</f>
        <v>3637591</v>
      </c>
      <c r="CE109" s="147">
        <f>CE107+CE108</f>
        <v>3842913</v>
      </c>
      <c r="CF109" s="147">
        <f>CF107+CF108</f>
        <v>3998370.900178872</v>
      </c>
      <c r="CG109" s="147">
        <f>CG107+CG108</f>
        <v>4092111.7937546847</v>
      </c>
      <c r="CH109" s="18">
        <f>CG109</f>
        <v>4092111.7937546847</v>
      </c>
      <c r="CI109" s="147">
        <f>CI107+CI108</f>
        <v>4375849.1884583449</v>
      </c>
      <c r="CJ109" s="147">
        <f>CJ107+CJ108</f>
        <v>4581634.9414258953</v>
      </c>
      <c r="CK109" s="147">
        <f>CK107+CK108</f>
        <v>4649705.1286950419</v>
      </c>
      <c r="CL109" s="147">
        <f>CL107+CL108</f>
        <v>4706729.6407396616</v>
      </c>
      <c r="CM109" s="18">
        <f>CL109</f>
        <v>4706729.6407396616</v>
      </c>
      <c r="CN109" s="147">
        <f>CN107+CN108</f>
        <v>4918925.0434162812</v>
      </c>
      <c r="CO109" s="147">
        <f>CO107+CO108</f>
        <v>5087398.490073327</v>
      </c>
      <c r="CP109" s="147">
        <f>CP107+CP108</f>
        <v>5121073.4461484719</v>
      </c>
      <c r="CQ109" s="147">
        <f>CQ107+CQ108</f>
        <v>5128460.7932166904</v>
      </c>
      <c r="CR109" s="18">
        <f>CQ109</f>
        <v>5128460.7932166904</v>
      </c>
      <c r="CS109" s="147">
        <f>CS107+CS108</f>
        <v>5320224.0182498498</v>
      </c>
      <c r="CT109" s="147">
        <f>CT107+CT108</f>
        <v>5464922.3250354361</v>
      </c>
      <c r="CU109" s="147">
        <f>CU107+CU108</f>
        <v>5472424.3167803958</v>
      </c>
      <c r="CV109" s="147">
        <f>CV107+CV108</f>
        <v>5453919.6595887253</v>
      </c>
      <c r="CW109" s="18">
        <f>CV109</f>
        <v>5453919.6595887253</v>
      </c>
      <c r="CX109" s="147">
        <f>CX107+CX108</f>
        <v>5637326.9095884766</v>
      </c>
      <c r="CY109" s="147">
        <f>CY107+CY108</f>
        <v>5772926.6755764037</v>
      </c>
      <c r="CZ109" s="147">
        <f>CZ107+CZ108</f>
        <v>5767457.0572690051</v>
      </c>
      <c r="DA109" s="147">
        <f>DA107+DA108</f>
        <v>5736511.6499069557</v>
      </c>
      <c r="DB109" s="18">
        <f>DA109</f>
        <v>5736511.6499069557</v>
      </c>
    </row>
    <row r="110" spans="1:106" s="56" customFormat="1" ht="11.25" customHeight="1" x14ac:dyDescent="0.35">
      <c r="A110" s="157" t="s">
        <v>328</v>
      </c>
      <c r="B110" s="217" t="e">
        <f t="shared" ref="B110:AE110" si="742">(B109)/B107</f>
        <v>#DIV/0!</v>
      </c>
      <c r="C110" s="217" t="e">
        <f t="shared" si="742"/>
        <v>#DIV/0!</v>
      </c>
      <c r="D110" s="217" t="e">
        <f t="shared" si="742"/>
        <v>#DIV/0!</v>
      </c>
      <c r="E110" s="217" t="e">
        <f t="shared" si="742"/>
        <v>#DIV/0!</v>
      </c>
      <c r="F110" s="218" t="e">
        <f t="shared" si="742"/>
        <v>#DIV/0!</v>
      </c>
      <c r="G110" s="217" t="e">
        <f t="shared" si="742"/>
        <v>#DIV/0!</v>
      </c>
      <c r="H110" s="217" t="e">
        <f t="shared" si="742"/>
        <v>#DIV/0!</v>
      </c>
      <c r="I110" s="217" t="e">
        <f t="shared" si="742"/>
        <v>#DIV/0!</v>
      </c>
      <c r="J110" s="217" t="e">
        <f t="shared" si="742"/>
        <v>#DIV/0!</v>
      </c>
      <c r="K110" s="218" t="e">
        <f t="shared" si="742"/>
        <v>#DIV/0!</v>
      </c>
      <c r="L110" s="217" t="e">
        <f t="shared" si="742"/>
        <v>#DIV/0!</v>
      </c>
      <c r="M110" s="217" t="e">
        <f t="shared" si="742"/>
        <v>#DIV/0!</v>
      </c>
      <c r="N110" s="217" t="e">
        <f t="shared" si="742"/>
        <v>#DIV/0!</v>
      </c>
      <c r="O110" s="217" t="e">
        <f t="shared" si="742"/>
        <v>#DIV/0!</v>
      </c>
      <c r="P110" s="218" t="e">
        <f t="shared" si="742"/>
        <v>#DIV/0!</v>
      </c>
      <c r="Q110" s="217" t="e">
        <f t="shared" si="742"/>
        <v>#DIV/0!</v>
      </c>
      <c r="R110" s="217" t="e">
        <f t="shared" si="742"/>
        <v>#DIV/0!</v>
      </c>
      <c r="S110" s="217" t="e">
        <f t="shared" si="742"/>
        <v>#DIV/0!</v>
      </c>
      <c r="T110" s="217" t="e">
        <f t="shared" si="742"/>
        <v>#DIV/0!</v>
      </c>
      <c r="U110" s="218" t="e">
        <f t="shared" si="742"/>
        <v>#DIV/0!</v>
      </c>
      <c r="V110" s="217" t="e">
        <f t="shared" si="742"/>
        <v>#DIV/0!</v>
      </c>
      <c r="W110" s="217" t="e">
        <f t="shared" si="742"/>
        <v>#DIV/0!</v>
      </c>
      <c r="X110" s="217" t="e">
        <f t="shared" si="742"/>
        <v>#DIV/0!</v>
      </c>
      <c r="Y110" s="217" t="e">
        <f t="shared" si="742"/>
        <v>#DIV/0!</v>
      </c>
      <c r="Z110" s="218" t="e">
        <f t="shared" si="742"/>
        <v>#DIV/0!</v>
      </c>
      <c r="AA110" s="217" t="e">
        <f t="shared" si="742"/>
        <v>#DIV/0!</v>
      </c>
      <c r="AB110" s="217" t="e">
        <f t="shared" si="742"/>
        <v>#DIV/0!</v>
      </c>
      <c r="AC110" s="217" t="e">
        <f t="shared" si="742"/>
        <v>#DIV/0!</v>
      </c>
      <c r="AD110" s="217" t="e">
        <f t="shared" si="742"/>
        <v>#DIV/0!</v>
      </c>
      <c r="AE110" s="218" t="e">
        <f t="shared" si="742"/>
        <v>#DIV/0!</v>
      </c>
      <c r="AF110" s="217" t="e">
        <f t="shared" ref="AF110:AG110" si="743">(AF109)/AF107</f>
        <v>#DIV/0!</v>
      </c>
      <c r="AG110" s="217" t="e">
        <f t="shared" si="743"/>
        <v>#DIV/0!</v>
      </c>
      <c r="AH110" s="217" t="e">
        <f t="shared" ref="AH110:BM110" si="744">(AH109)/AH107</f>
        <v>#DIV/0!</v>
      </c>
      <c r="AI110" s="217" t="e">
        <f t="shared" si="744"/>
        <v>#DIV/0!</v>
      </c>
      <c r="AJ110" s="218" t="e">
        <f t="shared" si="744"/>
        <v>#DIV/0!</v>
      </c>
      <c r="AK110" s="217" t="e">
        <f t="shared" si="744"/>
        <v>#DIV/0!</v>
      </c>
      <c r="AL110" s="217" t="e">
        <f t="shared" si="744"/>
        <v>#DIV/0!</v>
      </c>
      <c r="AM110" s="217" t="e">
        <f t="shared" si="744"/>
        <v>#DIV/0!</v>
      </c>
      <c r="AN110" s="217" t="e">
        <f t="shared" si="744"/>
        <v>#DIV/0!</v>
      </c>
      <c r="AO110" s="218" t="e">
        <f t="shared" si="744"/>
        <v>#DIV/0!</v>
      </c>
      <c r="AP110" s="217" t="e">
        <f t="shared" si="744"/>
        <v>#DIV/0!</v>
      </c>
      <c r="AQ110" s="217" t="e">
        <f t="shared" si="744"/>
        <v>#DIV/0!</v>
      </c>
      <c r="AR110" s="217" t="e">
        <f t="shared" si="744"/>
        <v>#DIV/0!</v>
      </c>
      <c r="AS110" s="217" t="e">
        <f t="shared" si="744"/>
        <v>#DIV/0!</v>
      </c>
      <c r="AT110" s="218" t="e">
        <f t="shared" si="744"/>
        <v>#DIV/0!</v>
      </c>
      <c r="AU110" s="217" t="e">
        <f t="shared" si="744"/>
        <v>#DIV/0!</v>
      </c>
      <c r="AV110" s="217" t="e">
        <f t="shared" si="744"/>
        <v>#DIV/0!</v>
      </c>
      <c r="AW110" s="217" t="e">
        <f t="shared" si="744"/>
        <v>#DIV/0!</v>
      </c>
      <c r="AX110" s="217">
        <f t="shared" si="744"/>
        <v>0.35226179448971462</v>
      </c>
      <c r="AY110" s="218">
        <f t="shared" si="744"/>
        <v>0.35226179448971462</v>
      </c>
      <c r="AZ110" s="217">
        <f t="shared" si="744"/>
        <v>0.33704452022251541</v>
      </c>
      <c r="BA110" s="217">
        <f t="shared" si="744"/>
        <v>0.36962857024097445</v>
      </c>
      <c r="BB110" s="217">
        <f t="shared" si="744"/>
        <v>0.4043201970036277</v>
      </c>
      <c r="BC110" s="217">
        <f t="shared" si="744"/>
        <v>0.38975531436645044</v>
      </c>
      <c r="BD110" s="218">
        <f t="shared" si="744"/>
        <v>0.38975531436645044</v>
      </c>
      <c r="BE110" s="217">
        <f t="shared" si="744"/>
        <v>0.37429405396291093</v>
      </c>
      <c r="BF110" s="217">
        <f t="shared" si="744"/>
        <v>0.37235635179319809</v>
      </c>
      <c r="BG110" s="217">
        <f t="shared" si="744"/>
        <v>0.38891719040034534</v>
      </c>
      <c r="BH110" s="217">
        <f t="shared" si="744"/>
        <v>0.39118509040932914</v>
      </c>
      <c r="BI110" s="218">
        <f t="shared" si="744"/>
        <v>0.39118509040932914</v>
      </c>
      <c r="BJ110" s="217">
        <f t="shared" si="744"/>
        <v>0.39698232177361553</v>
      </c>
      <c r="BK110" s="217">
        <f t="shared" si="744"/>
        <v>0.40548270447410151</v>
      </c>
      <c r="BL110" s="217">
        <f t="shared" si="744"/>
        <v>0.42126556440968821</v>
      </c>
      <c r="BM110" s="217">
        <f t="shared" si="744"/>
        <v>0.41878561717145418</v>
      </c>
      <c r="BN110" s="218">
        <f t="shared" ref="BN110:CS110" si="745">(BN109)/BN107</f>
        <v>0.41878561717145418</v>
      </c>
      <c r="BO110" s="217">
        <f t="shared" si="745"/>
        <v>0.41963428220858051</v>
      </c>
      <c r="BP110" s="217">
        <f t="shared" si="745"/>
        <v>0.41904173891396751</v>
      </c>
      <c r="BQ110" s="217">
        <f t="shared" si="745"/>
        <v>0.41940832180668791</v>
      </c>
      <c r="BR110" s="217">
        <f t="shared" si="745"/>
        <v>0.41970040980411588</v>
      </c>
      <c r="BS110" s="218">
        <f t="shared" si="745"/>
        <v>0.41970040980411588</v>
      </c>
      <c r="BT110" s="217">
        <f t="shared" si="745"/>
        <v>0.42117385105140215</v>
      </c>
      <c r="BU110" s="217">
        <f t="shared" si="745"/>
        <v>0.42749212989853097</v>
      </c>
      <c r="BV110" s="217">
        <f t="shared" si="745"/>
        <v>0.43304008364908969</v>
      </c>
      <c r="BW110" s="217">
        <f t="shared" si="745"/>
        <v>0.43391772263007705</v>
      </c>
      <c r="BX110" s="218">
        <f t="shared" si="745"/>
        <v>0.43391772263007705</v>
      </c>
      <c r="BY110" s="217">
        <f t="shared" si="745"/>
        <v>0.43141317681132013</v>
      </c>
      <c r="BZ110" s="217">
        <f t="shared" ref="BZ110:CB110" si="746">(BZ109)/BZ107</f>
        <v>0.43383443968272445</v>
      </c>
      <c r="CA110" s="217">
        <f t="shared" si="746"/>
        <v>0.43448212190241764</v>
      </c>
      <c r="CB110" s="217">
        <f t="shared" si="746"/>
        <v>0.43342935233633778</v>
      </c>
      <c r="CC110" s="218">
        <f t="shared" si="745"/>
        <v>0.43342935233633778</v>
      </c>
      <c r="CD110" s="217">
        <f t="shared" ref="CD110:CE110" si="747">(CD109)/CD107</f>
        <v>0.42937133346710893</v>
      </c>
      <c r="CE110" s="217">
        <f t="shared" si="747"/>
        <v>0.43514825099393939</v>
      </c>
      <c r="CF110" s="217">
        <f t="shared" si="745"/>
        <v>0.43084105200256928</v>
      </c>
      <c r="CG110" s="217">
        <f t="shared" si="745"/>
        <v>0.4275809364413708</v>
      </c>
      <c r="CH110" s="218">
        <f t="shared" si="745"/>
        <v>0.4275809364413708</v>
      </c>
      <c r="CI110" s="217">
        <f t="shared" si="745"/>
        <v>0.42378314379099075</v>
      </c>
      <c r="CJ110" s="217">
        <f t="shared" si="745"/>
        <v>0.42061579599645066</v>
      </c>
      <c r="CK110" s="217">
        <f t="shared" si="745"/>
        <v>0.41794800065056487</v>
      </c>
      <c r="CL110" s="217">
        <f t="shared" si="745"/>
        <v>0.41517470684417379</v>
      </c>
      <c r="CM110" s="218">
        <f t="shared" si="745"/>
        <v>0.41517470684417379</v>
      </c>
      <c r="CN110" s="217">
        <f t="shared" si="745"/>
        <v>0.41244386684159706</v>
      </c>
      <c r="CO110" s="217">
        <f t="shared" si="745"/>
        <v>0.410279418678758</v>
      </c>
      <c r="CP110" s="217">
        <f t="shared" si="745"/>
        <v>0.40882271442526574</v>
      </c>
      <c r="CQ110" s="217">
        <f t="shared" si="745"/>
        <v>0.40752738940655053</v>
      </c>
      <c r="CR110" s="218">
        <f t="shared" si="745"/>
        <v>0.40752738940655053</v>
      </c>
      <c r="CS110" s="217">
        <f t="shared" si="745"/>
        <v>0.40470068010480392</v>
      </c>
      <c r="CT110" s="217">
        <f t="shared" ref="CT110:DB110" si="748">(CT109)/CT107</f>
        <v>0.40244361845626297</v>
      </c>
      <c r="CU110" s="217">
        <f t="shared" si="748"/>
        <v>0.40091451552846935</v>
      </c>
      <c r="CV110" s="217">
        <f t="shared" si="748"/>
        <v>0.39954504634738136</v>
      </c>
      <c r="CW110" s="218">
        <f t="shared" si="748"/>
        <v>0.39954504634738136</v>
      </c>
      <c r="CX110" s="217">
        <f t="shared" si="748"/>
        <v>0.39762149142009845</v>
      </c>
      <c r="CY110" s="217">
        <f t="shared" si="748"/>
        <v>0.39607242740214943</v>
      </c>
      <c r="CZ110" s="217">
        <f t="shared" si="748"/>
        <v>0.3950166372251217</v>
      </c>
      <c r="DA110" s="217">
        <f t="shared" si="748"/>
        <v>0.39406489774708336</v>
      </c>
      <c r="DB110" s="218">
        <f t="shared" si="748"/>
        <v>0.39406489774708336</v>
      </c>
    </row>
    <row r="111" spans="1:106" s="52" customFormat="1" ht="11.25" customHeight="1" outlineLevel="1" x14ac:dyDescent="0.35">
      <c r="A111" s="19" t="s">
        <v>329</v>
      </c>
      <c r="B111" s="409" t="e">
        <f>A107-Operating!B39</f>
        <v>#VALUE!</v>
      </c>
      <c r="C111" s="409">
        <f>B107-Operating!C39</f>
        <v>0</v>
      </c>
      <c r="D111" s="409">
        <f>C107-Operating!D39</f>
        <v>0</v>
      </c>
      <c r="E111" s="409">
        <f>D107-Operating!E39</f>
        <v>0</v>
      </c>
      <c r="F111" s="28">
        <f t="shared" ref="F111" si="749">E111</f>
        <v>0</v>
      </c>
      <c r="G111" s="409">
        <f>F107-Operating!G39</f>
        <v>0</v>
      </c>
      <c r="H111" s="409">
        <f>G107-Operating!H39</f>
        <v>0</v>
      </c>
      <c r="I111" s="409">
        <f>H107-Operating!I39</f>
        <v>0</v>
      </c>
      <c r="J111" s="409">
        <f>I107-Operating!J39</f>
        <v>0</v>
      </c>
      <c r="K111" s="28">
        <f t="shared" ref="K111" si="750">J111</f>
        <v>0</v>
      </c>
      <c r="L111" s="409">
        <f>K107-Operating!L39</f>
        <v>0</v>
      </c>
      <c r="M111" s="409">
        <f>L107-Operating!M39</f>
        <v>0</v>
      </c>
      <c r="N111" s="409">
        <f>M107-Operating!N39</f>
        <v>0</v>
      </c>
      <c r="O111" s="409">
        <f>N107-Operating!O39</f>
        <v>0</v>
      </c>
      <c r="P111" s="28">
        <f t="shared" ref="P111" si="751">O111</f>
        <v>0</v>
      </c>
      <c r="Q111" s="409">
        <f>P107-Operating!Q39</f>
        <v>0</v>
      </c>
      <c r="R111" s="409">
        <f>Q107-Operating!R39</f>
        <v>0</v>
      </c>
      <c r="S111" s="409">
        <f>R107-Operating!S39</f>
        <v>0</v>
      </c>
      <c r="T111" s="409">
        <f>S107-Operating!T39</f>
        <v>0</v>
      </c>
      <c r="U111" s="28">
        <f t="shared" ref="U111" si="752">T111</f>
        <v>0</v>
      </c>
      <c r="V111" s="409">
        <f>U107-Operating!V39</f>
        <v>0</v>
      </c>
      <c r="W111" s="409">
        <f>V107-Operating!W39</f>
        <v>0</v>
      </c>
      <c r="X111" s="409">
        <f>W107-Operating!X39</f>
        <v>0</v>
      </c>
      <c r="Y111" s="409">
        <f>X107-Operating!Y39</f>
        <v>0</v>
      </c>
      <c r="Z111" s="28">
        <f t="shared" ref="Z111" si="753">Y111</f>
        <v>0</v>
      </c>
      <c r="AA111" s="409">
        <f>Z107-Operating!AA39</f>
        <v>0</v>
      </c>
      <c r="AB111" s="409">
        <f>AA107-Operating!AB39</f>
        <v>0</v>
      </c>
      <c r="AC111" s="409">
        <f>AB107-Operating!AC39</f>
        <v>0</v>
      </c>
      <c r="AD111" s="409">
        <f>AC107-Operating!AD39</f>
        <v>0</v>
      </c>
      <c r="AE111" s="28">
        <f t="shared" ref="AE111" si="754">AD111</f>
        <v>0</v>
      </c>
      <c r="AF111" s="409">
        <f>AE107-Operating!AF39</f>
        <v>0</v>
      </c>
      <c r="AG111" s="409">
        <f>AF107-Operating!AG39</f>
        <v>0</v>
      </c>
      <c r="AH111" s="409">
        <f>AG107-Operating!AH39</f>
        <v>0</v>
      </c>
      <c r="AI111" s="409">
        <f>AH107-Operating!AI39</f>
        <v>0</v>
      </c>
      <c r="AJ111" s="28">
        <f>AI111</f>
        <v>0</v>
      </c>
      <c r="AK111" s="409">
        <f>AJ107-Operating!AK39</f>
        <v>0</v>
      </c>
      <c r="AL111" s="409">
        <f>AK107-Operating!AL39</f>
        <v>0</v>
      </c>
      <c r="AM111" s="409">
        <f>AL107-Operating!AM39</f>
        <v>0</v>
      </c>
      <c r="AN111" s="409">
        <f>AM107-Operating!AN39</f>
        <v>0</v>
      </c>
      <c r="AO111" s="28">
        <f>AN111</f>
        <v>0</v>
      </c>
      <c r="AP111" s="409">
        <f>AO107-Operating!AP39</f>
        <v>0</v>
      </c>
      <c r="AQ111" s="409">
        <f>AP107-Operating!AQ39</f>
        <v>0</v>
      </c>
      <c r="AR111" s="409">
        <f>AQ107-Operating!AR39</f>
        <v>0</v>
      </c>
      <c r="AS111" s="409">
        <f>AR107-Operating!AS39</f>
        <v>0</v>
      </c>
      <c r="AT111" s="28">
        <f>AS111</f>
        <v>0</v>
      </c>
      <c r="AU111" s="409">
        <f>AT107-Operating!AU39</f>
        <v>0</v>
      </c>
      <c r="AV111" s="409">
        <f>AU107-Operating!AV39</f>
        <v>0</v>
      </c>
      <c r="AW111" s="409">
        <f>AV107-Operating!AW39</f>
        <v>0</v>
      </c>
      <c r="AX111" s="409">
        <f>AW107-Operating!AX39</f>
        <v>0</v>
      </c>
      <c r="AY111" s="28">
        <f>AX111</f>
        <v>0</v>
      </c>
      <c r="AZ111" s="409">
        <f>AY107-Operating!AZ39</f>
        <v>569856.15</v>
      </c>
      <c r="BA111" s="409">
        <f>AZ107-Operating!BA39</f>
        <v>545643.05000000005</v>
      </c>
      <c r="BB111" s="409">
        <f>BA107-Operating!BB39</f>
        <v>552135.35</v>
      </c>
      <c r="BC111" s="409">
        <f>BB107-Operating!BC39</f>
        <v>617166.30000000005</v>
      </c>
      <c r="BD111" s="28">
        <f>BC111</f>
        <v>617166.30000000005</v>
      </c>
      <c r="BE111" s="409">
        <f>BD107-Operating!BE39</f>
        <v>661767.5</v>
      </c>
      <c r="BF111" s="409">
        <f>BE107-Operating!BF39</f>
        <v>826736.35</v>
      </c>
      <c r="BG111" s="409">
        <f>BF107-Operating!BG39</f>
        <v>996447.35</v>
      </c>
      <c r="BH111" s="409">
        <f>BG107-Operating!BH39</f>
        <v>1213029.05</v>
      </c>
      <c r="BI111" s="28">
        <f>BH111</f>
        <v>1213029.05</v>
      </c>
      <c r="BJ111" s="409">
        <f>BI107-Operating!BJ39</f>
        <v>1326013.6000000001</v>
      </c>
      <c r="BK111" s="409">
        <f>BJ107-Operating!BK39</f>
        <v>1552415.35</v>
      </c>
      <c r="BL111" s="409">
        <f>BK107-Operating!BL39</f>
        <v>1754942.3</v>
      </c>
      <c r="BM111" s="409">
        <f>BL107-Operating!BM39</f>
        <v>1973874.25</v>
      </c>
      <c r="BN111" s="28">
        <f>BM111</f>
        <v>1973874.25</v>
      </c>
      <c r="BO111" s="409">
        <f>BN107-Operating!BO39</f>
        <v>2147599.125</v>
      </c>
      <c r="BP111" s="409">
        <f>BO107-Operating!BP39</f>
        <v>2550128.875</v>
      </c>
      <c r="BQ111" s="409">
        <f>BP107-Operating!BQ39</f>
        <v>2840071.5</v>
      </c>
      <c r="BR111" s="409">
        <f>BQ107-Operating!BR39</f>
        <v>3009241.375</v>
      </c>
      <c r="BS111" s="28">
        <f>BR111</f>
        <v>3009241.375</v>
      </c>
      <c r="BT111" s="409">
        <f>BS107-Operating!BT39</f>
        <v>3151725.3</v>
      </c>
      <c r="BU111" s="409">
        <f>BT107-Operating!BU39</f>
        <v>3738065.4</v>
      </c>
      <c r="BV111" s="409">
        <f>BU107-Operating!BV39</f>
        <v>4354137</v>
      </c>
      <c r="BW111" s="409">
        <f>BV107-Operating!BW39</f>
        <v>4683278.7</v>
      </c>
      <c r="BX111" s="28">
        <f>BW111</f>
        <v>4683278.7</v>
      </c>
      <c r="BY111" s="409">
        <f>BX107-Operating!BY39</f>
        <v>5008767.3</v>
      </c>
      <c r="BZ111" s="409">
        <f>BY107-Operating!BZ39</f>
        <v>5787403.2000000002</v>
      </c>
      <c r="CA111" s="409">
        <f>BZ107-Operating!CA39</f>
        <v>6555614.4000000004</v>
      </c>
      <c r="CB111" s="409">
        <f>CA107-Operating!CB39</f>
        <v>6931014.2999999998</v>
      </c>
      <c r="CC111" s="28">
        <f>CB111</f>
        <v>6931014.2999999998</v>
      </c>
      <c r="CD111" s="409">
        <f>CC107-Operating!CD39</f>
        <v>7022047.5</v>
      </c>
      <c r="CE111" s="409">
        <f>CD107-Operating!CE39</f>
        <v>7624710</v>
      </c>
      <c r="CF111" s="409">
        <f>CE107-Operating!CF39</f>
        <v>7948145.7000000002</v>
      </c>
      <c r="CG111" s="409">
        <f>CF107-Operating!CG39</f>
        <v>8352346.633253336</v>
      </c>
      <c r="CH111" s="28">
        <f>CG111</f>
        <v>8352346.633253336</v>
      </c>
      <c r="CI111" s="409">
        <f>CH107-Operating!CI39</f>
        <v>8565489.5793340188</v>
      </c>
      <c r="CJ111" s="409">
        <f>CI107-Operating!CJ39</f>
        <v>9241483.7188563943</v>
      </c>
      <c r="CK111" s="409">
        <f>CJ107-Operating!CK39</f>
        <v>9748952.1592070181</v>
      </c>
      <c r="CL111" s="409">
        <f>CK107-Operating!CL39</f>
        <v>9956946.997483952</v>
      </c>
      <c r="CM111" s="28">
        <f>CL111</f>
        <v>9956946.997483952</v>
      </c>
      <c r="CN111" s="409">
        <f>CM107-Operating!CN39</f>
        <v>10089702.747307627</v>
      </c>
      <c r="CO111" s="409">
        <f>CN107-Operating!CO39</f>
        <v>10614397.838341095</v>
      </c>
      <c r="CP111" s="409">
        <f>CO107-Operating!CP39</f>
        <v>11035856.175155696</v>
      </c>
      <c r="CQ111" s="409">
        <f>CP107-Operating!CQ39</f>
        <v>11148488.589924751</v>
      </c>
      <c r="CR111" s="28">
        <f>CQ111</f>
        <v>11148488.589924751</v>
      </c>
      <c r="CS111" s="409">
        <f>CR107-Operating!CS39</f>
        <v>11200057.283535035</v>
      </c>
      <c r="CT111" s="409">
        <f>CS107-Operating!CT39</f>
        <v>11700003.506335003</v>
      </c>
      <c r="CU111" s="409">
        <f>CT107-Operating!CU39</f>
        <v>12085620.559566971</v>
      </c>
      <c r="CV111" s="409">
        <f>CU107-Operating!CV39</f>
        <v>12148369.423627656</v>
      </c>
      <c r="CW111" s="28">
        <f>CV111</f>
        <v>12148369.423627656</v>
      </c>
      <c r="CX111" s="409">
        <f>CW107-Operating!CX39</f>
        <v>12148789.082504861</v>
      </c>
      <c r="CY111" s="409">
        <f>CX107-Operating!CY39</f>
        <v>12618082.920052497</v>
      </c>
      <c r="CZ111" s="409">
        <f>CY107-Operating!CZ39</f>
        <v>12972134.35169589</v>
      </c>
      <c r="DA111" s="409">
        <f>CZ107-Operating!DA39</f>
        <v>12994482.503389027</v>
      </c>
      <c r="DB111" s="28">
        <f>DA111</f>
        <v>12994482.503389027</v>
      </c>
    </row>
    <row r="112" spans="1:106" s="52" customFormat="1" ht="11.25" customHeight="1" outlineLevel="1" x14ac:dyDescent="0.35">
      <c r="A112" s="160" t="s">
        <v>270</v>
      </c>
      <c r="B112" s="216" t="e">
        <f t="shared" ref="B112:E112" si="755">B107-B111</f>
        <v>#VALUE!</v>
      </c>
      <c r="C112" s="216">
        <f t="shared" si="755"/>
        <v>0</v>
      </c>
      <c r="D112" s="216">
        <f t="shared" si="755"/>
        <v>0</v>
      </c>
      <c r="E112" s="216">
        <f t="shared" si="755"/>
        <v>0</v>
      </c>
      <c r="F112" s="194" t="e">
        <f t="shared" ref="F112" si="756">SUM(B112:E112)</f>
        <v>#VALUE!</v>
      </c>
      <c r="G112" s="216">
        <f t="shared" ref="G112:J112" si="757">G107-G111</f>
        <v>0</v>
      </c>
      <c r="H112" s="216">
        <f t="shared" si="757"/>
        <v>0</v>
      </c>
      <c r="I112" s="216">
        <f t="shared" si="757"/>
        <v>0</v>
      </c>
      <c r="J112" s="216">
        <f t="shared" si="757"/>
        <v>0</v>
      </c>
      <c r="K112" s="194">
        <f t="shared" ref="K112" si="758">SUM(G112:J112)</f>
        <v>0</v>
      </c>
      <c r="L112" s="216">
        <f t="shared" ref="L112:O112" si="759">L107-L111</f>
        <v>0</v>
      </c>
      <c r="M112" s="216">
        <f t="shared" si="759"/>
        <v>0</v>
      </c>
      <c r="N112" s="216">
        <f t="shared" si="759"/>
        <v>0</v>
      </c>
      <c r="O112" s="216">
        <f t="shared" si="759"/>
        <v>0</v>
      </c>
      <c r="P112" s="194">
        <f t="shared" ref="P112" si="760">SUM(L112:O112)</f>
        <v>0</v>
      </c>
      <c r="Q112" s="216">
        <f t="shared" ref="Q112:T112" si="761">Q107-Q111</f>
        <v>0</v>
      </c>
      <c r="R112" s="216">
        <f t="shared" si="761"/>
        <v>0</v>
      </c>
      <c r="S112" s="216">
        <f t="shared" si="761"/>
        <v>0</v>
      </c>
      <c r="T112" s="216">
        <f t="shared" si="761"/>
        <v>0</v>
      </c>
      <c r="U112" s="194">
        <f t="shared" ref="U112" si="762">SUM(Q112:T112)</f>
        <v>0</v>
      </c>
      <c r="V112" s="216">
        <f t="shared" ref="V112:Y112" si="763">V107-V111</f>
        <v>0</v>
      </c>
      <c r="W112" s="216">
        <f t="shared" si="763"/>
        <v>0</v>
      </c>
      <c r="X112" s="216">
        <f t="shared" si="763"/>
        <v>0</v>
      </c>
      <c r="Y112" s="216">
        <f t="shared" si="763"/>
        <v>0</v>
      </c>
      <c r="Z112" s="194">
        <f t="shared" ref="Z112" si="764">SUM(V112:Y112)</f>
        <v>0</v>
      </c>
      <c r="AA112" s="216">
        <f t="shared" ref="AA112:AD112" si="765">AA107-AA111</f>
        <v>0</v>
      </c>
      <c r="AB112" s="216">
        <f t="shared" si="765"/>
        <v>0</v>
      </c>
      <c r="AC112" s="216">
        <f t="shared" si="765"/>
        <v>0</v>
      </c>
      <c r="AD112" s="216">
        <f t="shared" si="765"/>
        <v>0</v>
      </c>
      <c r="AE112" s="194">
        <f t="shared" ref="AE112" si="766">SUM(AA112:AD112)</f>
        <v>0</v>
      </c>
      <c r="AF112" s="216">
        <f>AF107-AF111</f>
        <v>0</v>
      </c>
      <c r="AG112" s="216">
        <f>AG107-AG111</f>
        <v>0</v>
      </c>
      <c r="AH112" s="216">
        <f>AH107-AH111</f>
        <v>0</v>
      </c>
      <c r="AI112" s="216">
        <f>AI107-AI111</f>
        <v>0</v>
      </c>
      <c r="AJ112" s="194">
        <f>SUM(AF112:AI112)</f>
        <v>0</v>
      </c>
      <c r="AK112" s="216">
        <f>AK107-AK111</f>
        <v>0</v>
      </c>
      <c r="AL112" s="216">
        <f>AL107-AL111</f>
        <v>0</v>
      </c>
      <c r="AM112" s="216">
        <f>AM107-AM111</f>
        <v>0</v>
      </c>
      <c r="AN112" s="216">
        <f>AN107-AN111</f>
        <v>0</v>
      </c>
      <c r="AO112" s="194">
        <f>SUM(AK112:AN112)</f>
        <v>0</v>
      </c>
      <c r="AP112" s="216">
        <f>AP107-AP111</f>
        <v>0</v>
      </c>
      <c r="AQ112" s="216">
        <f>AQ107-AQ111</f>
        <v>0</v>
      </c>
      <c r="AR112" s="216">
        <f>AR107-AR111</f>
        <v>0</v>
      </c>
      <c r="AS112" s="216">
        <f>AS107-AS111</f>
        <v>0</v>
      </c>
      <c r="AT112" s="194">
        <f>SUM(AP112:AS112)</f>
        <v>0</v>
      </c>
      <c r="AU112" s="216">
        <f>AU107-AU111</f>
        <v>0</v>
      </c>
      <c r="AV112" s="216">
        <f>AV107-AV111</f>
        <v>0</v>
      </c>
      <c r="AW112" s="216">
        <f>AW107-AW111</f>
        <v>0</v>
      </c>
      <c r="AX112" s="216">
        <f>AX107-AX111</f>
        <v>670419</v>
      </c>
      <c r="AY112" s="194">
        <f>SUM(AU112:AX112)</f>
        <v>670419</v>
      </c>
      <c r="AZ112" s="216">
        <f>AZ107-AZ111</f>
        <v>72076.849999999977</v>
      </c>
      <c r="BA112" s="216">
        <f>BA107-BA111</f>
        <v>103927.94999999995</v>
      </c>
      <c r="BB112" s="216">
        <f>BB107-BB111</f>
        <v>173942.65000000002</v>
      </c>
      <c r="BC112" s="216">
        <f>BC107-BC111</f>
        <v>161383.69999999995</v>
      </c>
      <c r="BD112" s="194">
        <f>SUM(AZ112:BC112)</f>
        <v>511331.14999999991</v>
      </c>
      <c r="BE112" s="216">
        <f>BE107-BE111</f>
        <v>310863.5</v>
      </c>
      <c r="BF112" s="216">
        <f>BF107-BF111</f>
        <v>345554.65</v>
      </c>
      <c r="BG112" s="216">
        <f>BG107-BG111</f>
        <v>430645.65</v>
      </c>
      <c r="BH112" s="216">
        <f>BH107-BH111</f>
        <v>346986.94999999995</v>
      </c>
      <c r="BI112" s="194">
        <f>SUM(BE112:BH112)</f>
        <v>1434050.75</v>
      </c>
      <c r="BJ112" s="216">
        <f>BJ107-BJ111</f>
        <v>500357.39999999991</v>
      </c>
      <c r="BK112" s="216">
        <f>BK107-BK111</f>
        <v>512222.64999999991</v>
      </c>
      <c r="BL112" s="216">
        <f>BL107-BL111</f>
        <v>567262.69999999995</v>
      </c>
      <c r="BM112" s="216">
        <f>BM107-BM111</f>
        <v>480524.75</v>
      </c>
      <c r="BN112" s="194">
        <f>SUM(BJ112:BM112)</f>
        <v>2060367.4999999998</v>
      </c>
      <c r="BO112" s="216">
        <f>BO107-BO111</f>
        <v>766833.875</v>
      </c>
      <c r="BP112" s="216">
        <f>BP107-BP111</f>
        <v>695667.125</v>
      </c>
      <c r="BQ112" s="216">
        <f>BQ107-BQ111</f>
        <v>599061.5</v>
      </c>
      <c r="BR112" s="216">
        <f>BR107-BR111</f>
        <v>492675.625</v>
      </c>
      <c r="BS112" s="194">
        <f>SUM(BO112:BR112)</f>
        <v>2554238.125</v>
      </c>
      <c r="BT112" s="216">
        <f>BT107-BT111</f>
        <v>1001680.7000000002</v>
      </c>
      <c r="BU112" s="216">
        <f>BU107-BU111</f>
        <v>1099864.6000000001</v>
      </c>
      <c r="BV112" s="216">
        <f>BV107-BV111</f>
        <v>849506</v>
      </c>
      <c r="BW112" s="216">
        <f>BW107-BW111</f>
        <v>882018.29999999981</v>
      </c>
      <c r="BX112" s="194">
        <f>SUM(BT112:BW112)</f>
        <v>3833069.6</v>
      </c>
      <c r="BY112" s="216">
        <f>BY107-BY111</f>
        <v>1421680.7000000002</v>
      </c>
      <c r="BZ112" s="216">
        <f>BZ107-BZ111</f>
        <v>1496612.7999999998</v>
      </c>
      <c r="CA112" s="216">
        <f>CA107-CA111</f>
        <v>1145512.5999999996</v>
      </c>
      <c r="CB112" s="216">
        <f>CB107-CB111</f>
        <v>871260.70000000019</v>
      </c>
      <c r="CC112" s="194">
        <f>SUM(BY112:CB112)</f>
        <v>4935066.8</v>
      </c>
      <c r="CD112" s="216">
        <f>CD107-CD111</f>
        <v>1449852.5</v>
      </c>
      <c r="CE112" s="216">
        <f>CE107-CE111</f>
        <v>1206563</v>
      </c>
      <c r="CF112" s="216">
        <f>Operating!CF9-Operating!CF37</f>
        <v>1332239.4480592618</v>
      </c>
      <c r="CG112" s="216">
        <f>Operating!CG9-Operating!CG37</f>
        <v>1218032.7849969631</v>
      </c>
      <c r="CH112" s="194">
        <f>SUM(CD112:CG112)</f>
        <v>5206687.7330562249</v>
      </c>
      <c r="CI112" s="216">
        <f>Operating!CI9-Operating!CI37</f>
        <v>1760190.5534664211</v>
      </c>
      <c r="CJ112" s="216">
        <f>Operating!CJ9-Operating!CJ37</f>
        <v>1651200.2579112237</v>
      </c>
      <c r="CK112" s="216">
        <f>Operating!CK9-Operating!CK37</f>
        <v>1376128.2849091289</v>
      </c>
      <c r="CL112" s="216">
        <f>Operating!CL9-Operating!CL37</f>
        <v>1379797.6624122588</v>
      </c>
      <c r="CM112" s="194">
        <f>SUM(CI112:CL112)</f>
        <v>6167316.7586990325</v>
      </c>
      <c r="CN112" s="216">
        <f>Operating!CN9-Operating!CN37</f>
        <v>1836586.9586936031</v>
      </c>
      <c r="CO112" s="216">
        <f>Operating!CO9-Operating!CO37</f>
        <v>1785440.5607102495</v>
      </c>
      <c r="CP112" s="216">
        <f>Operating!CP9-Operating!CP37</f>
        <v>1490535.4989170588</v>
      </c>
      <c r="CQ112" s="216">
        <f>Operating!CQ9-Operating!CQ37</f>
        <v>1435845.4365191089</v>
      </c>
      <c r="CR112" s="194">
        <f>SUM(CN112:CQ112)</f>
        <v>6548408.4548400203</v>
      </c>
      <c r="CS112" s="216">
        <f>Operating!CS9-Operating!CS37</f>
        <v>1946014.0718975526</v>
      </c>
      <c r="CT112" s="216">
        <f>Operating!CT9-Operating!CT37</f>
        <v>1879345.4369986726</v>
      </c>
      <c r="CU112" s="216">
        <f>Operating!CU9-Operating!CU37</f>
        <v>1564232.7254079247</v>
      </c>
      <c r="CV112" s="216">
        <f>Operating!CV9-Operating!CV37</f>
        <v>1501955.3881755588</v>
      </c>
      <c r="CW112" s="194">
        <f>SUM(CS112:CV112)</f>
        <v>6891547.6224797089</v>
      </c>
      <c r="CX112" s="216">
        <f>Operating!CX9-Operating!CX37</f>
        <v>2028832.175981089</v>
      </c>
      <c r="CY112" s="216">
        <f>Operating!CY9-Operating!CY37</f>
        <v>1957348.9357855818</v>
      </c>
      <c r="CZ112" s="216">
        <f>Operating!CZ9-Operating!CZ37</f>
        <v>1628407.7869434676</v>
      </c>
      <c r="DA112" s="216">
        <f>Operating!DA9-Operating!DA37</f>
        <v>1562793.9317953442</v>
      </c>
      <c r="DB112" s="194">
        <f>SUM(CX112:DA112)</f>
        <v>7177382.8305054829</v>
      </c>
    </row>
    <row r="113" spans="1:106" s="52" customFormat="1" ht="11.25" customHeight="1" outlineLevel="1" x14ac:dyDescent="0.35">
      <c r="A113" s="19" t="s">
        <v>330</v>
      </c>
      <c r="B113" s="409" t="e">
        <f>A108+Operating!B39*(1-IS!B12)</f>
        <v>#VALUE!</v>
      </c>
      <c r="C113" s="409" t="e">
        <f>B108+Operating!C39*(1-IS!C12)</f>
        <v>#DIV/0!</v>
      </c>
      <c r="D113" s="409" t="e">
        <f>C108+Operating!D39*(1-IS!D12)</f>
        <v>#DIV/0!</v>
      </c>
      <c r="E113" s="409" t="e">
        <f>D108+Operating!E39*(1-IS!E12)</f>
        <v>#DIV/0!</v>
      </c>
      <c r="F113" s="28" t="e">
        <f t="shared" ref="F113" si="767">E113</f>
        <v>#DIV/0!</v>
      </c>
      <c r="G113" s="409" t="e">
        <f>F108+Operating!G39*(1-IS!G12)</f>
        <v>#DIV/0!</v>
      </c>
      <c r="H113" s="409" t="e">
        <f>G108+Operating!H39*(1-IS!H12)</f>
        <v>#DIV/0!</v>
      </c>
      <c r="I113" s="409" t="e">
        <f>H108+Operating!I39*(1-IS!I12)</f>
        <v>#DIV/0!</v>
      </c>
      <c r="J113" s="409" t="e">
        <f>I108+Operating!J39*(1-IS!J12)</f>
        <v>#DIV/0!</v>
      </c>
      <c r="K113" s="28" t="e">
        <f t="shared" ref="K113" si="768">J113</f>
        <v>#DIV/0!</v>
      </c>
      <c r="L113" s="409" t="e">
        <f>K108+Operating!L39*(1-IS!L12)</f>
        <v>#DIV/0!</v>
      </c>
      <c r="M113" s="409" t="e">
        <f>L108+Operating!M39*(1-IS!M12)</f>
        <v>#DIV/0!</v>
      </c>
      <c r="N113" s="409" t="e">
        <f>M108+Operating!N39*(1-IS!N12)</f>
        <v>#DIV/0!</v>
      </c>
      <c r="O113" s="409" t="e">
        <f>N108+Operating!O39*(1-IS!O12)</f>
        <v>#DIV/0!</v>
      </c>
      <c r="P113" s="28" t="e">
        <f t="shared" ref="P113" si="769">O113</f>
        <v>#DIV/0!</v>
      </c>
      <c r="Q113" s="409" t="e">
        <f>P108+Operating!Q39*(1-IS!Q12)</f>
        <v>#DIV/0!</v>
      </c>
      <c r="R113" s="409" t="e">
        <f>Q108+Operating!R39*(1-IS!R12)</f>
        <v>#DIV/0!</v>
      </c>
      <c r="S113" s="409" t="e">
        <f>R108+Operating!S39*(1-IS!S12)</f>
        <v>#DIV/0!</v>
      </c>
      <c r="T113" s="409" t="e">
        <f>S108+Operating!T39*(1-IS!T12)</f>
        <v>#DIV/0!</v>
      </c>
      <c r="U113" s="28" t="e">
        <f t="shared" ref="U113" si="770">T113</f>
        <v>#DIV/0!</v>
      </c>
      <c r="V113" s="409" t="e">
        <f>U108+Operating!V39*(1-IS!V12)</f>
        <v>#DIV/0!</v>
      </c>
      <c r="W113" s="409" t="e">
        <f>V108+Operating!W39*(1-IS!W12)</f>
        <v>#DIV/0!</v>
      </c>
      <c r="X113" s="409" t="e">
        <f>W108+Operating!X39*(1-IS!X12)</f>
        <v>#DIV/0!</v>
      </c>
      <c r="Y113" s="409" t="e">
        <f>X108+Operating!Y39*(1-IS!Y12)</f>
        <v>#DIV/0!</v>
      </c>
      <c r="Z113" s="28" t="e">
        <f t="shared" ref="Z113" si="771">Y113</f>
        <v>#DIV/0!</v>
      </c>
      <c r="AA113" s="409" t="e">
        <f>Z108+Operating!AA39*(1-IS!AA12)</f>
        <v>#DIV/0!</v>
      </c>
      <c r="AB113" s="409" t="e">
        <f>AA108+Operating!AB39*(1-IS!AB12)</f>
        <v>#DIV/0!</v>
      </c>
      <c r="AC113" s="409" t="e">
        <f>AB108+Operating!AC39*(1-IS!AC12)</f>
        <v>#DIV/0!</v>
      </c>
      <c r="AD113" s="409" t="e">
        <f>AC108+Operating!AD39*(1-IS!AD12)</f>
        <v>#DIV/0!</v>
      </c>
      <c r="AE113" s="28" t="e">
        <f t="shared" ref="AE113" si="772">AD113</f>
        <v>#DIV/0!</v>
      </c>
      <c r="AF113" s="409" t="e">
        <f>AE108+Operating!AF39*(1-IS!AF12)</f>
        <v>#DIV/0!</v>
      </c>
      <c r="AG113" s="409" t="e">
        <f>AF108+Operating!AG39*(1-IS!AG12)</f>
        <v>#DIV/0!</v>
      </c>
      <c r="AH113" s="409" t="e">
        <f>AG108+Operating!AH39*(1-IS!AH12)</f>
        <v>#DIV/0!</v>
      </c>
      <c r="AI113" s="409" t="e">
        <f>AH108+Operating!AI39*(1-IS!AI12)</f>
        <v>#DIV/0!</v>
      </c>
      <c r="AJ113" s="28" t="e">
        <f>AI113</f>
        <v>#DIV/0!</v>
      </c>
      <c r="AK113" s="409">
        <f>AJ108+Operating!AK39*(1-IS!AK12)</f>
        <v>0</v>
      </c>
      <c r="AL113" s="409">
        <f>AK108+Operating!AL39*(1-IS!AL12)</f>
        <v>0</v>
      </c>
      <c r="AM113" s="409">
        <f>AL108+Operating!AM39*(1-IS!AM12)</f>
        <v>0</v>
      </c>
      <c r="AN113" s="409">
        <f>AM108+Operating!AN39*(1-IS!AN12)</f>
        <v>0</v>
      </c>
      <c r="AO113" s="28">
        <f>AN113</f>
        <v>0</v>
      </c>
      <c r="AP113" s="409">
        <f>AO108+Operating!AP39*(1-IS!AP12)</f>
        <v>0</v>
      </c>
      <c r="AQ113" s="409">
        <f>AP108+Operating!AQ39*(1-IS!AQ12)</f>
        <v>0</v>
      </c>
      <c r="AR113" s="409">
        <f>AQ108+Operating!AR39*(1-IS!AR12)</f>
        <v>0</v>
      </c>
      <c r="AS113" s="409">
        <f>AR108+Operating!AS39*(1-IS!AS12)</f>
        <v>0</v>
      </c>
      <c r="AT113" s="28">
        <f>AS113</f>
        <v>0</v>
      </c>
      <c r="AU113" s="409">
        <f>AT108+Operating!AU39*(1-IS!AU12)</f>
        <v>0</v>
      </c>
      <c r="AV113" s="409">
        <f>AU108+Operating!AV39*(1-IS!AV12)</f>
        <v>0</v>
      </c>
      <c r="AW113" s="409">
        <f>AV108+Operating!AW39*(1-IS!AW12)</f>
        <v>0</v>
      </c>
      <c r="AX113" s="409">
        <f>AW108+Operating!AX39*(1-IS!AX12)</f>
        <v>0</v>
      </c>
      <c r="AY113" s="28">
        <f>AX113</f>
        <v>0</v>
      </c>
      <c r="AZ113" s="409">
        <f>AY108+Operating!AZ39*(1-IS!AZ12)</f>
        <v>-374451.37611116137</v>
      </c>
      <c r="BA113" s="409">
        <f>AZ108+Operating!BA39*(1-IS!BA12)</f>
        <v>-368900.85244444443</v>
      </c>
      <c r="BB113" s="409">
        <f>BA108+Operating!BB39*(1-IS!BB12)</f>
        <v>-352037.6048244483</v>
      </c>
      <c r="BC113" s="409">
        <f>BB108+Operating!BC39*(1-IS!BC12)</f>
        <v>-370717.002147583</v>
      </c>
      <c r="BD113" s="28">
        <f>BC113</f>
        <v>-370717.002147583</v>
      </c>
      <c r="BE113" s="409">
        <f>BD108+Operating!BE39*(1-IS!BE12)</f>
        <v>-403430.3362815227</v>
      </c>
      <c r="BF113" s="409">
        <f>BE108+Operating!BF39*(1-IS!BF12)</f>
        <v>-519709.74785439868</v>
      </c>
      <c r="BG113" s="409">
        <f>BF108+Operating!BG39*(1-IS!BG12)</f>
        <v>-633187.03257145255</v>
      </c>
      <c r="BH113" s="409">
        <f>BG108+Operating!BH39*(1-IS!BH12)</f>
        <v>-736915.23623157362</v>
      </c>
      <c r="BI113" s="28">
        <f>BH113</f>
        <v>-736915.23623157362</v>
      </c>
      <c r="BJ113" s="409">
        <f>BI108+Operating!BJ39*(1-IS!BJ12)</f>
        <v>-806940.21358637512</v>
      </c>
      <c r="BK113" s="409">
        <f>BJ108+Operating!BK39*(1-IS!BK12)</f>
        <v>-929303.14641617762</v>
      </c>
      <c r="BL113" s="409">
        <f>BK108+Operating!BL39*(1-IS!BL12)</f>
        <v>-1041839.7149846415</v>
      </c>
      <c r="BM113" s="409">
        <f>BL108+Operating!BM39*(1-IS!BM12)</f>
        <v>-1129575.2408492262</v>
      </c>
      <c r="BN113" s="28">
        <f>BM113</f>
        <v>-1129575.2408492262</v>
      </c>
      <c r="BO113" s="409">
        <f>BN108+Operating!BO39*(1-IS!BO12)</f>
        <v>-1239178.311439398</v>
      </c>
      <c r="BP113" s="409">
        <f>BO108+Operating!BP39*(1-IS!BP12)</f>
        <v>-1469845.2740393491</v>
      </c>
      <c r="BQ113" s="409">
        <f>BP108+Operating!BQ39*(1-IS!BQ12)</f>
        <v>-1638832.1524973973</v>
      </c>
      <c r="BR113" s="409">
        <f>BQ108+Operating!BR39*(1-IS!BR12)</f>
        <v>-1739378.3412554583</v>
      </c>
      <c r="BS113" s="28">
        <f>BR113</f>
        <v>-1739378.3412554583</v>
      </c>
      <c r="BT113" s="409">
        <f>BS108+Operating!BT39*(1-IS!BT12)</f>
        <v>-1819458.179070964</v>
      </c>
      <c r="BU113" s="409">
        <f>BT108+Operating!BU39*(1-IS!BU12)</f>
        <v>-2153870.2548880512</v>
      </c>
      <c r="BV113" s="409">
        <f>BU108+Operating!BV39*(1-IS!BV12)</f>
        <v>-2481386.4475799049</v>
      </c>
      <c r="BW113" s="409">
        <f>BV108+Operating!BW39*(1-IS!BW12)</f>
        <v>-2640559.3147687558</v>
      </c>
      <c r="BX113" s="28">
        <f>BW113</f>
        <v>-2640559.3147687558</v>
      </c>
      <c r="BY113" s="409">
        <f>BX108+Operating!BY39*(1-IS!BY12)</f>
        <v>-2818213.9914455898</v>
      </c>
      <c r="BZ113" s="409">
        <f>BY108+Operating!BZ39*(1-IS!BZ12)</f>
        <v>-3277782.3017687364</v>
      </c>
      <c r="CA113" s="409">
        <f>BZ108+Operating!CA39*(1-IS!CA12)</f>
        <v>-3697896.2844275124</v>
      </c>
      <c r="CB113" s="409">
        <f>CA108+Operating!CB39*(1-IS!CB12)</f>
        <v>-3908766.8721106062</v>
      </c>
      <c r="CC113" s="28">
        <f>CB113</f>
        <v>-3908766.8721106062</v>
      </c>
      <c r="CD113" s="409">
        <f>CC108+Operating!CD39*(1-IS!CD12)</f>
        <v>-3956177.2893243297</v>
      </c>
      <c r="CE113" s="409">
        <f>CD108+Operating!CE39*(1-IS!CE12)</f>
        <v>-4335386.8716774127</v>
      </c>
      <c r="CF113" s="409">
        <f>CE108+Operating!CF39*(1-IS!CF12)</f>
        <v>-4469348.1845642403</v>
      </c>
      <c r="CG113" s="409">
        <f>CF108+Operating!CG39*(1-IS!CG12)</f>
        <v>-4735267.6256474676</v>
      </c>
      <c r="CH113" s="28">
        <f>CG113</f>
        <v>-4735267.6256474676</v>
      </c>
      <c r="CI113" s="409">
        <f>CH108+Operating!CI39*(1-IS!CI12)</f>
        <v>-4884915.6594949095</v>
      </c>
      <c r="CJ113" s="409">
        <f>CI108+Operating!CJ39*(1-IS!CJ12)</f>
        <v>-5312072.8793054326</v>
      </c>
      <c r="CK113" s="409">
        <f>CJ108+Operating!CK39*(1-IS!CK12)</f>
        <v>-5642817.7030510828</v>
      </c>
      <c r="CL113" s="409">
        <f>CK108+Operating!CL39*(1-IS!CL12)</f>
        <v>-5795237.433397132</v>
      </c>
      <c r="CM113" s="28">
        <f>CL113</f>
        <v>-5795237.433397132</v>
      </c>
      <c r="CN113" s="409">
        <f>CM108+Operating!CN39*(1-IS!CN12)</f>
        <v>-5887046.6177818505</v>
      </c>
      <c r="CO113" s="409">
        <f>CN108+Operating!CO39*(1-IS!CO12)</f>
        <v>-6223321.1669447655</v>
      </c>
      <c r="CP113" s="409">
        <f>CO108+Operating!CP39*(1-IS!CP12)</f>
        <v>-6496091.573584876</v>
      </c>
      <c r="CQ113" s="409">
        <f>CP108+Operating!CQ39*(1-IS!CQ12)</f>
        <v>-6580007.5169505123</v>
      </c>
      <c r="CR113" s="28">
        <f>CQ113</f>
        <v>-6580007.5169505123</v>
      </c>
      <c r="CS113" s="409">
        <f>CR108+Operating!CS39*(1-IS!CS12)</f>
        <v>-6619318.6126062563</v>
      </c>
      <c r="CT113" s="409">
        <f>CS108+Operating!CT39*(1-IS!CT12)</f>
        <v>-6949232.4473590627</v>
      </c>
      <c r="CU113" s="409">
        <f>CT108+Operating!CU39*(1-IS!CU12)</f>
        <v>-7207604.678441586</v>
      </c>
      <c r="CV113" s="409">
        <f>CU108+Operating!CV39*(1-IS!CV12)</f>
        <v>-7265192.811545643</v>
      </c>
      <c r="CW113" s="28">
        <f>CV113</f>
        <v>-7265192.811545643</v>
      </c>
      <c r="CX113" s="409">
        <f>CW108+Operating!CX39*(1-IS!CX12)</f>
        <v>-7282418.3997891974</v>
      </c>
      <c r="CY113" s="409">
        <f>CX108+Operating!CY39*(1-IS!CY12)</f>
        <v>-7588948.8400746165</v>
      </c>
      <c r="CZ113" s="409">
        <f>CY108+Operating!CZ39*(1-IS!CZ12)</f>
        <v>-7823472.2534654001</v>
      </c>
      <c r="DA113" s="409">
        <f>CZ108+Operating!DA39*(1-IS!DA12)</f>
        <v>-7851832.5475643007</v>
      </c>
      <c r="DB113" s="28">
        <f>DA113</f>
        <v>-7851832.5475643007</v>
      </c>
    </row>
    <row r="114" spans="1:106" s="52" customFormat="1" ht="11.25" customHeight="1" outlineLevel="1" x14ac:dyDescent="0.35">
      <c r="A114" s="160" t="s">
        <v>331</v>
      </c>
      <c r="B114" s="216" t="e">
        <f t="shared" ref="B114:E114" si="773">B108-B113</f>
        <v>#VALUE!</v>
      </c>
      <c r="C114" s="216" t="e">
        <f t="shared" si="773"/>
        <v>#DIV/0!</v>
      </c>
      <c r="D114" s="216" t="e">
        <f t="shared" si="773"/>
        <v>#DIV/0!</v>
      </c>
      <c r="E114" s="216" t="e">
        <f t="shared" si="773"/>
        <v>#DIV/0!</v>
      </c>
      <c r="F114" s="194" t="e">
        <f t="shared" ref="F114" si="774">SUM(B114:E114)</f>
        <v>#VALUE!</v>
      </c>
      <c r="G114" s="216" t="e">
        <f t="shared" ref="G114:J114" si="775">G108-G113</f>
        <v>#DIV/0!</v>
      </c>
      <c r="H114" s="216" t="e">
        <f t="shared" si="775"/>
        <v>#DIV/0!</v>
      </c>
      <c r="I114" s="216" t="e">
        <f t="shared" si="775"/>
        <v>#DIV/0!</v>
      </c>
      <c r="J114" s="216" t="e">
        <f t="shared" si="775"/>
        <v>#DIV/0!</v>
      </c>
      <c r="K114" s="194" t="e">
        <f t="shared" ref="K114" si="776">SUM(G114:J114)</f>
        <v>#DIV/0!</v>
      </c>
      <c r="L114" s="216" t="e">
        <f t="shared" ref="L114:O114" si="777">L108-L113</f>
        <v>#DIV/0!</v>
      </c>
      <c r="M114" s="216" t="e">
        <f t="shared" si="777"/>
        <v>#DIV/0!</v>
      </c>
      <c r="N114" s="216" t="e">
        <f t="shared" si="777"/>
        <v>#DIV/0!</v>
      </c>
      <c r="O114" s="216" t="e">
        <f t="shared" si="777"/>
        <v>#DIV/0!</v>
      </c>
      <c r="P114" s="194" t="e">
        <f t="shared" ref="P114" si="778">SUM(L114:O114)</f>
        <v>#DIV/0!</v>
      </c>
      <c r="Q114" s="216" t="e">
        <f t="shared" ref="Q114:T114" si="779">Q108-Q113</f>
        <v>#DIV/0!</v>
      </c>
      <c r="R114" s="216" t="e">
        <f t="shared" si="779"/>
        <v>#DIV/0!</v>
      </c>
      <c r="S114" s="216" t="e">
        <f t="shared" si="779"/>
        <v>#DIV/0!</v>
      </c>
      <c r="T114" s="216" t="e">
        <f t="shared" si="779"/>
        <v>#DIV/0!</v>
      </c>
      <c r="U114" s="194" t="e">
        <f t="shared" ref="U114" si="780">SUM(Q114:T114)</f>
        <v>#DIV/0!</v>
      </c>
      <c r="V114" s="216" t="e">
        <f t="shared" ref="V114:Y114" si="781">V108-V113</f>
        <v>#DIV/0!</v>
      </c>
      <c r="W114" s="216" t="e">
        <f t="shared" si="781"/>
        <v>#DIV/0!</v>
      </c>
      <c r="X114" s="216" t="e">
        <f t="shared" si="781"/>
        <v>#DIV/0!</v>
      </c>
      <c r="Y114" s="216" t="e">
        <f t="shared" si="781"/>
        <v>#DIV/0!</v>
      </c>
      <c r="Z114" s="194" t="e">
        <f t="shared" ref="Z114" si="782">SUM(V114:Y114)</f>
        <v>#DIV/0!</v>
      </c>
      <c r="AA114" s="216" t="e">
        <f t="shared" ref="AA114:AD114" si="783">AA108-AA113</f>
        <v>#DIV/0!</v>
      </c>
      <c r="AB114" s="216" t="e">
        <f t="shared" si="783"/>
        <v>#DIV/0!</v>
      </c>
      <c r="AC114" s="216" t="e">
        <f t="shared" si="783"/>
        <v>#DIV/0!</v>
      </c>
      <c r="AD114" s="216" t="e">
        <f t="shared" si="783"/>
        <v>#DIV/0!</v>
      </c>
      <c r="AE114" s="194" t="e">
        <f t="shared" ref="AE114" si="784">SUM(AA114:AD114)</f>
        <v>#DIV/0!</v>
      </c>
      <c r="AF114" s="216" t="e">
        <f>AF108-AF113</f>
        <v>#DIV/0!</v>
      </c>
      <c r="AG114" s="216" t="e">
        <f>AG108-AG113</f>
        <v>#DIV/0!</v>
      </c>
      <c r="AH114" s="216" t="e">
        <f>AH108-AH113</f>
        <v>#DIV/0!</v>
      </c>
      <c r="AI114" s="216" t="e">
        <f>AI108-AI113</f>
        <v>#DIV/0!</v>
      </c>
      <c r="AJ114" s="194" t="e">
        <f>SUM(AF114:AI114)</f>
        <v>#DIV/0!</v>
      </c>
      <c r="AK114" s="216">
        <f>AK108-AK113</f>
        <v>0</v>
      </c>
      <c r="AL114" s="216">
        <f>AL108-AL113</f>
        <v>0</v>
      </c>
      <c r="AM114" s="216">
        <f>AM108-AM113</f>
        <v>0</v>
      </c>
      <c r="AN114" s="216">
        <f>AN108-AN113</f>
        <v>0</v>
      </c>
      <c r="AO114" s="194">
        <f>SUM(AK114:AN114)</f>
        <v>0</v>
      </c>
      <c r="AP114" s="216">
        <f>AP108-AP113</f>
        <v>0</v>
      </c>
      <c r="AQ114" s="216">
        <f>AQ108-AQ113</f>
        <v>0</v>
      </c>
      <c r="AR114" s="216">
        <f>AR108-AR113</f>
        <v>0</v>
      </c>
      <c r="AS114" s="216">
        <f>AS108-AS113</f>
        <v>0</v>
      </c>
      <c r="AT114" s="194">
        <f>SUM(AP114:AS114)</f>
        <v>0</v>
      </c>
      <c r="AU114" s="216">
        <f>AU108-AU113</f>
        <v>0</v>
      </c>
      <c r="AV114" s="216">
        <f>AV108-AV113</f>
        <v>0</v>
      </c>
      <c r="AW114" s="216">
        <f>AW108-AW113</f>
        <v>0</v>
      </c>
      <c r="AX114" s="216">
        <f>AX108-AX113</f>
        <v>-434256</v>
      </c>
      <c r="AY114" s="194">
        <f>SUM(AU114:AX114)</f>
        <v>-434256</v>
      </c>
      <c r="AZ114" s="216">
        <f>AZ108-AZ113</f>
        <v>-51121.623888838629</v>
      </c>
      <c r="BA114" s="216">
        <f>BA108-BA113</f>
        <v>-40570.147555555566</v>
      </c>
      <c r="BB114" s="216">
        <f>BB108-BB113</f>
        <v>-80472.395175551705</v>
      </c>
      <c r="BC114" s="216">
        <f>BC108-BC113</f>
        <v>-104388.997852417</v>
      </c>
      <c r="BD114" s="194">
        <f>SUM(AZ114:BC114)</f>
        <v>-276553.1644723629</v>
      </c>
      <c r="BE114" s="216">
        <f>BE108-BE113</f>
        <v>-205150.6637184773</v>
      </c>
      <c r="BF114" s="216">
        <f>BF108-BF113</f>
        <v>-216071.25214560132</v>
      </c>
      <c r="BG114" s="216">
        <f>BG108-BG113</f>
        <v>-238884.96742854745</v>
      </c>
      <c r="BH114" s="216">
        <f>BH108-BH113</f>
        <v>-212845.76376842638</v>
      </c>
      <c r="BI114" s="194">
        <f>SUM(BE114:BH114)</f>
        <v>-872952.6470610525</v>
      </c>
      <c r="BJ114" s="216">
        <f>BJ108-BJ113</f>
        <v>-294393.78641362488</v>
      </c>
      <c r="BK114" s="216">
        <f>BK108-BK113</f>
        <v>-298159.85358382238</v>
      </c>
      <c r="BL114" s="216">
        <f>BL108-BL113</f>
        <v>-302100.28501535847</v>
      </c>
      <c r="BM114" s="216">
        <f>BM108-BM113</f>
        <v>-296956.75915077375</v>
      </c>
      <c r="BN114" s="194">
        <f>SUM(BJ114:BM114)</f>
        <v>-1191610.6841635795</v>
      </c>
      <c r="BO114" s="216">
        <f>BO108-BO113</f>
        <v>-452258.68856060202</v>
      </c>
      <c r="BP114" s="216">
        <f>BP108-BP113</f>
        <v>-415826.72596065095</v>
      </c>
      <c r="BQ114" s="216">
        <f>BQ108-BQ113</f>
        <v>-357899.84750260273</v>
      </c>
      <c r="BR114" s="216">
        <f>BR108-BR113</f>
        <v>-292782.6587445417</v>
      </c>
      <c r="BS114" s="194">
        <f>SUM(BO114:BR114)</f>
        <v>-1518767.9207683974</v>
      </c>
      <c r="BT114" s="216">
        <f>BT108-BT113</f>
        <v>-584641.82092903601</v>
      </c>
      <c r="BU114" s="216">
        <f>BU108-BU113</f>
        <v>-615882.74511194881</v>
      </c>
      <c r="BV114" s="216">
        <f>BV108-BV113</f>
        <v>-468870.55242009507</v>
      </c>
      <c r="BW114" s="216">
        <f>BW108-BW113</f>
        <v>-509856.68523124419</v>
      </c>
      <c r="BX114" s="194">
        <f>SUM(BT114:BW114)</f>
        <v>-2179251.8036923241</v>
      </c>
      <c r="BY114" s="216">
        <f>BY108-BY113</f>
        <v>-838054.00855441019</v>
      </c>
      <c r="BZ114" s="216">
        <f>BZ108-BZ113</f>
        <v>-846176.69823126355</v>
      </c>
      <c r="CA114" s="216">
        <f>CA108-CA113</f>
        <v>-657228.71557248756</v>
      </c>
      <c r="CB114" s="216">
        <f>CB108-CB113</f>
        <v>-511773.12788939383</v>
      </c>
      <c r="CC114" s="194">
        <f>SUM(BY114:CB114)</f>
        <v>-2853232.5502475551</v>
      </c>
      <c r="CD114" s="216">
        <f>CD108-CD113</f>
        <v>-878131.7106756703</v>
      </c>
      <c r="CE114" s="216">
        <f>CE108-CE113</f>
        <v>-652973.12832258735</v>
      </c>
      <c r="CF114" s="216">
        <f>CF116-CF112</f>
        <v>-812666.06331614964</v>
      </c>
      <c r="CG114" s="216">
        <f>CG116-CG112</f>
        <v>-742999.99884814746</v>
      </c>
      <c r="CH114" s="194">
        <f>SUM(CD114:CG114)</f>
        <v>-3086770.9011625545</v>
      </c>
      <c r="CI114" s="216">
        <f>CI116-CI112</f>
        <v>-1064915.2848471848</v>
      </c>
      <c r="CJ114" s="216">
        <f>CJ116-CJ112</f>
        <v>-998976.15603629034</v>
      </c>
      <c r="CK114" s="216">
        <f>CK116-CK112</f>
        <v>-832557.61237002292</v>
      </c>
      <c r="CL114" s="216">
        <f>CL116-CL112</f>
        <v>-834777.58575941657</v>
      </c>
      <c r="CM114" s="194">
        <f>SUM(CI114:CL114)</f>
        <v>-3731226.6390129146</v>
      </c>
      <c r="CN114" s="216">
        <f>CN116-CN112</f>
        <v>-1120318.0448030978</v>
      </c>
      <c r="CO114" s="216">
        <f>CO116-CO112</f>
        <v>-1089118.742033252</v>
      </c>
      <c r="CP114" s="216">
        <f>CP116-CP112</f>
        <v>-909226.65433940582</v>
      </c>
      <c r="CQ114" s="216">
        <f>CQ116-CQ112</f>
        <v>-875865.71627665649</v>
      </c>
      <c r="CR114" s="194">
        <f>SUM(CN114:CQ114)</f>
        <v>-3994529.1574524119</v>
      </c>
      <c r="CS114" s="216">
        <f>CS116-CS112</f>
        <v>-1206528.7245764825</v>
      </c>
      <c r="CT114" s="216">
        <f>CT116-CT112</f>
        <v>-1165194.1709391768</v>
      </c>
      <c r="CU114" s="216">
        <f>CU116-CU112</f>
        <v>-969824.28975291329</v>
      </c>
      <c r="CV114" s="216">
        <f>CV116-CV112</f>
        <v>-931212.34066884639</v>
      </c>
      <c r="CW114" s="194">
        <f>SUM(CS114:CV114)</f>
        <v>-4272759.5259374194</v>
      </c>
      <c r="CX114" s="216">
        <f>CX116-CX112</f>
        <v>-1257875.9491082751</v>
      </c>
      <c r="CY114" s="216">
        <f>CY116-CY112</f>
        <v>-1213556.3401870606</v>
      </c>
      <c r="CZ114" s="216">
        <f>CZ116-CZ112</f>
        <v>-1009612.8279049499</v>
      </c>
      <c r="DA114" s="216">
        <f>DA116-DA112</f>
        <v>-968932.23771311343</v>
      </c>
      <c r="DB114" s="194">
        <f>SUM(CX114:DA114)</f>
        <v>-4449977.3549133986</v>
      </c>
    </row>
    <row r="115" spans="1:106" s="52" customFormat="1" ht="11.25" customHeight="1" outlineLevel="1" x14ac:dyDescent="0.35">
      <c r="A115" s="19" t="s">
        <v>332</v>
      </c>
      <c r="B115" s="23" t="e">
        <f t="shared" ref="B115:E115" si="785">B111+B113</f>
        <v>#VALUE!</v>
      </c>
      <c r="C115" s="23" t="e">
        <f t="shared" si="785"/>
        <v>#DIV/0!</v>
      </c>
      <c r="D115" s="23" t="e">
        <f t="shared" si="785"/>
        <v>#DIV/0!</v>
      </c>
      <c r="E115" s="23" t="e">
        <f t="shared" si="785"/>
        <v>#DIV/0!</v>
      </c>
      <c r="F115" s="28" t="e">
        <f t="shared" ref="F115" si="786">E115</f>
        <v>#DIV/0!</v>
      </c>
      <c r="G115" s="23" t="e">
        <f t="shared" ref="G115:J115" si="787">G111+G113</f>
        <v>#DIV/0!</v>
      </c>
      <c r="H115" s="23" t="e">
        <f t="shared" si="787"/>
        <v>#DIV/0!</v>
      </c>
      <c r="I115" s="23" t="e">
        <f t="shared" si="787"/>
        <v>#DIV/0!</v>
      </c>
      <c r="J115" s="23" t="e">
        <f t="shared" si="787"/>
        <v>#DIV/0!</v>
      </c>
      <c r="K115" s="28" t="e">
        <f t="shared" ref="K115" si="788">J115</f>
        <v>#DIV/0!</v>
      </c>
      <c r="L115" s="23" t="e">
        <f t="shared" ref="L115:O115" si="789">L111+L113</f>
        <v>#DIV/0!</v>
      </c>
      <c r="M115" s="23" t="e">
        <f t="shared" si="789"/>
        <v>#DIV/0!</v>
      </c>
      <c r="N115" s="23" t="e">
        <f t="shared" si="789"/>
        <v>#DIV/0!</v>
      </c>
      <c r="O115" s="23" t="e">
        <f t="shared" si="789"/>
        <v>#DIV/0!</v>
      </c>
      <c r="P115" s="28" t="e">
        <f t="shared" ref="P115" si="790">O115</f>
        <v>#DIV/0!</v>
      </c>
      <c r="Q115" s="23" t="e">
        <f t="shared" ref="Q115:T115" si="791">Q111+Q113</f>
        <v>#DIV/0!</v>
      </c>
      <c r="R115" s="23" t="e">
        <f t="shared" si="791"/>
        <v>#DIV/0!</v>
      </c>
      <c r="S115" s="23" t="e">
        <f t="shared" si="791"/>
        <v>#DIV/0!</v>
      </c>
      <c r="T115" s="23" t="e">
        <f t="shared" si="791"/>
        <v>#DIV/0!</v>
      </c>
      <c r="U115" s="28" t="e">
        <f t="shared" ref="U115" si="792">T115</f>
        <v>#DIV/0!</v>
      </c>
      <c r="V115" s="23" t="e">
        <f t="shared" ref="V115:Y115" si="793">V111+V113</f>
        <v>#DIV/0!</v>
      </c>
      <c r="W115" s="23" t="e">
        <f t="shared" si="793"/>
        <v>#DIV/0!</v>
      </c>
      <c r="X115" s="23" t="e">
        <f t="shared" si="793"/>
        <v>#DIV/0!</v>
      </c>
      <c r="Y115" s="23" t="e">
        <f t="shared" si="793"/>
        <v>#DIV/0!</v>
      </c>
      <c r="Z115" s="28" t="e">
        <f t="shared" ref="Z115" si="794">Y115</f>
        <v>#DIV/0!</v>
      </c>
      <c r="AA115" s="23" t="e">
        <f t="shared" ref="AA115:AD115" si="795">AA111+AA113</f>
        <v>#DIV/0!</v>
      </c>
      <c r="AB115" s="23" t="e">
        <f t="shared" si="795"/>
        <v>#DIV/0!</v>
      </c>
      <c r="AC115" s="23" t="e">
        <f t="shared" si="795"/>
        <v>#DIV/0!</v>
      </c>
      <c r="AD115" s="23" t="e">
        <f t="shared" si="795"/>
        <v>#DIV/0!</v>
      </c>
      <c r="AE115" s="28" t="e">
        <f t="shared" ref="AE115" si="796">AD115</f>
        <v>#DIV/0!</v>
      </c>
      <c r="AF115" s="23" t="e">
        <f t="shared" ref="AF115:AI116" si="797">AF111+AF113</f>
        <v>#DIV/0!</v>
      </c>
      <c r="AG115" s="23" t="e">
        <f t="shared" si="797"/>
        <v>#DIV/0!</v>
      </c>
      <c r="AH115" s="23" t="e">
        <f t="shared" si="797"/>
        <v>#DIV/0!</v>
      </c>
      <c r="AI115" s="23" t="e">
        <f t="shared" si="797"/>
        <v>#DIV/0!</v>
      </c>
      <c r="AJ115" s="28" t="e">
        <f>AI115</f>
        <v>#DIV/0!</v>
      </c>
      <c r="AK115" s="23">
        <f t="shared" ref="AK115:AN116" si="798">AK111+AK113</f>
        <v>0</v>
      </c>
      <c r="AL115" s="23">
        <f t="shared" si="798"/>
        <v>0</v>
      </c>
      <c r="AM115" s="23">
        <f t="shared" si="798"/>
        <v>0</v>
      </c>
      <c r="AN115" s="23">
        <f t="shared" si="798"/>
        <v>0</v>
      </c>
      <c r="AO115" s="28">
        <f>AN115</f>
        <v>0</v>
      </c>
      <c r="AP115" s="23">
        <f t="shared" ref="AP115:AS116" si="799">AP111+AP113</f>
        <v>0</v>
      </c>
      <c r="AQ115" s="23">
        <f t="shared" si="799"/>
        <v>0</v>
      </c>
      <c r="AR115" s="23">
        <f t="shared" si="799"/>
        <v>0</v>
      </c>
      <c r="AS115" s="23">
        <f t="shared" si="799"/>
        <v>0</v>
      </c>
      <c r="AT115" s="28">
        <f>AS115</f>
        <v>0</v>
      </c>
      <c r="AU115" s="23">
        <f t="shared" ref="AU115:AX116" si="800">AU111+AU113</f>
        <v>0</v>
      </c>
      <c r="AV115" s="23">
        <f t="shared" si="800"/>
        <v>0</v>
      </c>
      <c r="AW115" s="23">
        <f t="shared" si="800"/>
        <v>0</v>
      </c>
      <c r="AX115" s="23">
        <f t="shared" si="800"/>
        <v>0</v>
      </c>
      <c r="AY115" s="28">
        <f>AX115</f>
        <v>0</v>
      </c>
      <c r="AZ115" s="23">
        <f t="shared" ref="AZ115:BC116" si="801">AZ111+AZ113</f>
        <v>195404.77388883865</v>
      </c>
      <c r="BA115" s="23">
        <f t="shared" si="801"/>
        <v>176742.19755555561</v>
      </c>
      <c r="BB115" s="23">
        <f t="shared" si="801"/>
        <v>200097.74517555168</v>
      </c>
      <c r="BC115" s="23">
        <f t="shared" si="801"/>
        <v>246449.29785241705</v>
      </c>
      <c r="BD115" s="28">
        <f>BC115</f>
        <v>246449.29785241705</v>
      </c>
      <c r="BE115" s="23">
        <f t="shared" ref="BE115:BH116" si="802">BE111+BE113</f>
        <v>258337.1637184773</v>
      </c>
      <c r="BF115" s="23">
        <f t="shared" si="802"/>
        <v>307026.6021456013</v>
      </c>
      <c r="BG115" s="23">
        <f t="shared" si="802"/>
        <v>363260.31742854742</v>
      </c>
      <c r="BH115" s="23">
        <f t="shared" si="802"/>
        <v>476113.81376842642</v>
      </c>
      <c r="BI115" s="28">
        <f>BH115</f>
        <v>476113.81376842642</v>
      </c>
      <c r="BJ115" s="23">
        <f t="shared" ref="BJ115:BM116" si="803">BJ111+BJ113</f>
        <v>519073.38641362498</v>
      </c>
      <c r="BK115" s="23">
        <f t="shared" si="803"/>
        <v>623112.20358382247</v>
      </c>
      <c r="BL115" s="23">
        <f t="shared" si="803"/>
        <v>713102.58501535852</v>
      </c>
      <c r="BM115" s="23">
        <f t="shared" si="803"/>
        <v>844299.00915077375</v>
      </c>
      <c r="BN115" s="28">
        <f>BM115</f>
        <v>844299.00915077375</v>
      </c>
      <c r="BO115" s="23">
        <f t="shared" ref="BO115:BR116" si="804">BO111+BO113</f>
        <v>908420.81356060202</v>
      </c>
      <c r="BP115" s="23">
        <f t="shared" si="804"/>
        <v>1080283.6009606509</v>
      </c>
      <c r="BQ115" s="23">
        <f t="shared" si="804"/>
        <v>1201239.3475026027</v>
      </c>
      <c r="BR115" s="23">
        <f t="shared" si="804"/>
        <v>1269863.0337445417</v>
      </c>
      <c r="BS115" s="28">
        <f>BR115</f>
        <v>1269863.0337445417</v>
      </c>
      <c r="BT115" s="23">
        <f t="shared" ref="BT115:BW116" si="805">BT111+BT113</f>
        <v>1332267.1209290358</v>
      </c>
      <c r="BU115" s="23">
        <f t="shared" si="805"/>
        <v>1584195.1451119487</v>
      </c>
      <c r="BV115" s="23">
        <f t="shared" si="805"/>
        <v>1872750.5524200951</v>
      </c>
      <c r="BW115" s="23">
        <f t="shared" si="805"/>
        <v>2042719.3852312444</v>
      </c>
      <c r="BX115" s="28">
        <f>BW115</f>
        <v>2042719.3852312444</v>
      </c>
      <c r="BY115" s="23">
        <f>BY111+BY113</f>
        <v>2190553.30855441</v>
      </c>
      <c r="BZ115" s="23">
        <f t="shared" ref="BZ115:CB116" si="806">BZ111+BZ113</f>
        <v>2509620.8982312637</v>
      </c>
      <c r="CA115" s="23">
        <f t="shared" si="806"/>
        <v>2857718.1155724879</v>
      </c>
      <c r="CB115" s="23">
        <f t="shared" si="806"/>
        <v>3022247.4278893936</v>
      </c>
      <c r="CC115" s="28">
        <f>CB115</f>
        <v>3022247.4278893936</v>
      </c>
      <c r="CD115" s="23">
        <f>CD111+CD113</f>
        <v>3065870.2106756703</v>
      </c>
      <c r="CE115" s="23">
        <f t="shared" ref="CE115:CE116" si="807">CE111+CE113</f>
        <v>3289323.1283225873</v>
      </c>
      <c r="CF115" s="23">
        <f>CF111+CF113</f>
        <v>3478797.5154357599</v>
      </c>
      <c r="CG115" s="23">
        <f>CG111+CG113</f>
        <v>3617079.0076058684</v>
      </c>
      <c r="CH115" s="28">
        <f>CG115</f>
        <v>3617079.0076058684</v>
      </c>
      <c r="CI115" s="23">
        <f>CI111+CI113</f>
        <v>3680573.9198391093</v>
      </c>
      <c r="CJ115" s="23">
        <f>CJ111+CJ113</f>
        <v>3929410.8395509617</v>
      </c>
      <c r="CK115" s="23">
        <f>CK111+CK113</f>
        <v>4106134.4561559353</v>
      </c>
      <c r="CL115" s="23">
        <f>CL111+CL113</f>
        <v>4161709.56408682</v>
      </c>
      <c r="CM115" s="28">
        <f>CL115</f>
        <v>4161709.56408682</v>
      </c>
      <c r="CN115" s="23">
        <f>CN111+CN113</f>
        <v>4202656.129525776</v>
      </c>
      <c r="CO115" s="23">
        <f>CO111+CO113</f>
        <v>4391076.6713963291</v>
      </c>
      <c r="CP115" s="23">
        <f>CP111+CP113</f>
        <v>4539764.6015708195</v>
      </c>
      <c r="CQ115" s="23">
        <f>CQ111+CQ113</f>
        <v>4568481.0729742385</v>
      </c>
      <c r="CR115" s="28">
        <f>CQ115</f>
        <v>4568481.0729742385</v>
      </c>
      <c r="CS115" s="23">
        <f>CS111+CS113</f>
        <v>4580738.6709287791</v>
      </c>
      <c r="CT115" s="23">
        <f>CT111+CT113</f>
        <v>4750771.0589759406</v>
      </c>
      <c r="CU115" s="23">
        <f>CU111+CU113</f>
        <v>4878015.8811253849</v>
      </c>
      <c r="CV115" s="23">
        <f>CV111+CV113</f>
        <v>4883176.6120820129</v>
      </c>
      <c r="CW115" s="28">
        <f>CV115</f>
        <v>4883176.6120820129</v>
      </c>
      <c r="CX115" s="23">
        <f>CX111+CX113</f>
        <v>4866370.6827156637</v>
      </c>
      <c r="CY115" s="23">
        <f>CY111+CY113</f>
        <v>5029134.0799778802</v>
      </c>
      <c r="CZ115" s="23">
        <f>CZ111+CZ113</f>
        <v>5148662.0982304895</v>
      </c>
      <c r="DA115" s="23">
        <f>DA111+DA113</f>
        <v>5142649.9558247263</v>
      </c>
      <c r="DB115" s="28">
        <f>DA115</f>
        <v>5142649.9558247263</v>
      </c>
    </row>
    <row r="116" spans="1:106" s="52" customFormat="1" ht="11.25" customHeight="1" outlineLevel="1" x14ac:dyDescent="0.35">
      <c r="A116" s="160" t="s">
        <v>24</v>
      </c>
      <c r="B116" s="216" t="e">
        <f t="shared" ref="B116:E116" si="808">B112+B114</f>
        <v>#VALUE!</v>
      </c>
      <c r="C116" s="216" t="e">
        <f t="shared" si="808"/>
        <v>#DIV/0!</v>
      </c>
      <c r="D116" s="216" t="e">
        <f t="shared" si="808"/>
        <v>#DIV/0!</v>
      </c>
      <c r="E116" s="216" t="e">
        <f t="shared" si="808"/>
        <v>#DIV/0!</v>
      </c>
      <c r="F116" s="194" t="e">
        <f t="shared" ref="F116" si="809">SUM(B116:E116)</f>
        <v>#VALUE!</v>
      </c>
      <c r="G116" s="216" t="e">
        <f t="shared" ref="G116:J116" si="810">G112+G114</f>
        <v>#DIV/0!</v>
      </c>
      <c r="H116" s="216" t="e">
        <f t="shared" si="810"/>
        <v>#DIV/0!</v>
      </c>
      <c r="I116" s="216" t="e">
        <f t="shared" si="810"/>
        <v>#DIV/0!</v>
      </c>
      <c r="J116" s="216" t="e">
        <f t="shared" si="810"/>
        <v>#DIV/0!</v>
      </c>
      <c r="K116" s="194" t="e">
        <f t="shared" ref="K116" si="811">SUM(G116:J116)</f>
        <v>#DIV/0!</v>
      </c>
      <c r="L116" s="216" t="e">
        <f t="shared" ref="L116:O116" si="812">L112+L114</f>
        <v>#DIV/0!</v>
      </c>
      <c r="M116" s="216" t="e">
        <f t="shared" si="812"/>
        <v>#DIV/0!</v>
      </c>
      <c r="N116" s="216" t="e">
        <f t="shared" si="812"/>
        <v>#DIV/0!</v>
      </c>
      <c r="O116" s="216" t="e">
        <f t="shared" si="812"/>
        <v>#DIV/0!</v>
      </c>
      <c r="P116" s="194" t="e">
        <f t="shared" ref="P116" si="813">SUM(L116:O116)</f>
        <v>#DIV/0!</v>
      </c>
      <c r="Q116" s="216" t="e">
        <f t="shared" ref="Q116:T116" si="814">Q112+Q114</f>
        <v>#DIV/0!</v>
      </c>
      <c r="R116" s="216" t="e">
        <f t="shared" si="814"/>
        <v>#DIV/0!</v>
      </c>
      <c r="S116" s="216" t="e">
        <f t="shared" si="814"/>
        <v>#DIV/0!</v>
      </c>
      <c r="T116" s="216" t="e">
        <f t="shared" si="814"/>
        <v>#DIV/0!</v>
      </c>
      <c r="U116" s="194" t="e">
        <f t="shared" ref="U116" si="815">SUM(Q116:T116)</f>
        <v>#DIV/0!</v>
      </c>
      <c r="V116" s="216" t="e">
        <f t="shared" ref="V116:Y116" si="816">V112+V114</f>
        <v>#DIV/0!</v>
      </c>
      <c r="W116" s="216" t="e">
        <f t="shared" si="816"/>
        <v>#DIV/0!</v>
      </c>
      <c r="X116" s="216" t="e">
        <f t="shared" si="816"/>
        <v>#DIV/0!</v>
      </c>
      <c r="Y116" s="216" t="e">
        <f t="shared" si="816"/>
        <v>#DIV/0!</v>
      </c>
      <c r="Z116" s="194" t="e">
        <f t="shared" ref="Z116" si="817">SUM(V116:Y116)</f>
        <v>#DIV/0!</v>
      </c>
      <c r="AA116" s="216" t="e">
        <f t="shared" ref="AA116:AD116" si="818">AA112+AA114</f>
        <v>#DIV/0!</v>
      </c>
      <c r="AB116" s="216" t="e">
        <f t="shared" si="818"/>
        <v>#DIV/0!</v>
      </c>
      <c r="AC116" s="216" t="e">
        <f t="shared" si="818"/>
        <v>#DIV/0!</v>
      </c>
      <c r="AD116" s="216" t="e">
        <f t="shared" si="818"/>
        <v>#DIV/0!</v>
      </c>
      <c r="AE116" s="194" t="e">
        <f t="shared" ref="AE116" si="819">SUM(AA116:AD116)</f>
        <v>#DIV/0!</v>
      </c>
      <c r="AF116" s="216" t="e">
        <f t="shared" si="797"/>
        <v>#DIV/0!</v>
      </c>
      <c r="AG116" s="216" t="e">
        <f t="shared" si="797"/>
        <v>#DIV/0!</v>
      </c>
      <c r="AH116" s="216" t="e">
        <f t="shared" si="797"/>
        <v>#DIV/0!</v>
      </c>
      <c r="AI116" s="216" t="e">
        <f t="shared" si="797"/>
        <v>#DIV/0!</v>
      </c>
      <c r="AJ116" s="194" t="e">
        <f>SUM(AF116:AI116)</f>
        <v>#DIV/0!</v>
      </c>
      <c r="AK116" s="216">
        <f t="shared" si="798"/>
        <v>0</v>
      </c>
      <c r="AL116" s="216">
        <f t="shared" si="798"/>
        <v>0</v>
      </c>
      <c r="AM116" s="216">
        <f t="shared" si="798"/>
        <v>0</v>
      </c>
      <c r="AN116" s="216">
        <f t="shared" si="798"/>
        <v>0</v>
      </c>
      <c r="AO116" s="194">
        <f>SUM(AK116:AN116)</f>
        <v>0</v>
      </c>
      <c r="AP116" s="216">
        <f t="shared" si="799"/>
        <v>0</v>
      </c>
      <c r="AQ116" s="216">
        <f t="shared" si="799"/>
        <v>0</v>
      </c>
      <c r="AR116" s="216">
        <f t="shared" si="799"/>
        <v>0</v>
      </c>
      <c r="AS116" s="216">
        <f t="shared" si="799"/>
        <v>0</v>
      </c>
      <c r="AT116" s="194">
        <f>SUM(AP116:AS116)</f>
        <v>0</v>
      </c>
      <c r="AU116" s="216">
        <f t="shared" si="800"/>
        <v>0</v>
      </c>
      <c r="AV116" s="216">
        <f t="shared" si="800"/>
        <v>0</v>
      </c>
      <c r="AW116" s="216">
        <f t="shared" si="800"/>
        <v>0</v>
      </c>
      <c r="AX116" s="216">
        <f t="shared" si="800"/>
        <v>236163</v>
      </c>
      <c r="AY116" s="194">
        <f>SUM(AU116:AX116)</f>
        <v>236163</v>
      </c>
      <c r="AZ116" s="216">
        <f t="shared" si="801"/>
        <v>20955.226111161348</v>
      </c>
      <c r="BA116" s="216">
        <f t="shared" si="801"/>
        <v>63357.802444444387</v>
      </c>
      <c r="BB116" s="216">
        <f t="shared" si="801"/>
        <v>93470.254824448319</v>
      </c>
      <c r="BC116" s="216">
        <f t="shared" si="801"/>
        <v>56994.702147582953</v>
      </c>
      <c r="BD116" s="194">
        <f>SUM(AZ116:BC116)</f>
        <v>234777.98552763701</v>
      </c>
      <c r="BE116" s="216">
        <f t="shared" si="802"/>
        <v>105712.8362815227</v>
      </c>
      <c r="BF116" s="216">
        <f t="shared" si="802"/>
        <v>129483.3978543987</v>
      </c>
      <c r="BG116" s="216">
        <f t="shared" si="802"/>
        <v>191760.68257145258</v>
      </c>
      <c r="BH116" s="216">
        <f t="shared" si="802"/>
        <v>134141.18623157358</v>
      </c>
      <c r="BI116" s="194">
        <f>SUM(BE116:BH116)</f>
        <v>561098.1029389475</v>
      </c>
      <c r="BJ116" s="216">
        <f t="shared" si="803"/>
        <v>205963.61358637502</v>
      </c>
      <c r="BK116" s="216">
        <f t="shared" si="803"/>
        <v>214062.79641617753</v>
      </c>
      <c r="BL116" s="216">
        <f t="shared" si="803"/>
        <v>265162.41498464148</v>
      </c>
      <c r="BM116" s="216">
        <f t="shared" si="803"/>
        <v>183567.99084922625</v>
      </c>
      <c r="BN116" s="194">
        <f>SUM(BJ116:BM116)</f>
        <v>868756.81583642028</v>
      </c>
      <c r="BO116" s="216">
        <f t="shared" si="804"/>
        <v>314575.18643939798</v>
      </c>
      <c r="BP116" s="216">
        <f t="shared" si="804"/>
        <v>279840.39903934905</v>
      </c>
      <c r="BQ116" s="216">
        <f t="shared" si="804"/>
        <v>241161.65249739727</v>
      </c>
      <c r="BR116" s="216">
        <f t="shared" si="804"/>
        <v>199892.9662554583</v>
      </c>
      <c r="BS116" s="194">
        <f>SUM(BO116:BR116)</f>
        <v>1035470.2042316026</v>
      </c>
      <c r="BT116" s="216">
        <f t="shared" si="805"/>
        <v>417038.87907096418</v>
      </c>
      <c r="BU116" s="216">
        <f t="shared" si="805"/>
        <v>483981.85488805128</v>
      </c>
      <c r="BV116" s="216">
        <f t="shared" si="805"/>
        <v>380635.44757990493</v>
      </c>
      <c r="BW116" s="216">
        <f t="shared" si="805"/>
        <v>372161.61476875562</v>
      </c>
      <c r="BX116" s="194">
        <f>SUM(BT116:BW116)</f>
        <v>1653817.796307676</v>
      </c>
      <c r="BY116" s="216">
        <f>BY112+BY114</f>
        <v>583626.69144559</v>
      </c>
      <c r="BZ116" s="216">
        <f t="shared" ref="BZ116" si="820">BZ112+BZ114</f>
        <v>650436.10176873626</v>
      </c>
      <c r="CA116" s="216">
        <f t="shared" si="806"/>
        <v>488283.88442751206</v>
      </c>
      <c r="CB116" s="216">
        <f t="shared" si="806"/>
        <v>359487.57211060636</v>
      </c>
      <c r="CC116" s="194">
        <f>SUM(BY116:CB116)</f>
        <v>2081834.2497524447</v>
      </c>
      <c r="CD116" s="216">
        <f>CD112+CD114</f>
        <v>571720.7893243297</v>
      </c>
      <c r="CE116" s="216">
        <f t="shared" si="807"/>
        <v>553589.87167741265</v>
      </c>
      <c r="CF116" s="216">
        <f>CF118*CF112</f>
        <v>519573.38474311214</v>
      </c>
      <c r="CG116" s="216">
        <f>CG118*CG112</f>
        <v>475032.78614881565</v>
      </c>
      <c r="CH116" s="194">
        <f>SUM(CD116:CG116)</f>
        <v>2119916.8318936704</v>
      </c>
      <c r="CI116" s="216">
        <f>CI118*CI112</f>
        <v>695275.2686192363</v>
      </c>
      <c r="CJ116" s="216">
        <f>CJ118*CJ112</f>
        <v>652224.10187493335</v>
      </c>
      <c r="CK116" s="216">
        <f>CK118*CK112</f>
        <v>543570.67253910599</v>
      </c>
      <c r="CL116" s="216">
        <f>CL118*CL112</f>
        <v>545020.07665284222</v>
      </c>
      <c r="CM116" s="194">
        <f>SUM(CI116:CL116)</f>
        <v>2436090.1196861179</v>
      </c>
      <c r="CN116" s="216">
        <f>CN118*CN112</f>
        <v>716268.91389050521</v>
      </c>
      <c r="CO116" s="216">
        <f>CO118*CO112</f>
        <v>696321.81867699733</v>
      </c>
      <c r="CP116" s="216">
        <f>CP118*CP112</f>
        <v>581308.84457765298</v>
      </c>
      <c r="CQ116" s="216">
        <f>CQ118*CQ112</f>
        <v>559979.72024245246</v>
      </c>
      <c r="CR116" s="194">
        <f>SUM(CN116:CQ116)</f>
        <v>2553879.2973876079</v>
      </c>
      <c r="CS116" s="216">
        <f>CS118*CS112</f>
        <v>739485.34732107003</v>
      </c>
      <c r="CT116" s="216">
        <f>CT118*CT112</f>
        <v>714151.26605949563</v>
      </c>
      <c r="CU116" s="216">
        <f>CU118*CU112</f>
        <v>594408.43565501145</v>
      </c>
      <c r="CV116" s="216">
        <f>CV118*CV112</f>
        <v>570743.04750671238</v>
      </c>
      <c r="CW116" s="194">
        <f>SUM(CS116:CV116)</f>
        <v>2618788.0965422895</v>
      </c>
      <c r="CX116" s="216">
        <f>CX118*CX112</f>
        <v>770956.22687281389</v>
      </c>
      <c r="CY116" s="216">
        <f>CY118*CY112</f>
        <v>743792.59559852106</v>
      </c>
      <c r="CZ116" s="216">
        <f>CZ118*CZ112</f>
        <v>618794.95903851767</v>
      </c>
      <c r="DA116" s="216">
        <f>DA118*DA112</f>
        <v>593861.6940822308</v>
      </c>
      <c r="DB116" s="194">
        <f>SUM(CX116:DA116)</f>
        <v>2727405.4755920838</v>
      </c>
    </row>
    <row r="117" spans="1:106" s="52" customFormat="1" ht="11.25" customHeight="1" outlineLevel="1" x14ac:dyDescent="0.35">
      <c r="A117" s="19" t="s">
        <v>333</v>
      </c>
      <c r="B117" s="21" t="e">
        <f t="shared" ref="B117:AE117" si="821">B115/B111</f>
        <v>#VALUE!</v>
      </c>
      <c r="C117" s="21" t="e">
        <f t="shared" si="821"/>
        <v>#DIV/0!</v>
      </c>
      <c r="D117" s="21" t="e">
        <f t="shared" si="821"/>
        <v>#DIV/0!</v>
      </c>
      <c r="E117" s="21" t="e">
        <f t="shared" si="821"/>
        <v>#DIV/0!</v>
      </c>
      <c r="F117" s="22" t="e">
        <f t="shared" si="821"/>
        <v>#DIV/0!</v>
      </c>
      <c r="G117" s="21" t="e">
        <f t="shared" si="821"/>
        <v>#DIV/0!</v>
      </c>
      <c r="H117" s="21" t="e">
        <f t="shared" si="821"/>
        <v>#DIV/0!</v>
      </c>
      <c r="I117" s="21" t="e">
        <f t="shared" si="821"/>
        <v>#DIV/0!</v>
      </c>
      <c r="J117" s="21" t="e">
        <f t="shared" si="821"/>
        <v>#DIV/0!</v>
      </c>
      <c r="K117" s="22" t="e">
        <f t="shared" si="821"/>
        <v>#DIV/0!</v>
      </c>
      <c r="L117" s="21" t="e">
        <f t="shared" si="821"/>
        <v>#DIV/0!</v>
      </c>
      <c r="M117" s="21" t="e">
        <f t="shared" si="821"/>
        <v>#DIV/0!</v>
      </c>
      <c r="N117" s="21" t="e">
        <f t="shared" si="821"/>
        <v>#DIV/0!</v>
      </c>
      <c r="O117" s="21" t="e">
        <f t="shared" si="821"/>
        <v>#DIV/0!</v>
      </c>
      <c r="P117" s="22" t="e">
        <f t="shared" si="821"/>
        <v>#DIV/0!</v>
      </c>
      <c r="Q117" s="21" t="e">
        <f t="shared" si="821"/>
        <v>#DIV/0!</v>
      </c>
      <c r="R117" s="21" t="e">
        <f t="shared" si="821"/>
        <v>#DIV/0!</v>
      </c>
      <c r="S117" s="21" t="e">
        <f t="shared" si="821"/>
        <v>#DIV/0!</v>
      </c>
      <c r="T117" s="21" t="e">
        <f t="shared" si="821"/>
        <v>#DIV/0!</v>
      </c>
      <c r="U117" s="22" t="e">
        <f t="shared" si="821"/>
        <v>#DIV/0!</v>
      </c>
      <c r="V117" s="21" t="e">
        <f t="shared" si="821"/>
        <v>#DIV/0!</v>
      </c>
      <c r="W117" s="21" t="e">
        <f t="shared" si="821"/>
        <v>#DIV/0!</v>
      </c>
      <c r="X117" s="21" t="e">
        <f t="shared" si="821"/>
        <v>#DIV/0!</v>
      </c>
      <c r="Y117" s="21" t="e">
        <f t="shared" si="821"/>
        <v>#DIV/0!</v>
      </c>
      <c r="Z117" s="22" t="e">
        <f t="shared" si="821"/>
        <v>#DIV/0!</v>
      </c>
      <c r="AA117" s="21" t="e">
        <f t="shared" si="821"/>
        <v>#DIV/0!</v>
      </c>
      <c r="AB117" s="21" t="e">
        <f t="shared" si="821"/>
        <v>#DIV/0!</v>
      </c>
      <c r="AC117" s="21" t="e">
        <f t="shared" si="821"/>
        <v>#DIV/0!</v>
      </c>
      <c r="AD117" s="21" t="e">
        <f t="shared" si="821"/>
        <v>#DIV/0!</v>
      </c>
      <c r="AE117" s="22" t="e">
        <f t="shared" si="821"/>
        <v>#DIV/0!</v>
      </c>
      <c r="AF117" s="21" t="e">
        <f t="shared" ref="AF117:AG117" si="822">AF115/AF111</f>
        <v>#DIV/0!</v>
      </c>
      <c r="AG117" s="21" t="e">
        <f t="shared" si="822"/>
        <v>#DIV/0!</v>
      </c>
      <c r="AH117" s="21" t="e">
        <f t="shared" ref="AH117:BM117" si="823">AH115/AH111</f>
        <v>#DIV/0!</v>
      </c>
      <c r="AI117" s="21" t="e">
        <f t="shared" si="823"/>
        <v>#DIV/0!</v>
      </c>
      <c r="AJ117" s="22" t="e">
        <f t="shared" si="823"/>
        <v>#DIV/0!</v>
      </c>
      <c r="AK117" s="21" t="e">
        <f t="shared" si="823"/>
        <v>#DIV/0!</v>
      </c>
      <c r="AL117" s="21" t="e">
        <f t="shared" si="823"/>
        <v>#DIV/0!</v>
      </c>
      <c r="AM117" s="21" t="e">
        <f t="shared" si="823"/>
        <v>#DIV/0!</v>
      </c>
      <c r="AN117" s="21" t="e">
        <f t="shared" si="823"/>
        <v>#DIV/0!</v>
      </c>
      <c r="AO117" s="22" t="e">
        <f t="shared" si="823"/>
        <v>#DIV/0!</v>
      </c>
      <c r="AP117" s="21" t="e">
        <f t="shared" si="823"/>
        <v>#DIV/0!</v>
      </c>
      <c r="AQ117" s="21" t="e">
        <f t="shared" si="823"/>
        <v>#DIV/0!</v>
      </c>
      <c r="AR117" s="21" t="e">
        <f t="shared" si="823"/>
        <v>#DIV/0!</v>
      </c>
      <c r="AS117" s="21" t="e">
        <f t="shared" si="823"/>
        <v>#DIV/0!</v>
      </c>
      <c r="AT117" s="22" t="e">
        <f t="shared" si="823"/>
        <v>#DIV/0!</v>
      </c>
      <c r="AU117" s="21" t="e">
        <f t="shared" si="823"/>
        <v>#DIV/0!</v>
      </c>
      <c r="AV117" s="21" t="e">
        <f t="shared" si="823"/>
        <v>#DIV/0!</v>
      </c>
      <c r="AW117" s="21" t="e">
        <f t="shared" si="823"/>
        <v>#DIV/0!</v>
      </c>
      <c r="AX117" s="21" t="e">
        <f t="shared" si="823"/>
        <v>#DIV/0!</v>
      </c>
      <c r="AY117" s="22" t="e">
        <f t="shared" si="823"/>
        <v>#DIV/0!</v>
      </c>
      <c r="AZ117" s="21">
        <f t="shared" si="823"/>
        <v>0.34290193040618872</v>
      </c>
      <c r="BA117" s="21">
        <f t="shared" si="823"/>
        <v>0.32391541971542676</v>
      </c>
      <c r="BB117" s="21">
        <f t="shared" si="823"/>
        <v>0.3624070532262636</v>
      </c>
      <c r="BC117" s="21">
        <f t="shared" si="823"/>
        <v>0.39932397127389657</v>
      </c>
      <c r="BD117" s="22">
        <f t="shared" si="823"/>
        <v>0.39932397127389657</v>
      </c>
      <c r="BE117" s="21">
        <f t="shared" si="823"/>
        <v>0.39037451025998904</v>
      </c>
      <c r="BF117" s="21">
        <f t="shared" si="823"/>
        <v>0.37137184320684741</v>
      </c>
      <c r="BG117" s="21">
        <f t="shared" si="823"/>
        <v>0.36455545536705719</v>
      </c>
      <c r="BH117" s="21">
        <f t="shared" si="823"/>
        <v>0.39249992716038118</v>
      </c>
      <c r="BI117" s="22">
        <f t="shared" si="823"/>
        <v>0.39249992716038118</v>
      </c>
      <c r="BJ117" s="21">
        <f t="shared" si="823"/>
        <v>0.39145404422218966</v>
      </c>
      <c r="BK117" s="21">
        <f t="shared" si="823"/>
        <v>0.40138240296568983</v>
      </c>
      <c r="BL117" s="21">
        <f t="shared" si="823"/>
        <v>0.40633961869593005</v>
      </c>
      <c r="BM117" s="21">
        <f t="shared" si="823"/>
        <v>0.42773697926844823</v>
      </c>
      <c r="BN117" s="22">
        <f t="shared" ref="BN117:CS117" si="824">BN115/BN111</f>
        <v>0.42773697926844823</v>
      </c>
      <c r="BO117" s="21">
        <f t="shared" si="824"/>
        <v>0.42299365975044434</v>
      </c>
      <c r="BP117" s="21">
        <f t="shared" si="824"/>
        <v>0.42361921844465644</v>
      </c>
      <c r="BQ117" s="21">
        <f t="shared" si="824"/>
        <v>0.42296095274453571</v>
      </c>
      <c r="BR117" s="21">
        <f t="shared" si="824"/>
        <v>0.42198776219622519</v>
      </c>
      <c r="BS117" s="22">
        <f t="shared" si="824"/>
        <v>0.42198776219622519</v>
      </c>
      <c r="BT117" s="21">
        <f t="shared" si="824"/>
        <v>0.42271041861707803</v>
      </c>
      <c r="BU117" s="21">
        <f t="shared" si="824"/>
        <v>0.42380081020303945</v>
      </c>
      <c r="BV117" s="21">
        <f t="shared" si="824"/>
        <v>0.43010832052829184</v>
      </c>
      <c r="BW117" s="21">
        <f t="shared" si="824"/>
        <v>0.43617292842965855</v>
      </c>
      <c r="BX117" s="22">
        <f t="shared" si="824"/>
        <v>0.43617292842965855</v>
      </c>
      <c r="BY117" s="21">
        <f t="shared" si="824"/>
        <v>0.43734379685684543</v>
      </c>
      <c r="BZ117" s="21">
        <f t="shared" ref="BZ117:CB118" si="825">BZ115/BZ111</f>
        <v>0.43363505384094608</v>
      </c>
      <c r="CA117" s="21">
        <f t="shared" si="825"/>
        <v>0.4359191894466044</v>
      </c>
      <c r="CB117" s="21">
        <f t="shared" si="825"/>
        <v>0.43604691854255645</v>
      </c>
      <c r="CC117" s="22">
        <f t="shared" si="824"/>
        <v>0.43604691854255645</v>
      </c>
      <c r="CD117" s="21">
        <f t="shared" ref="CD117:CE118" si="826">CD115/CD111</f>
        <v>0.43660630473884865</v>
      </c>
      <c r="CE117" s="21">
        <f t="shared" si="826"/>
        <v>0.43140304724016881</v>
      </c>
      <c r="CF117" s="21">
        <f t="shared" si="824"/>
        <v>0.43768668149047141</v>
      </c>
      <c r="CG117" s="21">
        <f t="shared" si="824"/>
        <v>0.43306140973665197</v>
      </c>
      <c r="CH117" s="22">
        <f t="shared" si="824"/>
        <v>0.43306140973665197</v>
      </c>
      <c r="CI117" s="21">
        <f t="shared" si="824"/>
        <v>0.42969802084859698</v>
      </c>
      <c r="CJ117" s="21">
        <f t="shared" si="824"/>
        <v>0.42519263779401156</v>
      </c>
      <c r="CK117" s="21">
        <f t="shared" si="824"/>
        <v>0.42118726085634306</v>
      </c>
      <c r="CL117" s="21">
        <f t="shared" si="824"/>
        <v>0.41797044466928002</v>
      </c>
      <c r="CM117" s="22">
        <f t="shared" si="824"/>
        <v>0.41797044466928002</v>
      </c>
      <c r="CN117" s="21">
        <f t="shared" si="824"/>
        <v>0.41652923131429498</v>
      </c>
      <c r="CO117" s="21">
        <f t="shared" si="824"/>
        <v>0.41369060574825811</v>
      </c>
      <c r="CP117" s="21">
        <f t="shared" si="824"/>
        <v>0.4113649661175266</v>
      </c>
      <c r="CQ117" s="21">
        <f t="shared" si="824"/>
        <v>0.40978479155487701</v>
      </c>
      <c r="CR117" s="22">
        <f t="shared" si="824"/>
        <v>0.40978479155487701</v>
      </c>
      <c r="CS117" s="21">
        <f t="shared" si="824"/>
        <v>0.40899243235682597</v>
      </c>
      <c r="CT117" s="21">
        <f t="shared" ref="CT117:DB117" si="827">CT115/CT111</f>
        <v>0.40604868677206984</v>
      </c>
      <c r="CU117" s="21">
        <f t="shared" si="827"/>
        <v>0.40362146545002608</v>
      </c>
      <c r="CV117" s="21">
        <f t="shared" si="827"/>
        <v>0.40196148485446986</v>
      </c>
      <c r="CW117" s="22">
        <f t="shared" si="827"/>
        <v>0.40196148485446986</v>
      </c>
      <c r="CX117" s="21">
        <f t="shared" si="827"/>
        <v>0.40056425785871869</v>
      </c>
      <c r="CY117" s="21">
        <f t="shared" si="827"/>
        <v>0.39856562299060855</v>
      </c>
      <c r="CZ117" s="21">
        <f t="shared" si="827"/>
        <v>0.39690169394193703</v>
      </c>
      <c r="DA117" s="21">
        <f t="shared" si="827"/>
        <v>0.39575642619731083</v>
      </c>
      <c r="DB117" s="22">
        <f t="shared" si="827"/>
        <v>0.39575642619731083</v>
      </c>
    </row>
    <row r="118" spans="1:106" s="52" customFormat="1" ht="11.25" customHeight="1" outlineLevel="1" x14ac:dyDescent="0.35">
      <c r="A118" s="70" t="s">
        <v>334</v>
      </c>
      <c r="B118" s="99" t="e">
        <f t="shared" ref="B118:AE118" si="828">B116/B112</f>
        <v>#VALUE!</v>
      </c>
      <c r="C118" s="99" t="e">
        <f t="shared" si="828"/>
        <v>#DIV/0!</v>
      </c>
      <c r="D118" s="99" t="e">
        <f t="shared" si="828"/>
        <v>#DIV/0!</v>
      </c>
      <c r="E118" s="99" t="e">
        <f t="shared" si="828"/>
        <v>#DIV/0!</v>
      </c>
      <c r="F118" s="100" t="e">
        <f t="shared" si="828"/>
        <v>#VALUE!</v>
      </c>
      <c r="G118" s="99" t="e">
        <f t="shared" si="828"/>
        <v>#DIV/0!</v>
      </c>
      <c r="H118" s="99" t="e">
        <f t="shared" si="828"/>
        <v>#DIV/0!</v>
      </c>
      <c r="I118" s="99" t="e">
        <f t="shared" si="828"/>
        <v>#DIV/0!</v>
      </c>
      <c r="J118" s="99" t="e">
        <f t="shared" si="828"/>
        <v>#DIV/0!</v>
      </c>
      <c r="K118" s="100" t="e">
        <f t="shared" si="828"/>
        <v>#DIV/0!</v>
      </c>
      <c r="L118" s="99" t="e">
        <f t="shared" si="828"/>
        <v>#DIV/0!</v>
      </c>
      <c r="M118" s="99" t="e">
        <f t="shared" si="828"/>
        <v>#DIV/0!</v>
      </c>
      <c r="N118" s="99" t="e">
        <f t="shared" si="828"/>
        <v>#DIV/0!</v>
      </c>
      <c r="O118" s="99" t="e">
        <f t="shared" si="828"/>
        <v>#DIV/0!</v>
      </c>
      <c r="P118" s="100" t="e">
        <f t="shared" si="828"/>
        <v>#DIV/0!</v>
      </c>
      <c r="Q118" s="99" t="e">
        <f t="shared" si="828"/>
        <v>#DIV/0!</v>
      </c>
      <c r="R118" s="99" t="e">
        <f t="shared" si="828"/>
        <v>#DIV/0!</v>
      </c>
      <c r="S118" s="99" t="e">
        <f t="shared" si="828"/>
        <v>#DIV/0!</v>
      </c>
      <c r="T118" s="99" t="e">
        <f t="shared" si="828"/>
        <v>#DIV/0!</v>
      </c>
      <c r="U118" s="100" t="e">
        <f t="shared" si="828"/>
        <v>#DIV/0!</v>
      </c>
      <c r="V118" s="99" t="e">
        <f t="shared" si="828"/>
        <v>#DIV/0!</v>
      </c>
      <c r="W118" s="99" t="e">
        <f t="shared" si="828"/>
        <v>#DIV/0!</v>
      </c>
      <c r="X118" s="99" t="e">
        <f t="shared" si="828"/>
        <v>#DIV/0!</v>
      </c>
      <c r="Y118" s="99" t="e">
        <f t="shared" si="828"/>
        <v>#DIV/0!</v>
      </c>
      <c r="Z118" s="100" t="e">
        <f t="shared" si="828"/>
        <v>#DIV/0!</v>
      </c>
      <c r="AA118" s="99" t="e">
        <f t="shared" si="828"/>
        <v>#DIV/0!</v>
      </c>
      <c r="AB118" s="99" t="e">
        <f t="shared" si="828"/>
        <v>#DIV/0!</v>
      </c>
      <c r="AC118" s="99" t="e">
        <f t="shared" si="828"/>
        <v>#DIV/0!</v>
      </c>
      <c r="AD118" s="99" t="e">
        <f t="shared" si="828"/>
        <v>#DIV/0!</v>
      </c>
      <c r="AE118" s="100" t="e">
        <f t="shared" si="828"/>
        <v>#DIV/0!</v>
      </c>
      <c r="AF118" s="99" t="e">
        <f t="shared" ref="AF118:AG118" si="829">AF116/AF112</f>
        <v>#DIV/0!</v>
      </c>
      <c r="AG118" s="99" t="e">
        <f t="shared" si="829"/>
        <v>#DIV/0!</v>
      </c>
      <c r="AH118" s="99" t="e">
        <f t="shared" ref="AH118:BM118" si="830">AH116/AH112</f>
        <v>#DIV/0!</v>
      </c>
      <c r="AI118" s="99" t="e">
        <f t="shared" si="830"/>
        <v>#DIV/0!</v>
      </c>
      <c r="AJ118" s="100" t="e">
        <f t="shared" si="830"/>
        <v>#DIV/0!</v>
      </c>
      <c r="AK118" s="99" t="e">
        <f t="shared" si="830"/>
        <v>#DIV/0!</v>
      </c>
      <c r="AL118" s="99" t="e">
        <f t="shared" si="830"/>
        <v>#DIV/0!</v>
      </c>
      <c r="AM118" s="99" t="e">
        <f t="shared" si="830"/>
        <v>#DIV/0!</v>
      </c>
      <c r="AN118" s="99" t="e">
        <f t="shared" si="830"/>
        <v>#DIV/0!</v>
      </c>
      <c r="AO118" s="100" t="e">
        <f t="shared" si="830"/>
        <v>#DIV/0!</v>
      </c>
      <c r="AP118" s="99" t="e">
        <f t="shared" si="830"/>
        <v>#DIV/0!</v>
      </c>
      <c r="AQ118" s="99" t="e">
        <f t="shared" si="830"/>
        <v>#DIV/0!</v>
      </c>
      <c r="AR118" s="99" t="e">
        <f t="shared" si="830"/>
        <v>#DIV/0!</v>
      </c>
      <c r="AS118" s="99" t="e">
        <f t="shared" si="830"/>
        <v>#DIV/0!</v>
      </c>
      <c r="AT118" s="100" t="e">
        <f t="shared" si="830"/>
        <v>#DIV/0!</v>
      </c>
      <c r="AU118" s="99" t="e">
        <f t="shared" si="830"/>
        <v>#DIV/0!</v>
      </c>
      <c r="AV118" s="99" t="e">
        <f t="shared" si="830"/>
        <v>#DIV/0!</v>
      </c>
      <c r="AW118" s="99" t="e">
        <f t="shared" si="830"/>
        <v>#DIV/0!</v>
      </c>
      <c r="AX118" s="99">
        <f t="shared" si="830"/>
        <v>0.35226179448971462</v>
      </c>
      <c r="AY118" s="100">
        <f t="shared" si="830"/>
        <v>0.35226179448971462</v>
      </c>
      <c r="AZ118" s="99">
        <f t="shared" si="830"/>
        <v>0.29073448841287258</v>
      </c>
      <c r="BA118" s="99">
        <f t="shared" si="830"/>
        <v>0.60963198489380788</v>
      </c>
      <c r="BB118" s="99">
        <f t="shared" si="830"/>
        <v>0.53736248599436831</v>
      </c>
      <c r="BC118" s="99">
        <f t="shared" si="830"/>
        <v>0.35316269330535222</v>
      </c>
      <c r="BD118" s="100">
        <f t="shared" si="830"/>
        <v>0.45915056324582815</v>
      </c>
      <c r="BE118" s="99">
        <f t="shared" si="830"/>
        <v>0.34006191232332744</v>
      </c>
      <c r="BF118" s="99">
        <f t="shared" si="830"/>
        <v>0.37471177961112284</v>
      </c>
      <c r="BG118" s="99">
        <f t="shared" si="830"/>
        <v>0.44528647293070894</v>
      </c>
      <c r="BH118" s="99">
        <f t="shared" si="830"/>
        <v>0.38658856257151342</v>
      </c>
      <c r="BI118" s="100">
        <f t="shared" si="830"/>
        <v>0.39126795403785219</v>
      </c>
      <c r="BJ118" s="99">
        <f t="shared" si="830"/>
        <v>0.41163299191013275</v>
      </c>
      <c r="BK118" s="99">
        <f t="shared" si="830"/>
        <v>0.41790966568186233</v>
      </c>
      <c r="BL118" s="99">
        <f t="shared" si="830"/>
        <v>0.4674420070007097</v>
      </c>
      <c r="BM118" s="99">
        <f t="shared" si="830"/>
        <v>0.3820156835818056</v>
      </c>
      <c r="BN118" s="100">
        <f t="shared" ref="BN118:BY118" si="831">BN116/BN112</f>
        <v>0.42165138784048012</v>
      </c>
      <c r="BO118" s="99">
        <f t="shared" si="831"/>
        <v>0.41022599117624792</v>
      </c>
      <c r="BP118" s="99">
        <f t="shared" si="831"/>
        <v>0.40226192813028078</v>
      </c>
      <c r="BQ118" s="99">
        <f t="shared" si="831"/>
        <v>0.40256576745024886</v>
      </c>
      <c r="BR118" s="99">
        <f t="shared" si="831"/>
        <v>0.40572936048025171</v>
      </c>
      <c r="BS118" s="100">
        <f t="shared" si="831"/>
        <v>0.40539297965087051</v>
      </c>
      <c r="BT118" s="99">
        <f t="shared" si="831"/>
        <v>0.41633913788192595</v>
      </c>
      <c r="BU118" s="99">
        <f t="shared" si="831"/>
        <v>0.44003766908040431</v>
      </c>
      <c r="BV118" s="99">
        <f t="shared" si="831"/>
        <v>0.44806681480755278</v>
      </c>
      <c r="BW118" s="99">
        <f t="shared" si="831"/>
        <v>0.42194318957866939</v>
      </c>
      <c r="BX118" s="100">
        <f t="shared" si="831"/>
        <v>0.43146041394804729</v>
      </c>
      <c r="BY118" s="99">
        <f t="shared" si="831"/>
        <v>0.41051882567273362</v>
      </c>
      <c r="BZ118" s="99">
        <f t="shared" ref="BZ118" si="832">BZ116/BZ112</f>
        <v>0.43460546493303837</v>
      </c>
      <c r="CA118" s="99">
        <f t="shared" si="825"/>
        <v>0.42625797780619107</v>
      </c>
      <c r="CB118" s="99">
        <f t="shared" si="825"/>
        <v>0.41260620628315531</v>
      </c>
      <c r="CC118" s="100">
        <f>CC116/CC112</f>
        <v>0.42184520172096651</v>
      </c>
      <c r="CD118" s="99">
        <f t="shared" ref="CD118" si="833">CD116/CD112</f>
        <v>0.39433031244511402</v>
      </c>
      <c r="CE118" s="99">
        <f t="shared" si="826"/>
        <v>0.45881555432862819</v>
      </c>
      <c r="CF118" s="412">
        <v>0.39</v>
      </c>
      <c r="CG118" s="412">
        <v>0.39</v>
      </c>
      <c r="CH118" s="100">
        <f>CH116/CH112</f>
        <v>0.40715267374971231</v>
      </c>
      <c r="CI118" s="412">
        <v>0.39500000000000002</v>
      </c>
      <c r="CJ118" s="108">
        <f>CI118</f>
        <v>0.39500000000000002</v>
      </c>
      <c r="CK118" s="108">
        <f>CJ118</f>
        <v>0.39500000000000002</v>
      </c>
      <c r="CL118" s="108">
        <f>CK118</f>
        <v>0.39500000000000002</v>
      </c>
      <c r="CM118" s="100">
        <f>CM116/CM112</f>
        <v>0.39500000000000002</v>
      </c>
      <c r="CN118" s="412">
        <v>0.39</v>
      </c>
      <c r="CO118" s="108">
        <f>CN118</f>
        <v>0.39</v>
      </c>
      <c r="CP118" s="108">
        <f>CO118</f>
        <v>0.39</v>
      </c>
      <c r="CQ118" s="108">
        <f>CP118</f>
        <v>0.39</v>
      </c>
      <c r="CR118" s="100">
        <f>CR116/CR112</f>
        <v>0.39</v>
      </c>
      <c r="CS118" s="412">
        <v>0.38</v>
      </c>
      <c r="CT118" s="108">
        <f>CS118</f>
        <v>0.38</v>
      </c>
      <c r="CU118" s="108">
        <f>CT118</f>
        <v>0.38</v>
      </c>
      <c r="CV118" s="108">
        <f>CU118</f>
        <v>0.38</v>
      </c>
      <c r="CW118" s="100">
        <f>CW116/CW112</f>
        <v>0.38</v>
      </c>
      <c r="CX118" s="108">
        <f>CV118</f>
        <v>0.38</v>
      </c>
      <c r="CY118" s="108">
        <f>CX118</f>
        <v>0.38</v>
      </c>
      <c r="CZ118" s="108">
        <f>CY118</f>
        <v>0.38</v>
      </c>
      <c r="DA118" s="108">
        <f>CZ118</f>
        <v>0.38</v>
      </c>
      <c r="DB118" s="100">
        <f>DB116/DB112</f>
        <v>0.38000000000000006</v>
      </c>
    </row>
    <row r="120" spans="1:106" ht="11.25" customHeight="1" x14ac:dyDescent="0.35">
      <c r="BV120" s="7">
        <v>43</v>
      </c>
      <c r="BX120" s="496"/>
      <c r="CC120" s="634" t="s">
        <v>439</v>
      </c>
      <c r="CH120" s="478">
        <v>7000</v>
      </c>
      <c r="CM120" s="478">
        <v>8600</v>
      </c>
    </row>
    <row r="121" spans="1:106" ht="11.25" customHeight="1" x14ac:dyDescent="0.35">
      <c r="BV121" s="7">
        <v>434</v>
      </c>
      <c r="BX121" s="9"/>
      <c r="CC121" s="634" t="s">
        <v>441</v>
      </c>
      <c r="CH121" s="633">
        <v>0.39300000000000002</v>
      </c>
      <c r="CM121" s="633">
        <v>0.39500000000000002</v>
      </c>
    </row>
    <row r="122" spans="1:106" ht="11.25" customHeight="1" x14ac:dyDescent="0.35">
      <c r="BV122" s="7">
        <v>738</v>
      </c>
      <c r="BX122" s="9"/>
      <c r="CC122" s="634" t="s">
        <v>440</v>
      </c>
      <c r="CH122" s="633">
        <v>0.04</v>
      </c>
      <c r="CM122" s="633">
        <v>0.04</v>
      </c>
    </row>
    <row r="123" spans="1:106" ht="11.25" customHeight="1" x14ac:dyDescent="0.35">
      <c r="BX123" s="9"/>
      <c r="CC123" s="634" t="s">
        <v>442</v>
      </c>
      <c r="CH123" s="478">
        <v>1300</v>
      </c>
      <c r="CM123" s="478">
        <v>1600</v>
      </c>
    </row>
    <row r="124" spans="1:106" ht="11.25" customHeight="1" x14ac:dyDescent="0.35">
      <c r="BV124" s="77">
        <f>SUM(BV120:BV122)*1000</f>
        <v>1215000</v>
      </c>
      <c r="CC124" s="634" t="s">
        <v>443</v>
      </c>
      <c r="CH124" s="478">
        <v>900</v>
      </c>
      <c r="CM124" s="478">
        <f>CM123*0.7</f>
        <v>1120</v>
      </c>
    </row>
    <row r="125" spans="1:106" ht="11.25" customHeight="1" x14ac:dyDescent="0.35">
      <c r="BV125" s="77">
        <f>'BS &amp; FCF'!CA36</f>
        <v>1586228</v>
      </c>
      <c r="CH125" s="73">
        <f>CH124/CH123</f>
        <v>0.69230769230769229</v>
      </c>
      <c r="CM125" s="73">
        <f>CM124/CM123</f>
        <v>0.7</v>
      </c>
    </row>
    <row r="126" spans="1:106" ht="11.25" customHeight="1" x14ac:dyDescent="0.35">
      <c r="BV126" s="77">
        <f>-'BS &amp; FCF'!CA6-300000</f>
        <v>-2073203</v>
      </c>
    </row>
    <row r="127" spans="1:106" ht="11.25" customHeight="1" x14ac:dyDescent="0.35">
      <c r="BV127" s="77">
        <f>SUM(BV124:BV126)</f>
        <v>728025</v>
      </c>
    </row>
    <row r="128" spans="1:106" ht="11.25" customHeight="1" x14ac:dyDescent="0.35">
      <c r="BV128" s="77">
        <f>'BS &amp; FCF'!CA43</f>
        <v>1385221</v>
      </c>
    </row>
    <row r="129" spans="74:74" ht="11.25" customHeight="1" x14ac:dyDescent="0.35">
      <c r="BV129" s="9">
        <f>BV127/BV128</f>
        <v>0.5255659566235279</v>
      </c>
    </row>
  </sheetData>
  <pageMargins left="0.7" right="0.7" top="0.75" bottom="0.75" header="0.3" footer="0.3"/>
  <pageSetup orientation="portrait" r:id="rId1"/>
  <headerFooter>
    <oddFooter>&amp;L_x000D_&amp;1#&amp;"Calibri"&amp;9&amp;K000000 Corporativo | Interno</oddFooter>
  </headerFooter>
  <ignoredErrors>
    <ignoredError sqref="A1:BX1 A50:BZ50 A48:AJ48 AT48:BZ48 AO48 A56:BZ56 A55:AO55 AT55:BE55 A65:BZ91 A64:AJ64 AO64 AT64:BY64 A95:BZ95 A94:AJ94 AO94 AT94:BZ94 A109:BZ117 A107:AJ108 AT107:BZ108 AO107:AO108 A119:BW119 A118:BZ118 CC118 CH118 A22:BZ24 A21:BZ21 A3:BZ7 A2:BS2 CC21 CM21:XFD21 A27:BZ30 A25:BZ25 CC25 A14:BZ14 A12:BZ12 CC12 CH12 CM12 CR12 CW12 DB12:XFD12 A32:BZ38 A31:BZ31 CC31 A20:AL20 CC20 A105:BZ106 A104:BZ104 CC104 CG104:CM104 A40:BZ40 A39:BZ39 CC39 A42:BZ42 A41:BZ41 CC41 A16:BZ19 A15:BZ15 CC15 CJ118:CM118 A13:BZ13 CC13 A101:BZ103 A98:BY98 CH13:XFD13 CC64 BH55:BZ55 CO104:XFD104 CO118:CR118 CH39 CH41 CN40:XFD40 CN39:XFD39 CN41:XFD41 A44:BZ45 A43:BZ43 CC43 A47:BZ47 A46:BS46 DC43:XFD43 CX46:XFD46 CG20:CH20 A49:BA49 BC49:BZ49 DC25:XFD25 CC1:CD1 DC31:XFD31 A26:BZ26 CC26 A58:BZ58 A57:BS57 DD57:XFD57 A93:BZ93 A92:BZ92 CI92:XFD92 A53:BZ54 A51:BZ51 DD51:XFD51 CS57:DA57 CP20:XFD20 A52:BZ52 CC52 A9:BZ9 A8:BR8 BT8:BZ8 A11:BZ11 A10:AL10 AN10:AV10 AX10:BZ10 AN20:BZ20 A61:BZ63 A59:AJ59 AL59:BZ59 A60:AJ60 AL60:BZ60 CC55 CH55 CM20 CC49 DC55:XFD55 CC50 CC48 CB56:CD56 CC22:CC24 CB3:XFD3 CC27:CC30 CC14 CC32:CC38 CC40 CC42 CC16:CC17 CC44 CB47:XFD47 CB54:XFD54 CC51 CC9 CC8 CC11 CC10 CB76:CD76 CC95 CC94 CC109:CC117 CC107:CC108 CB105:XFD106 CC101:CC103 CB58:XFD58 CB93:XFD93 CB92:CD92 CC61:CC63 CC59 CC60 A130:XFD1048576 A120:BU120 BW120 A121:BU121 BW121 A122:BU122 BW122 A123:BU123 BW123 A124:BU124 BW124 A125:BU125 BW125 A126:BU126 BW126:XFD126 A127:BU127 BW127:XFD127 A128:BU128 BW128:XFD128 A129:BU129 BW129:XFD129 BZ120:CB120 BZ121:CB121 BZ122:CB122 BZ123:CB123 CC45 CF1:XFD1 CC19 CC18 DC56:XFD56 CG26:XFD26 CC4:CC7 CC53 CC65:CC74 CB84:CC84 CC77:CC83 CC85:CC91 BZ119:XFD119 BZ124:CB124 BZ125:CG125 CN2:XFD2 CT118:XFD118 CB75:CD75 CS75:XFD75 CF56:CH56 CF15:XFD15 CF22:XFD24 CF27:XFD30 CF14:XFD14 CF32:XFD38 CF40:CI40 CF42:XFD42 CF16:XFD17 CF44:XFD44 CF9:XFD9 CF8:XFD8 CF11:XFD11 CF10:XFD10 CF45:XFD45 CF19:XFD19 CF18:XFD18 CF4:XFD7 CF52:XFD52 CF49:XFD49 CF50:XFD50 CF48:XFD48 CF51:DB51 CF53:XFD53 CF64:XFD64 CF61:XFD63 CF59:XFD59 CF60:XFD60 CF65:XFD74 CF84:XFD84 CF77:XFD83 CF85:XFD91 CH98:XFD98 CF95:XFD95 CF94:XFD94 CF101:XFD103 CF109:XFD117 CF107:XFD108 CI120:CL120 CD120:CG120 CI121:CL121 CI122:CL122 CD122:CG122 CI123:CL123 CD121:CG121 CD123:CG123 CI124:CL124 CN120:XFD120 CN121:XFD121 CN122:XFD122 CN123:XFD123 CN124:XFD124 CI125:CL125 CN125:XFD125 CF76:XFD76 CF75:CQ75 A96:BY97 A99:BY100 CH96:XFD97 CH99:XFD100" formula="1"/>
    <ignoredError sqref="CF99:CG100 CF96:CG97 CF98:CG98 CC99:CC100 CC96:CC97 CC98 BZ98 BZ99:BZ100 BZ96:BZ97" formula="1" formulaRange="1"/>
    <ignoredError sqref="CA98:CB98 CA96:CB97 CA99:CB100 CD98:CE98 CD96:CE97 CD99:CE100" formulaRange="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87B1-3C2C-4A2A-978C-3BDF2739EB39}">
  <sheetPr>
    <tabColor rgb="FFFFFF99"/>
  </sheetPr>
  <dimension ref="A1:DB153"/>
  <sheetViews>
    <sheetView showGridLines="0" zoomScaleNormal="100" workbookViewId="0">
      <pane xSplit="1" ySplit="3" topLeftCell="BI46" activePane="bottomRight" state="frozen"/>
      <selection pane="topRight" activeCell="B1" sqref="B1"/>
      <selection pane="bottomLeft" activeCell="A4" sqref="A4"/>
      <selection pane="bottomRight" activeCell="CH109" sqref="CH109"/>
    </sheetView>
  </sheetViews>
  <sheetFormatPr defaultColWidth="11" defaultRowHeight="11.5" customHeight="1" outlineLevelRow="1" outlineLevelCol="1" x14ac:dyDescent="0.35"/>
  <cols>
    <col min="1" max="1" width="30.7265625" style="52" customWidth="1"/>
    <col min="2" max="3" width="11" style="52" hidden="1" customWidth="1" outlineLevel="1" collapsed="1"/>
    <col min="4" max="5" width="11" style="52" hidden="1" customWidth="1" outlineLevel="1"/>
    <col min="6" max="6" width="0" style="52" hidden="1" customWidth="1" collapsed="1"/>
    <col min="7" max="8" width="11" style="52" hidden="1" customWidth="1" outlineLevel="1" collapsed="1"/>
    <col min="9" max="10" width="11" style="52" hidden="1" customWidth="1" outlineLevel="1"/>
    <col min="11" max="11" width="0" style="52" hidden="1" customWidth="1" collapsed="1"/>
    <col min="12" max="13" width="11" style="52" hidden="1" customWidth="1" outlineLevel="1" collapsed="1"/>
    <col min="14" max="15" width="11" style="52" hidden="1" customWidth="1" outlineLevel="1"/>
    <col min="16" max="16" width="0" style="52" hidden="1" customWidth="1" collapsed="1"/>
    <col min="17" max="18" width="11" style="52" hidden="1" customWidth="1" outlineLevel="1" collapsed="1"/>
    <col min="19" max="20" width="11" style="52" hidden="1" customWidth="1" outlineLevel="1"/>
    <col min="21" max="21" width="0" style="52" hidden="1" customWidth="1" collapsed="1"/>
    <col min="22" max="23" width="11" style="52" hidden="1" customWidth="1" outlineLevel="1" collapsed="1"/>
    <col min="24" max="25" width="11" style="52" hidden="1" customWidth="1" outlineLevel="1"/>
    <col min="26" max="26" width="0" style="52" hidden="1" customWidth="1" collapsed="1"/>
    <col min="27" max="28" width="11" style="52" hidden="1" customWidth="1" outlineLevel="1" collapsed="1"/>
    <col min="29" max="30" width="11" style="52" hidden="1" customWidth="1" outlineLevel="1"/>
    <col min="31" max="31" width="0" style="52" hidden="1" customWidth="1" collapsed="1"/>
    <col min="32" max="33" width="11" style="52" hidden="1" customWidth="1" outlineLevel="1" collapsed="1"/>
    <col min="34" max="35" width="11" style="52" hidden="1" customWidth="1" outlineLevel="1"/>
    <col min="36" max="36" width="0" style="52" hidden="1" customWidth="1" collapsed="1"/>
    <col min="37" max="38" width="11" style="52" hidden="1" customWidth="1" outlineLevel="1" collapsed="1"/>
    <col min="39" max="40" width="11" style="52" hidden="1" customWidth="1" outlineLevel="1"/>
    <col min="41" max="41" width="11" style="52" collapsed="1"/>
    <col min="42" max="43" width="11" style="52" hidden="1" customWidth="1" outlineLevel="1" collapsed="1"/>
    <col min="44" max="45" width="11" style="52" hidden="1" customWidth="1" outlineLevel="1"/>
    <col min="46" max="46" width="11" style="52" collapsed="1"/>
    <col min="47" max="48" width="11" style="52" hidden="1" customWidth="1" outlineLevel="1" collapsed="1"/>
    <col min="49" max="50" width="11" style="52" hidden="1" customWidth="1" outlineLevel="1"/>
    <col min="51" max="51" width="11" style="52" collapsed="1"/>
    <col min="52" max="53" width="11" style="52" hidden="1" customWidth="1" outlineLevel="1" collapsed="1"/>
    <col min="54" max="55" width="11" style="52" hidden="1" customWidth="1" outlineLevel="1"/>
    <col min="56" max="56" width="11" style="52" collapsed="1"/>
    <col min="57" max="58" width="11" style="52" hidden="1" customWidth="1" outlineLevel="1" collapsed="1"/>
    <col min="59" max="60" width="11" style="52" hidden="1" customWidth="1" outlineLevel="1"/>
    <col min="61" max="61" width="11" style="52" collapsed="1"/>
    <col min="62" max="63" width="11" style="52" hidden="1" customWidth="1" outlineLevel="1" collapsed="1"/>
    <col min="64" max="65" width="11" style="52" hidden="1" customWidth="1" outlineLevel="1"/>
    <col min="66" max="66" width="11" style="52" collapsed="1"/>
    <col min="67" max="68" width="11" style="52" hidden="1" customWidth="1" outlineLevel="1" collapsed="1"/>
    <col min="69" max="70" width="11" style="52" hidden="1" customWidth="1" outlineLevel="1"/>
    <col min="71" max="71" width="11" style="52" collapsed="1"/>
    <col min="72" max="73" width="11" style="52" hidden="1" customWidth="1" outlineLevel="1" collapsed="1"/>
    <col min="74" max="75" width="11" style="52" hidden="1" customWidth="1" outlineLevel="1"/>
    <col min="76" max="76" width="11" style="52" collapsed="1"/>
    <col min="77" max="77" width="11" style="52" hidden="1" customWidth="1" outlineLevel="1" collapsed="1"/>
    <col min="78" max="80" width="11" style="52" hidden="1" customWidth="1" outlineLevel="1"/>
    <col min="81" max="81" width="11" style="52" collapsed="1"/>
    <col min="82" max="85" width="11" style="52" customWidth="1" outlineLevel="1"/>
    <col min="86" max="86" width="11" style="52"/>
    <col min="87" max="90" width="11" style="52" customWidth="1" outlineLevel="1"/>
    <col min="91" max="91" width="11" style="52"/>
    <col min="92" max="95" width="11" style="52" hidden="1" customWidth="1" outlineLevel="1"/>
    <col min="96" max="96" width="11" style="52" collapsed="1"/>
    <col min="97" max="100" width="11" style="52" hidden="1" customWidth="1" outlineLevel="1"/>
    <col min="101" max="101" width="11" style="52" collapsed="1"/>
    <col min="102" max="105" width="11" style="52" hidden="1" customWidth="1" outlineLevel="1"/>
    <col min="106" max="106" width="11" style="52" collapsed="1"/>
    <col min="107" max="16384" width="11" style="52"/>
  </cols>
  <sheetData>
    <row r="1" spans="1:106" s="7" customFormat="1" ht="45.75" customHeight="1" x14ac:dyDescent="0.35">
      <c r="F1" s="8"/>
      <c r="K1" s="8"/>
      <c r="P1" s="8"/>
      <c r="U1" s="8"/>
      <c r="Z1" s="8"/>
      <c r="AE1" s="8"/>
      <c r="AJ1" s="8"/>
      <c r="AO1" s="8"/>
      <c r="AT1" s="8"/>
      <c r="AY1" s="8"/>
      <c r="BD1" s="8"/>
      <c r="BI1" s="8"/>
      <c r="BN1" s="8"/>
      <c r="BS1" s="8"/>
      <c r="BX1" s="8"/>
      <c r="BZ1" s="9"/>
      <c r="CA1" s="9"/>
      <c r="CB1" s="9"/>
      <c r="CC1" s="10"/>
      <c r="CD1" s="9"/>
      <c r="CE1" s="9"/>
      <c r="CF1" s="9"/>
      <c r="CG1" s="9"/>
      <c r="CH1" s="10"/>
      <c r="CI1" s="9"/>
      <c r="CJ1" s="9"/>
      <c r="CK1" s="9"/>
      <c r="CL1" s="9"/>
      <c r="CM1" s="10"/>
      <c r="CN1" s="9"/>
      <c r="CO1" s="9"/>
      <c r="CP1" s="9"/>
      <c r="CQ1" s="9"/>
      <c r="CR1" s="10"/>
      <c r="CS1" s="9"/>
      <c r="CT1" s="9"/>
      <c r="CU1" s="9"/>
      <c r="CV1" s="9"/>
      <c r="CW1" s="10"/>
      <c r="CX1" s="9"/>
      <c r="CY1" s="9"/>
      <c r="CZ1" s="9"/>
      <c r="DA1" s="9"/>
      <c r="DB1" s="10"/>
    </row>
    <row r="2" spans="1:106" ht="11.5" customHeight="1" x14ac:dyDescent="0.35">
      <c r="A2" s="11" t="str">
        <f ca="1">Valuation!$A$2</f>
        <v>CURY3 | TP R$44/sh</v>
      </c>
      <c r="B2" s="45"/>
      <c r="C2" s="68"/>
      <c r="D2" s="45"/>
      <c r="E2" s="68"/>
      <c r="F2" s="78"/>
      <c r="G2" s="45"/>
      <c r="H2" s="68"/>
      <c r="I2" s="45"/>
      <c r="J2" s="68"/>
      <c r="K2" s="78"/>
      <c r="L2" s="45"/>
      <c r="M2" s="68"/>
      <c r="N2" s="45"/>
      <c r="O2" s="68"/>
      <c r="P2" s="78"/>
      <c r="Q2" s="45"/>
      <c r="R2" s="68"/>
      <c r="S2" s="45"/>
      <c r="T2" s="68"/>
      <c r="U2" s="78"/>
      <c r="V2" s="45"/>
      <c r="W2" s="68"/>
      <c r="X2" s="45"/>
      <c r="Y2" s="68"/>
      <c r="Z2" s="78"/>
      <c r="AA2" s="45"/>
      <c r="AB2" s="68"/>
      <c r="AC2" s="45"/>
      <c r="AD2" s="68"/>
      <c r="AE2" s="78"/>
      <c r="AF2" s="45"/>
      <c r="AG2" s="68"/>
      <c r="AH2" s="45"/>
      <c r="AI2" s="68"/>
      <c r="AJ2" s="78"/>
      <c r="AK2" s="45"/>
      <c r="AL2" s="68"/>
      <c r="AM2" s="45"/>
      <c r="AN2" s="68"/>
      <c r="AO2" s="78"/>
      <c r="AP2" s="45"/>
      <c r="AQ2" s="68"/>
      <c r="AR2" s="45"/>
      <c r="AS2" s="68"/>
      <c r="AT2" s="78"/>
      <c r="AU2" s="45"/>
      <c r="AV2" s="68"/>
      <c r="AW2" s="45"/>
      <c r="AX2" s="68"/>
      <c r="AY2" s="78"/>
      <c r="AZ2" s="45"/>
      <c r="BA2" s="68"/>
      <c r="BB2" s="45"/>
      <c r="BC2" s="68"/>
      <c r="BD2" s="78"/>
      <c r="BE2" s="45"/>
      <c r="BF2" s="68"/>
      <c r="BG2" s="45"/>
      <c r="BH2" s="68"/>
      <c r="BI2" s="78"/>
      <c r="BJ2" s="45"/>
      <c r="BK2" s="68"/>
      <c r="BL2" s="45"/>
      <c r="BM2" s="68"/>
      <c r="BN2" s="78"/>
      <c r="BO2" s="45"/>
      <c r="BP2" s="68"/>
      <c r="BQ2" s="45"/>
      <c r="BR2" s="68"/>
      <c r="BS2" s="78"/>
      <c r="BT2" s="45"/>
      <c r="BU2" s="68"/>
      <c r="BV2" s="45"/>
      <c r="BW2" s="68"/>
      <c r="BX2" s="78"/>
      <c r="BY2" s="45"/>
      <c r="BZ2" s="139"/>
      <c r="CA2" s="139"/>
      <c r="CC2" s="53"/>
      <c r="CH2" s="53"/>
      <c r="CM2" s="53"/>
      <c r="CR2" s="53"/>
      <c r="CW2" s="53"/>
      <c r="DB2" s="53"/>
    </row>
    <row r="3" spans="1:106" s="80" customFormat="1" ht="11.5" customHeight="1" thickBot="1" x14ac:dyDescent="0.4">
      <c r="A3" s="119" t="s">
        <v>130</v>
      </c>
      <c r="B3" s="43" t="str">
        <f>Macro!B$3</f>
        <v>1Q10</v>
      </c>
      <c r="C3" s="43" t="str">
        <f>Macro!C$3</f>
        <v>2Q10</v>
      </c>
      <c r="D3" s="43" t="str">
        <f>Macro!D$3</f>
        <v>3Q10</v>
      </c>
      <c r="E3" s="44" t="str">
        <f>Macro!E$3</f>
        <v>4Q10</v>
      </c>
      <c r="F3" s="42" t="str">
        <f>Macro!F$3</f>
        <v>2010</v>
      </c>
      <c r="G3" s="43" t="str">
        <f>Macro!G$3</f>
        <v>1Q11</v>
      </c>
      <c r="H3" s="43" t="str">
        <f>Macro!H$3</f>
        <v>2Q11</v>
      </c>
      <c r="I3" s="43" t="str">
        <f>Macro!I$3</f>
        <v>3Q11</v>
      </c>
      <c r="J3" s="44" t="str">
        <f>Macro!J$3</f>
        <v>4Q11</v>
      </c>
      <c r="K3" s="42" t="str">
        <f>Macro!K$3</f>
        <v>2011</v>
      </c>
      <c r="L3" s="43" t="str">
        <f>Macro!L$3</f>
        <v>1Q12</v>
      </c>
      <c r="M3" s="43" t="str">
        <f>Macro!M$3</f>
        <v>2Q12</v>
      </c>
      <c r="N3" s="43" t="str">
        <f>Macro!N$3</f>
        <v>3Q12</v>
      </c>
      <c r="O3" s="44" t="str">
        <f>Macro!O$3</f>
        <v>4Q12</v>
      </c>
      <c r="P3" s="42" t="str">
        <f>Macro!P$3</f>
        <v>2012</v>
      </c>
      <c r="Q3" s="43" t="str">
        <f>Macro!Q$3</f>
        <v>1Q13</v>
      </c>
      <c r="R3" s="43" t="str">
        <f>Macro!R$3</f>
        <v>2Q13</v>
      </c>
      <c r="S3" s="43" t="str">
        <f>Macro!S$3</f>
        <v>3Q13</v>
      </c>
      <c r="T3" s="44" t="str">
        <f>Macro!T$3</f>
        <v>4Q13</v>
      </c>
      <c r="U3" s="42" t="str">
        <f>Macro!U$3</f>
        <v>2013</v>
      </c>
      <c r="V3" s="43" t="str">
        <f>Macro!V$3</f>
        <v>1Q14</v>
      </c>
      <c r="W3" s="43" t="str">
        <f>Macro!W$3</f>
        <v>2Q14</v>
      </c>
      <c r="X3" s="43" t="str">
        <f>Macro!X$3</f>
        <v>3Q14</v>
      </c>
      <c r="Y3" s="44" t="str">
        <f>Macro!Y$3</f>
        <v>4Q14</v>
      </c>
      <c r="Z3" s="42" t="str">
        <f>Macro!Z$3</f>
        <v>2014</v>
      </c>
      <c r="AA3" s="43" t="str">
        <f>Macro!AA$3</f>
        <v>1Q15</v>
      </c>
      <c r="AB3" s="43" t="str">
        <f>Macro!AB$3</f>
        <v>2Q15</v>
      </c>
      <c r="AC3" s="43" t="str">
        <f>Macro!AC$3</f>
        <v>3Q15</v>
      </c>
      <c r="AD3" s="44" t="str">
        <f>Macro!AD$3</f>
        <v>4Q15</v>
      </c>
      <c r="AE3" s="42" t="str">
        <f>Macro!AE$3</f>
        <v>2015</v>
      </c>
      <c r="AF3" s="43" t="str">
        <f>Macro!AF$3</f>
        <v>1Q16</v>
      </c>
      <c r="AG3" s="43" t="str">
        <f>Macro!AG$3</f>
        <v>2Q16</v>
      </c>
      <c r="AH3" s="43" t="str">
        <f>Macro!AH$3</f>
        <v>3Q16</v>
      </c>
      <c r="AI3" s="44" t="str">
        <f>Macro!AI$3</f>
        <v>4Q16</v>
      </c>
      <c r="AJ3" s="42" t="str">
        <f>Macro!AJ$3</f>
        <v>2016</v>
      </c>
      <c r="AK3" s="43" t="str">
        <f>Macro!AK$3</f>
        <v>1Q17</v>
      </c>
      <c r="AL3" s="43" t="str">
        <f>Macro!AL$3</f>
        <v>2Q17</v>
      </c>
      <c r="AM3" s="43" t="str">
        <f>Macro!AM$3</f>
        <v>3Q17</v>
      </c>
      <c r="AN3" s="44" t="str">
        <f>Macro!AN$3</f>
        <v>4Q17</v>
      </c>
      <c r="AO3" s="42" t="str">
        <f>Macro!AO$3</f>
        <v>2017</v>
      </c>
      <c r="AP3" s="43" t="str">
        <f>Macro!AP$3</f>
        <v>1Q18</v>
      </c>
      <c r="AQ3" s="43" t="str">
        <f>Macro!AQ$3</f>
        <v>2Q18</v>
      </c>
      <c r="AR3" s="43" t="str">
        <f>Macro!AR$3</f>
        <v>3Q18</v>
      </c>
      <c r="AS3" s="44" t="str">
        <f>Macro!AS$3</f>
        <v>4Q18</v>
      </c>
      <c r="AT3" s="42" t="str">
        <f>Macro!AT$3</f>
        <v>2018</v>
      </c>
      <c r="AU3" s="43" t="str">
        <f>Macro!AU$3</f>
        <v>1Q19</v>
      </c>
      <c r="AV3" s="43" t="str">
        <f>Macro!AV$3</f>
        <v>2Q19</v>
      </c>
      <c r="AW3" s="43" t="str">
        <f>Macro!AW$3</f>
        <v>3Q19</v>
      </c>
      <c r="AX3" s="44" t="str">
        <f>Macro!AX$3</f>
        <v>4Q19</v>
      </c>
      <c r="AY3" s="42" t="str">
        <f>Macro!AY$3</f>
        <v>2019</v>
      </c>
      <c r="AZ3" s="43" t="str">
        <f>Macro!AZ$3</f>
        <v>1Q20</v>
      </c>
      <c r="BA3" s="43" t="str">
        <f>Macro!BA$3</f>
        <v>2Q20</v>
      </c>
      <c r="BB3" s="43" t="str">
        <f>Macro!BB$3</f>
        <v>3Q20</v>
      </c>
      <c r="BC3" s="44" t="str">
        <f>Macro!BC$3</f>
        <v>4Q20</v>
      </c>
      <c r="BD3" s="42" t="str">
        <f>Macro!BD$3</f>
        <v>2020</v>
      </c>
      <c r="BE3" s="43" t="str">
        <f>Macro!BE$3</f>
        <v>1Q21</v>
      </c>
      <c r="BF3" s="43" t="str">
        <f>Macro!BF$3</f>
        <v>2Q21</v>
      </c>
      <c r="BG3" s="43" t="str">
        <f>Macro!BG$3</f>
        <v>3Q21</v>
      </c>
      <c r="BH3" s="44" t="str">
        <f>Macro!BH$3</f>
        <v>4Q21</v>
      </c>
      <c r="BI3" s="42" t="str">
        <f>Macro!BI$3</f>
        <v>2021</v>
      </c>
      <c r="BJ3" s="43" t="str">
        <f>Macro!BJ$3</f>
        <v>1Q22</v>
      </c>
      <c r="BK3" s="43" t="str">
        <f>Macro!BK$3</f>
        <v>2Q22</v>
      </c>
      <c r="BL3" s="43" t="str">
        <f>Macro!BL$3</f>
        <v>3Q22</v>
      </c>
      <c r="BM3" s="44" t="str">
        <f>Macro!BM$3</f>
        <v>4Q22</v>
      </c>
      <c r="BN3" s="42" t="str">
        <f>Macro!BN$3</f>
        <v>2022</v>
      </c>
      <c r="BO3" s="43" t="str">
        <f>Macro!BO$3</f>
        <v>1Q23</v>
      </c>
      <c r="BP3" s="43" t="str">
        <f>Macro!BP$3</f>
        <v>2Q23</v>
      </c>
      <c r="BQ3" s="43" t="str">
        <f>Macro!BQ$3</f>
        <v>3Q23</v>
      </c>
      <c r="BR3" s="44" t="str">
        <f>Macro!BR$3</f>
        <v>4Q23</v>
      </c>
      <c r="BS3" s="42" t="str">
        <f>Macro!BS$3</f>
        <v>2023</v>
      </c>
      <c r="BT3" s="43" t="str">
        <f>Macro!BT$3</f>
        <v>1Q24</v>
      </c>
      <c r="BU3" s="43" t="str">
        <f>Macro!BU$3</f>
        <v>2Q24</v>
      </c>
      <c r="BV3" s="43" t="str">
        <f>Macro!BV$3</f>
        <v>3Q24</v>
      </c>
      <c r="BW3" s="44" t="str">
        <f>Macro!BW$3</f>
        <v>4Q24</v>
      </c>
      <c r="BX3" s="42" t="str">
        <f>Macro!BX$3</f>
        <v>2024</v>
      </c>
      <c r="BY3" s="43" t="str">
        <f>Macro!BY$3</f>
        <v>1Q25</v>
      </c>
      <c r="BZ3" s="43" t="str">
        <f>Macro!BZ$3</f>
        <v>2Q25</v>
      </c>
      <c r="CA3" s="35" t="str">
        <f>Macro!CA$3</f>
        <v>3Q25</v>
      </c>
      <c r="CB3" s="35" t="str">
        <f>Macro!CB$3</f>
        <v>4Q25</v>
      </c>
      <c r="CC3" s="36" t="str">
        <f>Macro!CC$3</f>
        <v>2025</v>
      </c>
      <c r="CD3" s="35" t="str">
        <f>Macro!CD$3</f>
        <v>1Q26</v>
      </c>
      <c r="CE3" s="35" t="str">
        <f>Macro!CE$3</f>
        <v>2Q26E</v>
      </c>
      <c r="CF3" s="35" t="str">
        <f>Macro!CF$3</f>
        <v>3Q26E</v>
      </c>
      <c r="CG3" s="35" t="str">
        <f>Macro!CG$3</f>
        <v>4Q26E</v>
      </c>
      <c r="CH3" s="36" t="str">
        <f>Macro!CH$3</f>
        <v>2026E</v>
      </c>
      <c r="CI3" s="35" t="str">
        <f>Macro!CI$3</f>
        <v>1Q27E</v>
      </c>
      <c r="CJ3" s="35" t="str">
        <f>Macro!CJ$3</f>
        <v>2Q27E</v>
      </c>
      <c r="CK3" s="35" t="str">
        <f>Macro!CK$3</f>
        <v>3Q27E</v>
      </c>
      <c r="CL3" s="35" t="str">
        <f>Macro!CL$3</f>
        <v>4Q27E</v>
      </c>
      <c r="CM3" s="36" t="str">
        <f>Macro!CM$3</f>
        <v>2027E</v>
      </c>
      <c r="CN3" s="35" t="str">
        <f>Macro!CN$3</f>
        <v>1Q28E</v>
      </c>
      <c r="CO3" s="35" t="str">
        <f>Macro!CO$3</f>
        <v>2Q28E</v>
      </c>
      <c r="CP3" s="35" t="str">
        <f>Macro!CP$3</f>
        <v>3Q28E</v>
      </c>
      <c r="CQ3" s="35" t="str">
        <f>Macro!CQ$3</f>
        <v>4Q28E</v>
      </c>
      <c r="CR3" s="36" t="str">
        <f>Macro!CR$3</f>
        <v>2028E</v>
      </c>
      <c r="CS3" s="35" t="str">
        <f>Macro!CS$3</f>
        <v>1Q29E</v>
      </c>
      <c r="CT3" s="35" t="str">
        <f>Macro!CT$3</f>
        <v>2Q29E</v>
      </c>
      <c r="CU3" s="35" t="str">
        <f>Macro!CU$3</f>
        <v>3Q29E</v>
      </c>
      <c r="CV3" s="35" t="str">
        <f>Macro!CV$3</f>
        <v>4Q29E</v>
      </c>
      <c r="CW3" s="36" t="str">
        <f>Macro!CW$3</f>
        <v>2029E</v>
      </c>
      <c r="CX3" s="35" t="str">
        <f>Macro!CX$3</f>
        <v>1Q30E</v>
      </c>
      <c r="CY3" s="35" t="str">
        <f>Macro!CY$3</f>
        <v>2Q30E</v>
      </c>
      <c r="CZ3" s="35" t="str">
        <f>Macro!CZ$3</f>
        <v>3Q30E</v>
      </c>
      <c r="DA3" s="35" t="str">
        <f>Macro!DA$3</f>
        <v>4Q30E</v>
      </c>
      <c r="DB3" s="36" t="str">
        <f>Macro!DB$3</f>
        <v>2030E</v>
      </c>
    </row>
    <row r="4" spans="1:106" ht="11.5" customHeight="1" thickTop="1" x14ac:dyDescent="0.35">
      <c r="A4" s="31" t="s">
        <v>185</v>
      </c>
      <c r="B4" s="81">
        <f t="shared" ref="B4:AE4" si="0">B5+B20</f>
        <v>0</v>
      </c>
      <c r="C4" s="81">
        <f t="shared" si="0"/>
        <v>0</v>
      </c>
      <c r="D4" s="81">
        <f t="shared" si="0"/>
        <v>0</v>
      </c>
      <c r="E4" s="81">
        <f t="shared" si="0"/>
        <v>0</v>
      </c>
      <c r="F4" s="82">
        <f t="shared" si="0"/>
        <v>0</v>
      </c>
      <c r="G4" s="81">
        <f t="shared" si="0"/>
        <v>0</v>
      </c>
      <c r="H4" s="81">
        <f t="shared" si="0"/>
        <v>0</v>
      </c>
      <c r="I4" s="81">
        <f t="shared" si="0"/>
        <v>0</v>
      </c>
      <c r="J4" s="81">
        <f t="shared" si="0"/>
        <v>0</v>
      </c>
      <c r="K4" s="82">
        <f t="shared" si="0"/>
        <v>0</v>
      </c>
      <c r="L4" s="81">
        <f t="shared" si="0"/>
        <v>0</v>
      </c>
      <c r="M4" s="81">
        <f t="shared" si="0"/>
        <v>0</v>
      </c>
      <c r="N4" s="81">
        <f t="shared" si="0"/>
        <v>0</v>
      </c>
      <c r="O4" s="81">
        <f t="shared" si="0"/>
        <v>0</v>
      </c>
      <c r="P4" s="82">
        <f t="shared" si="0"/>
        <v>0</v>
      </c>
      <c r="Q4" s="81">
        <f t="shared" si="0"/>
        <v>0</v>
      </c>
      <c r="R4" s="81">
        <f t="shared" si="0"/>
        <v>0</v>
      </c>
      <c r="S4" s="81">
        <f t="shared" si="0"/>
        <v>0</v>
      </c>
      <c r="T4" s="81">
        <f t="shared" si="0"/>
        <v>0</v>
      </c>
      <c r="U4" s="82">
        <f t="shared" si="0"/>
        <v>0</v>
      </c>
      <c r="V4" s="81">
        <f t="shared" si="0"/>
        <v>0</v>
      </c>
      <c r="W4" s="81">
        <f t="shared" si="0"/>
        <v>0</v>
      </c>
      <c r="X4" s="81">
        <f t="shared" si="0"/>
        <v>0</v>
      </c>
      <c r="Y4" s="81">
        <f t="shared" si="0"/>
        <v>0</v>
      </c>
      <c r="Z4" s="82">
        <f t="shared" si="0"/>
        <v>0</v>
      </c>
      <c r="AA4" s="81">
        <f t="shared" si="0"/>
        <v>0</v>
      </c>
      <c r="AB4" s="81">
        <f t="shared" si="0"/>
        <v>0</v>
      </c>
      <c r="AC4" s="81">
        <f t="shared" si="0"/>
        <v>0</v>
      </c>
      <c r="AD4" s="81">
        <f t="shared" si="0"/>
        <v>0</v>
      </c>
      <c r="AE4" s="82">
        <f t="shared" si="0"/>
        <v>0</v>
      </c>
      <c r="AF4" s="81">
        <f t="shared" ref="AF4:AG4" si="1">AF5+AF20</f>
        <v>0</v>
      </c>
      <c r="AG4" s="81">
        <f t="shared" si="1"/>
        <v>0</v>
      </c>
      <c r="AH4" s="81">
        <f t="shared" ref="AH4:BM4" si="2">AH5+AH20</f>
        <v>0</v>
      </c>
      <c r="AI4" s="81">
        <f t="shared" si="2"/>
        <v>0</v>
      </c>
      <c r="AJ4" s="82">
        <f t="shared" si="2"/>
        <v>0</v>
      </c>
      <c r="AK4" s="81">
        <f t="shared" si="2"/>
        <v>1231208</v>
      </c>
      <c r="AL4" s="81">
        <f t="shared" si="2"/>
        <v>1230019</v>
      </c>
      <c r="AM4" s="81">
        <f t="shared" si="2"/>
        <v>1319657</v>
      </c>
      <c r="AN4" s="81">
        <f t="shared" si="2"/>
        <v>1275696</v>
      </c>
      <c r="AO4" s="82">
        <f t="shared" si="2"/>
        <v>1275696</v>
      </c>
      <c r="AP4" s="81">
        <f t="shared" si="2"/>
        <v>1132620</v>
      </c>
      <c r="AQ4" s="81">
        <f t="shared" si="2"/>
        <v>1185382</v>
      </c>
      <c r="AR4" s="81">
        <f t="shared" si="2"/>
        <v>1317701</v>
      </c>
      <c r="AS4" s="81">
        <f t="shared" si="2"/>
        <v>1129517</v>
      </c>
      <c r="AT4" s="82">
        <f t="shared" si="2"/>
        <v>1129517</v>
      </c>
      <c r="AU4" s="81">
        <f>AU5+AU20</f>
        <v>1081107</v>
      </c>
      <c r="AV4" s="81">
        <f t="shared" si="2"/>
        <v>1166781</v>
      </c>
      <c r="AW4" s="81">
        <f t="shared" si="2"/>
        <v>1323816</v>
      </c>
      <c r="AX4" s="81">
        <f t="shared" si="2"/>
        <v>1287998</v>
      </c>
      <c r="AY4" s="82">
        <f t="shared" si="2"/>
        <v>1287998</v>
      </c>
      <c r="AZ4" s="81">
        <f t="shared" si="2"/>
        <v>1263875</v>
      </c>
      <c r="BA4" s="81">
        <f t="shared" si="2"/>
        <v>1430167</v>
      </c>
      <c r="BB4" s="81">
        <f t="shared" si="2"/>
        <v>1795232</v>
      </c>
      <c r="BC4" s="81">
        <f t="shared" si="2"/>
        <v>1644712</v>
      </c>
      <c r="BD4" s="82">
        <f t="shared" si="2"/>
        <v>1644712</v>
      </c>
      <c r="BE4" s="81">
        <f t="shared" si="2"/>
        <v>1918297</v>
      </c>
      <c r="BF4" s="81">
        <f t="shared" si="2"/>
        <v>2032570</v>
      </c>
      <c r="BG4" s="81">
        <f t="shared" si="2"/>
        <v>2177211</v>
      </c>
      <c r="BH4" s="81">
        <f t="shared" si="2"/>
        <v>2597922</v>
      </c>
      <c r="BI4" s="82">
        <f t="shared" si="2"/>
        <v>2597922</v>
      </c>
      <c r="BJ4" s="81">
        <f t="shared" si="2"/>
        <v>2933909</v>
      </c>
      <c r="BK4" s="81">
        <f t="shared" si="2"/>
        <v>2917631</v>
      </c>
      <c r="BL4" s="81">
        <f t="shared" si="2"/>
        <v>2784853</v>
      </c>
      <c r="BM4" s="81">
        <f t="shared" si="2"/>
        <v>2798431</v>
      </c>
      <c r="BN4" s="82">
        <f t="shared" ref="BN4:CS4" si="3">BN5+BN20</f>
        <v>2798431</v>
      </c>
      <c r="BO4" s="81">
        <f t="shared" si="3"/>
        <v>2733836</v>
      </c>
      <c r="BP4" s="81">
        <f t="shared" si="3"/>
        <v>2836650</v>
      </c>
      <c r="BQ4" s="81">
        <f t="shared" si="3"/>
        <v>3150612</v>
      </c>
      <c r="BR4" s="81">
        <f t="shared" si="3"/>
        <v>3092023</v>
      </c>
      <c r="BS4" s="82">
        <f t="shared" si="3"/>
        <v>3092023</v>
      </c>
      <c r="BT4" s="81">
        <f t="shared" si="3"/>
        <v>3412477</v>
      </c>
      <c r="BU4" s="81">
        <f t="shared" si="3"/>
        <v>3983671</v>
      </c>
      <c r="BV4" s="81">
        <f t="shared" si="3"/>
        <v>3957292</v>
      </c>
      <c r="BW4" s="81">
        <f t="shared" si="3"/>
        <v>4339295</v>
      </c>
      <c r="BX4" s="82">
        <f t="shared" si="3"/>
        <v>4339295</v>
      </c>
      <c r="BY4" s="81">
        <f t="shared" si="3"/>
        <v>4870968</v>
      </c>
      <c r="BZ4" s="81">
        <f t="shared" ref="BZ4:CB4" si="4">BZ5+BZ20</f>
        <v>5183964</v>
      </c>
      <c r="CA4" s="81">
        <f t="shared" si="4"/>
        <v>5631997</v>
      </c>
      <c r="CB4" s="81">
        <f t="shared" si="4"/>
        <v>5654395</v>
      </c>
      <c r="CC4" s="82">
        <f t="shared" si="3"/>
        <v>5654395</v>
      </c>
      <c r="CD4" s="81">
        <f t="shared" ref="CD4:CE4" si="5">CD5+CD20</f>
        <v>6195487</v>
      </c>
      <c r="CE4" s="81">
        <f t="shared" si="5"/>
        <v>6278509</v>
      </c>
      <c r="CF4" s="81">
        <f t="shared" ca="1" si="3"/>
        <v>6451817.7563823825</v>
      </c>
      <c r="CG4" s="81">
        <f t="shared" ca="1" si="3"/>
        <v>6621223.4296761611</v>
      </c>
      <c r="CH4" s="82">
        <f t="shared" ca="1" si="3"/>
        <v>6621223.4296761611</v>
      </c>
      <c r="CI4" s="81">
        <f t="shared" ca="1" si="3"/>
        <v>7326758.1146995109</v>
      </c>
      <c r="CJ4" s="81">
        <f t="shared" ca="1" si="3"/>
        <v>7411807.9238429563</v>
      </c>
      <c r="CK4" s="81">
        <f t="shared" ca="1" si="3"/>
        <v>7549007.6453389954</v>
      </c>
      <c r="CL4" s="81">
        <f t="shared" ca="1" si="3"/>
        <v>7665009.6835873267</v>
      </c>
      <c r="CM4" s="82">
        <f t="shared" ca="1" si="3"/>
        <v>7665009.6835873267</v>
      </c>
      <c r="CN4" s="81">
        <f t="shared" ca="1" si="3"/>
        <v>8445690.349918332</v>
      </c>
      <c r="CO4" s="81">
        <f t="shared" ca="1" si="3"/>
        <v>8248366.6575124841</v>
      </c>
      <c r="CP4" s="81">
        <f t="shared" ca="1" si="3"/>
        <v>8258996.2785039758</v>
      </c>
      <c r="CQ4" s="81">
        <f t="shared" ca="1" si="3"/>
        <v>8319314.5984257357</v>
      </c>
      <c r="CR4" s="82">
        <f t="shared" ca="1" si="3"/>
        <v>8319314.5984257357</v>
      </c>
      <c r="CS4" s="81">
        <f t="shared" ca="1" si="3"/>
        <v>9100719.2221804969</v>
      </c>
      <c r="CT4" s="81">
        <f t="shared" ref="CT4:DB4" ca="1" si="6">CT5+CT20</f>
        <v>8829800.472511448</v>
      </c>
      <c r="CU4" s="81">
        <f t="shared" ca="1" si="6"/>
        <v>8820674.489408901</v>
      </c>
      <c r="CV4" s="81">
        <f t="shared" ca="1" si="6"/>
        <v>8849821.3203513455</v>
      </c>
      <c r="CW4" s="82">
        <f t="shared" ca="1" si="6"/>
        <v>8849821.3203513455</v>
      </c>
      <c r="CX4" s="81">
        <f t="shared" ca="1" si="6"/>
        <v>9644684.6720118448</v>
      </c>
      <c r="CY4" s="81">
        <f t="shared" ca="1" si="6"/>
        <v>9301477.9010846969</v>
      </c>
      <c r="CZ4" s="81">
        <f t="shared" ca="1" si="6"/>
        <v>9200963.9512806181</v>
      </c>
      <c r="DA4" s="81">
        <f t="shared" ca="1" si="6"/>
        <v>9118805.0988378022</v>
      </c>
      <c r="DB4" s="82">
        <f t="shared" ca="1" si="6"/>
        <v>9118805.0988378022</v>
      </c>
    </row>
    <row r="5" spans="1:106" ht="11.5" customHeight="1" x14ac:dyDescent="0.35">
      <c r="A5" s="67" t="s">
        <v>186</v>
      </c>
      <c r="B5" s="83">
        <f t="shared" ref="B5:C5" si="7">SUM(B6:B8)+B12+SUM(B16:B19)</f>
        <v>0</v>
      </c>
      <c r="C5" s="83">
        <f t="shared" si="7"/>
        <v>0</v>
      </c>
      <c r="D5" s="83">
        <f t="shared" ref="D5:F5" si="8">SUM(D6:D8)+D12+SUM(D16:D19)</f>
        <v>0</v>
      </c>
      <c r="E5" s="83">
        <f t="shared" si="8"/>
        <v>0</v>
      </c>
      <c r="F5" s="84">
        <f t="shared" si="8"/>
        <v>0</v>
      </c>
      <c r="G5" s="83">
        <f t="shared" ref="G5:H5" si="9">SUM(G6:G8)+G12+SUM(G16:G19)</f>
        <v>0</v>
      </c>
      <c r="H5" s="83">
        <f t="shared" si="9"/>
        <v>0</v>
      </c>
      <c r="I5" s="83">
        <f t="shared" ref="I5:K5" si="10">SUM(I6:I8)+I12+SUM(I16:I19)</f>
        <v>0</v>
      </c>
      <c r="J5" s="83">
        <f t="shared" si="10"/>
        <v>0</v>
      </c>
      <c r="K5" s="84">
        <f t="shared" si="10"/>
        <v>0</v>
      </c>
      <c r="L5" s="83">
        <f t="shared" ref="L5:M5" si="11">SUM(L6:L8)+L12+SUM(L16:L19)</f>
        <v>0</v>
      </c>
      <c r="M5" s="83">
        <f t="shared" si="11"/>
        <v>0</v>
      </c>
      <c r="N5" s="83">
        <f t="shared" ref="N5:P5" si="12">SUM(N6:N8)+N12+SUM(N16:N19)</f>
        <v>0</v>
      </c>
      <c r="O5" s="83">
        <f t="shared" si="12"/>
        <v>0</v>
      </c>
      <c r="P5" s="84">
        <f t="shared" si="12"/>
        <v>0</v>
      </c>
      <c r="Q5" s="83">
        <f t="shared" ref="Q5:R5" si="13">SUM(Q6:Q8)+Q12+SUM(Q16:Q19)</f>
        <v>0</v>
      </c>
      <c r="R5" s="83">
        <f t="shared" si="13"/>
        <v>0</v>
      </c>
      <c r="S5" s="83">
        <f t="shared" ref="S5:U5" si="14">SUM(S6:S8)+S12+SUM(S16:S19)</f>
        <v>0</v>
      </c>
      <c r="T5" s="83">
        <f t="shared" si="14"/>
        <v>0</v>
      </c>
      <c r="U5" s="84">
        <f t="shared" si="14"/>
        <v>0</v>
      </c>
      <c r="V5" s="83">
        <f t="shared" ref="V5:W5" si="15">SUM(V6:V8)+V12+SUM(V16:V19)</f>
        <v>0</v>
      </c>
      <c r="W5" s="83">
        <f t="shared" si="15"/>
        <v>0</v>
      </c>
      <c r="X5" s="83">
        <f t="shared" ref="X5:Z5" si="16">SUM(X6:X8)+X12+SUM(X16:X19)</f>
        <v>0</v>
      </c>
      <c r="Y5" s="83">
        <f t="shared" si="16"/>
        <v>0</v>
      </c>
      <c r="Z5" s="84">
        <f t="shared" si="16"/>
        <v>0</v>
      </c>
      <c r="AA5" s="83">
        <f t="shared" ref="AA5:AB5" si="17">SUM(AA6:AA8)+AA12+SUM(AA16:AA19)</f>
        <v>0</v>
      </c>
      <c r="AB5" s="83">
        <f t="shared" si="17"/>
        <v>0</v>
      </c>
      <c r="AC5" s="83">
        <f t="shared" ref="AC5:AE5" si="18">SUM(AC6:AC8)+AC12+SUM(AC16:AC19)</f>
        <v>0</v>
      </c>
      <c r="AD5" s="83">
        <f t="shared" si="18"/>
        <v>0</v>
      </c>
      <c r="AE5" s="84">
        <f t="shared" si="18"/>
        <v>0</v>
      </c>
      <c r="AF5" s="83">
        <f t="shared" ref="AF5:AG5" si="19">SUM(AF6:AF8)+AF12+SUM(AF16:AF19)</f>
        <v>0</v>
      </c>
      <c r="AG5" s="83">
        <f t="shared" si="19"/>
        <v>0</v>
      </c>
      <c r="AH5" s="83">
        <f t="shared" ref="AH5:BM5" si="20">SUM(AH6:AH8)+AH12+SUM(AH16:AH19)</f>
        <v>0</v>
      </c>
      <c r="AI5" s="83">
        <f t="shared" si="20"/>
        <v>0</v>
      </c>
      <c r="AJ5" s="84">
        <f t="shared" si="20"/>
        <v>0</v>
      </c>
      <c r="AK5" s="83">
        <f t="shared" si="20"/>
        <v>1221718</v>
      </c>
      <c r="AL5" s="83">
        <f t="shared" si="20"/>
        <v>1221067</v>
      </c>
      <c r="AM5" s="83">
        <f t="shared" si="20"/>
        <v>1311102</v>
      </c>
      <c r="AN5" s="83">
        <f t="shared" si="20"/>
        <v>1250601</v>
      </c>
      <c r="AO5" s="84">
        <f t="shared" si="20"/>
        <v>1250601</v>
      </c>
      <c r="AP5" s="83">
        <f t="shared" si="20"/>
        <v>1107881</v>
      </c>
      <c r="AQ5" s="83">
        <f t="shared" si="20"/>
        <v>1157865</v>
      </c>
      <c r="AR5" s="83">
        <f t="shared" si="20"/>
        <v>1246896</v>
      </c>
      <c r="AS5" s="83">
        <f t="shared" si="20"/>
        <v>1106523</v>
      </c>
      <c r="AT5" s="84">
        <f t="shared" si="20"/>
        <v>1106523</v>
      </c>
      <c r="AU5" s="83">
        <f t="shared" si="20"/>
        <v>1056944</v>
      </c>
      <c r="AV5" s="83">
        <f t="shared" si="20"/>
        <v>1143031</v>
      </c>
      <c r="AW5" s="83">
        <f t="shared" si="20"/>
        <v>1298422</v>
      </c>
      <c r="AX5" s="83">
        <f t="shared" si="20"/>
        <v>1259442</v>
      </c>
      <c r="AY5" s="84">
        <f t="shared" si="20"/>
        <v>1259442</v>
      </c>
      <c r="AZ5" s="83">
        <f t="shared" si="20"/>
        <v>1232743</v>
      </c>
      <c r="BA5" s="83">
        <f t="shared" si="20"/>
        <v>1392518</v>
      </c>
      <c r="BB5" s="83">
        <f t="shared" si="20"/>
        <v>1755948</v>
      </c>
      <c r="BC5" s="83">
        <f t="shared" si="20"/>
        <v>1603095</v>
      </c>
      <c r="BD5" s="84">
        <f t="shared" si="20"/>
        <v>1603095</v>
      </c>
      <c r="BE5" s="83">
        <f t="shared" si="20"/>
        <v>1869349</v>
      </c>
      <c r="BF5" s="83">
        <f t="shared" si="20"/>
        <v>1976862</v>
      </c>
      <c r="BG5" s="83">
        <f t="shared" si="20"/>
        <v>2121958</v>
      </c>
      <c r="BH5" s="83">
        <f t="shared" si="20"/>
        <v>2479491</v>
      </c>
      <c r="BI5" s="84">
        <f t="shared" si="20"/>
        <v>2479491</v>
      </c>
      <c r="BJ5" s="83">
        <f t="shared" si="20"/>
        <v>2812352</v>
      </c>
      <c r="BK5" s="83">
        <f t="shared" si="20"/>
        <v>2793844</v>
      </c>
      <c r="BL5" s="83">
        <f t="shared" si="20"/>
        <v>2658289</v>
      </c>
      <c r="BM5" s="83">
        <f t="shared" si="20"/>
        <v>2672902</v>
      </c>
      <c r="BN5" s="84">
        <f t="shared" ref="BN5:CS5" si="21">SUM(BN6:BN8)+BN12+SUM(BN16:BN19)</f>
        <v>2672902</v>
      </c>
      <c r="BO5" s="83">
        <f t="shared" si="21"/>
        <v>2601894</v>
      </c>
      <c r="BP5" s="83">
        <f t="shared" si="21"/>
        <v>2701455</v>
      </c>
      <c r="BQ5" s="83">
        <f t="shared" si="21"/>
        <v>3019554</v>
      </c>
      <c r="BR5" s="83">
        <f t="shared" si="21"/>
        <v>2948710</v>
      </c>
      <c r="BS5" s="84">
        <f t="shared" si="21"/>
        <v>2948710</v>
      </c>
      <c r="BT5" s="83">
        <f t="shared" si="21"/>
        <v>3267225</v>
      </c>
      <c r="BU5" s="83">
        <f t="shared" si="21"/>
        <v>3901801</v>
      </c>
      <c r="BV5" s="83">
        <f t="shared" si="21"/>
        <v>3874649</v>
      </c>
      <c r="BW5" s="83">
        <f t="shared" si="21"/>
        <v>4255450</v>
      </c>
      <c r="BX5" s="84">
        <f t="shared" si="21"/>
        <v>4255450</v>
      </c>
      <c r="BY5" s="83">
        <f t="shared" si="21"/>
        <v>4788712</v>
      </c>
      <c r="BZ5" s="83">
        <f t="shared" ref="BZ5:CB5" si="22">SUM(BZ6:BZ8)+BZ12+SUM(BZ16:BZ19)</f>
        <v>5102848</v>
      </c>
      <c r="CA5" s="83">
        <f t="shared" si="22"/>
        <v>5550281</v>
      </c>
      <c r="CB5" s="83">
        <f t="shared" si="22"/>
        <v>5571871</v>
      </c>
      <c r="CC5" s="84">
        <f t="shared" si="21"/>
        <v>5571871</v>
      </c>
      <c r="CD5" s="83">
        <f t="shared" ref="CD5:CE5" si="23">SUM(CD6:CD8)+CD12+SUM(CD16:CD19)</f>
        <v>6111357</v>
      </c>
      <c r="CE5" s="83">
        <f t="shared" si="23"/>
        <v>6196896</v>
      </c>
      <c r="CF5" s="83">
        <f t="shared" ca="1" si="21"/>
        <v>6369803.8165546376</v>
      </c>
      <c r="CG5" s="83">
        <f t="shared" ca="1" si="21"/>
        <v>6538866.4076721491</v>
      </c>
      <c r="CH5" s="84">
        <f t="shared" ca="1" si="21"/>
        <v>6538866.4076721491</v>
      </c>
      <c r="CI5" s="83">
        <f t="shared" ca="1" si="21"/>
        <v>7242195.3687843531</v>
      </c>
      <c r="CJ5" s="83">
        <f t="shared" ca="1" si="21"/>
        <v>7325596.6044014441</v>
      </c>
      <c r="CK5" s="83">
        <f t="shared" ca="1" si="21"/>
        <v>7461985.7703508809</v>
      </c>
      <c r="CL5" s="83">
        <f t="shared" ca="1" si="21"/>
        <v>7577357.6761527769</v>
      </c>
      <c r="CM5" s="84">
        <f t="shared" ca="1" si="21"/>
        <v>7577357.6761527769</v>
      </c>
      <c r="CN5" s="83">
        <f t="shared" ca="1" si="21"/>
        <v>8356113.8513069758</v>
      </c>
      <c r="CO5" s="83">
        <f t="shared" ca="1" si="21"/>
        <v>8157891.8263046481</v>
      </c>
      <c r="CP5" s="83">
        <f t="shared" ca="1" si="21"/>
        <v>8168390.6262181895</v>
      </c>
      <c r="CQ5" s="83">
        <f t="shared" ca="1" si="21"/>
        <v>8228197.3525782796</v>
      </c>
      <c r="CR5" s="84">
        <f t="shared" ca="1" si="21"/>
        <v>8228197.3525782796</v>
      </c>
      <c r="CS5" s="83">
        <f t="shared" ca="1" si="21"/>
        <v>9007968.7085094675</v>
      </c>
      <c r="CT5" s="83">
        <f t="shared" ref="CT5:DB5" ca="1" si="24">SUM(CT6:CT8)+CT12+SUM(CT16:CT19)</f>
        <v>8736201.0212769173</v>
      </c>
      <c r="CU5" s="83">
        <f t="shared" ca="1" si="24"/>
        <v>8727033.8654091451</v>
      </c>
      <c r="CV5" s="83">
        <f t="shared" ca="1" si="24"/>
        <v>8755933.26867049</v>
      </c>
      <c r="CW5" s="84">
        <f t="shared" ca="1" si="24"/>
        <v>8755933.26867049</v>
      </c>
      <c r="CX5" s="83">
        <f t="shared" ca="1" si="24"/>
        <v>9549314.4992069919</v>
      </c>
      <c r="CY5" s="83">
        <f t="shared" ca="1" si="24"/>
        <v>9205607.9368330836</v>
      </c>
      <c r="CZ5" s="83">
        <f t="shared" ca="1" si="24"/>
        <v>9105588.6648604404</v>
      </c>
      <c r="DA5" s="83">
        <f t="shared" ca="1" si="24"/>
        <v>9023820.4235309362</v>
      </c>
      <c r="DB5" s="84">
        <f t="shared" ca="1" si="24"/>
        <v>9023820.4235309362</v>
      </c>
    </row>
    <row r="6" spans="1:106" ht="11.5" customHeight="1" x14ac:dyDescent="0.35">
      <c r="A6" s="182" t="s">
        <v>154</v>
      </c>
      <c r="B6" s="403"/>
      <c r="C6" s="403"/>
      <c r="D6" s="403"/>
      <c r="E6" s="403"/>
      <c r="F6" s="28">
        <f t="shared" ref="F6" si="25">E6</f>
        <v>0</v>
      </c>
      <c r="G6" s="403"/>
      <c r="H6" s="403"/>
      <c r="I6" s="403"/>
      <c r="J6" s="403"/>
      <c r="K6" s="28">
        <f t="shared" ref="K6" si="26">J6</f>
        <v>0</v>
      </c>
      <c r="L6" s="403"/>
      <c r="M6" s="403"/>
      <c r="N6" s="403"/>
      <c r="O6" s="403"/>
      <c r="P6" s="28">
        <f t="shared" ref="P6" si="27">O6</f>
        <v>0</v>
      </c>
      <c r="Q6" s="403"/>
      <c r="R6" s="403"/>
      <c r="S6" s="403"/>
      <c r="T6" s="403"/>
      <c r="U6" s="28">
        <f t="shared" ref="U6" si="28">T6</f>
        <v>0</v>
      </c>
      <c r="V6" s="403"/>
      <c r="W6" s="403"/>
      <c r="X6" s="403"/>
      <c r="Y6" s="403"/>
      <c r="Z6" s="28">
        <f t="shared" ref="Z6" si="29">Y6</f>
        <v>0</v>
      </c>
      <c r="AA6" s="403"/>
      <c r="AB6" s="403"/>
      <c r="AC6" s="403"/>
      <c r="AD6" s="403"/>
      <c r="AE6" s="28">
        <f t="shared" ref="AE6" si="30">AD6</f>
        <v>0</v>
      </c>
      <c r="AF6" s="403"/>
      <c r="AG6" s="403"/>
      <c r="AH6" s="403"/>
      <c r="AI6" s="403"/>
      <c r="AJ6" s="28">
        <f>AI6</f>
        <v>0</v>
      </c>
      <c r="AK6" s="403">
        <f>142500+591</f>
        <v>143091</v>
      </c>
      <c r="AL6" s="403">
        <v>119847</v>
      </c>
      <c r="AM6" s="403">
        <v>123876</v>
      </c>
      <c r="AN6" s="403">
        <f>143946+54560</f>
        <v>198506</v>
      </c>
      <c r="AO6" s="28">
        <f>AN6</f>
        <v>198506</v>
      </c>
      <c r="AP6" s="403">
        <v>143831</v>
      </c>
      <c r="AQ6" s="403">
        <v>145875</v>
      </c>
      <c r="AR6" s="403">
        <v>203590</v>
      </c>
      <c r="AS6" s="403">
        <f>171395+79566</f>
        <v>250961</v>
      </c>
      <c r="AT6" s="28">
        <f>AS6</f>
        <v>250961</v>
      </c>
      <c r="AU6" s="403">
        <v>239346</v>
      </c>
      <c r="AV6" s="403">
        <v>269315</v>
      </c>
      <c r="AW6" s="403">
        <f>236221+46693</f>
        <v>282914</v>
      </c>
      <c r="AX6" s="403">
        <f>249496+64847</f>
        <v>314343</v>
      </c>
      <c r="AY6" s="28">
        <f>AX6</f>
        <v>314343</v>
      </c>
      <c r="AZ6" s="403">
        <f>254528+71000</f>
        <v>325528</v>
      </c>
      <c r="BA6" s="403">
        <f>358082+67765</f>
        <v>425847</v>
      </c>
      <c r="BB6" s="403">
        <f>529672+80177</f>
        <v>609849</v>
      </c>
      <c r="BC6" s="403">
        <f>291125+139773</f>
        <v>430898</v>
      </c>
      <c r="BD6" s="28">
        <f>BC6</f>
        <v>430898</v>
      </c>
      <c r="BE6" s="403">
        <f>329971+106673</f>
        <v>436644</v>
      </c>
      <c r="BF6" s="403">
        <f>390596+101391</f>
        <v>491987</v>
      </c>
      <c r="BG6" s="403">
        <f>414633+140294</f>
        <v>554927</v>
      </c>
      <c r="BH6" s="403">
        <f>375963+218524</f>
        <v>594487</v>
      </c>
      <c r="BI6" s="28">
        <f>BH6</f>
        <v>594487</v>
      </c>
      <c r="BJ6" s="403">
        <f>360921+241647</f>
        <v>602568</v>
      </c>
      <c r="BK6" s="403">
        <f>454074+225903</f>
        <v>679977</v>
      </c>
      <c r="BL6" s="403">
        <f>394522+240386</f>
        <v>634908</v>
      </c>
      <c r="BM6" s="403">
        <f>562264+227162</f>
        <v>789426</v>
      </c>
      <c r="BN6" s="28">
        <f>BM6</f>
        <v>789426</v>
      </c>
      <c r="BO6" s="403">
        <f>470159+259664</f>
        <v>729823</v>
      </c>
      <c r="BP6" s="403">
        <f>556696+278694</f>
        <v>835390</v>
      </c>
      <c r="BQ6" s="403">
        <f>730072+379003</f>
        <v>1109075</v>
      </c>
      <c r="BR6" s="403">
        <f>643630+348639</f>
        <v>992269</v>
      </c>
      <c r="BS6" s="28">
        <f>BR6</f>
        <v>992269</v>
      </c>
      <c r="BT6" s="403">
        <f>647595+364073</f>
        <v>1011668</v>
      </c>
      <c r="BU6" s="403">
        <f>889522+668498</f>
        <v>1558020</v>
      </c>
      <c r="BV6" s="403">
        <f>760259+664956</f>
        <v>1425215</v>
      </c>
      <c r="BW6" s="403">
        <f>975224+441012</f>
        <v>1416236</v>
      </c>
      <c r="BX6" s="28">
        <f>BW6</f>
        <v>1416236</v>
      </c>
      <c r="BY6" s="403">
        <f>1031724+512082</f>
        <v>1543806</v>
      </c>
      <c r="BZ6" s="403">
        <f>1035262+495613</f>
        <v>1530875</v>
      </c>
      <c r="CA6" s="403">
        <f>1287134+486069</f>
        <v>1773203</v>
      </c>
      <c r="CB6" s="403">
        <f>1355394+435543</f>
        <v>1790937</v>
      </c>
      <c r="CC6" s="28">
        <f>CB6</f>
        <v>1790937</v>
      </c>
      <c r="CD6" s="403">
        <f>1397709+359601</f>
        <v>1757310</v>
      </c>
      <c r="CE6" s="403">
        <f>1375239+258467</f>
        <v>1633706</v>
      </c>
      <c r="CF6" s="68">
        <f ca="1">CF88</f>
        <v>1751396.9834278519</v>
      </c>
      <c r="CG6" s="68">
        <f ca="1">CG88</f>
        <v>1872524.0438168487</v>
      </c>
      <c r="CH6" s="28">
        <f ca="1">CG6</f>
        <v>1872524.0438168487</v>
      </c>
      <c r="CI6" s="68">
        <f ca="1">CI88</f>
        <v>2277922.1205045003</v>
      </c>
      <c r="CJ6" s="68">
        <f ca="1">CJ88</f>
        <v>2131009.5273552728</v>
      </c>
      <c r="CK6" s="68">
        <f ca="1">CK88</f>
        <v>2156367.2916268078</v>
      </c>
      <c r="CL6" s="68">
        <f ca="1">CL88</f>
        <v>2185896.2505043857</v>
      </c>
      <c r="CM6" s="28">
        <f ca="1">CL6</f>
        <v>2185896.2505043857</v>
      </c>
      <c r="CN6" s="68">
        <f ca="1">CN88</f>
        <v>2698568.7456795918</v>
      </c>
      <c r="CO6" s="68">
        <f ca="1">CO88</f>
        <v>2377558.251482225</v>
      </c>
      <c r="CP6" s="68">
        <f ca="1">CP88</f>
        <v>2372447.8133538109</v>
      </c>
      <c r="CQ6" s="68">
        <f ca="1">CQ88</f>
        <v>2363477.6643860331</v>
      </c>
      <c r="CR6" s="28">
        <f ca="1">CQ6</f>
        <v>2363477.6643860331</v>
      </c>
      <c r="CS6" s="68">
        <f ca="1">CS88</f>
        <v>2917468.4392597917</v>
      </c>
      <c r="CT6" s="68">
        <f ca="1">CT88</f>
        <v>2529513.5856880774</v>
      </c>
      <c r="CU6" s="68">
        <f ca="1">CU88</f>
        <v>2517040.7692373903</v>
      </c>
      <c r="CV6" s="68">
        <f ca="1">CV88</f>
        <v>2513932.075612301</v>
      </c>
      <c r="CW6" s="28">
        <f ca="1">CV6</f>
        <v>2513932.075612301</v>
      </c>
      <c r="CX6" s="68">
        <f ca="1">CX88</f>
        <v>3102924.7928562076</v>
      </c>
      <c r="CY6" s="68">
        <f ca="1">CY88</f>
        <v>2691940.3030343852</v>
      </c>
      <c r="CZ6" s="68">
        <f ca="1">CZ88</f>
        <v>2663510.248224705</v>
      </c>
      <c r="DA6" s="68">
        <f ca="1">DA88</f>
        <v>2638844.7196007529</v>
      </c>
      <c r="DB6" s="28">
        <f ca="1">DA6</f>
        <v>2638844.7196007529</v>
      </c>
    </row>
    <row r="7" spans="1:106" ht="11.5" customHeight="1" x14ac:dyDescent="0.35">
      <c r="A7" s="182" t="s">
        <v>153</v>
      </c>
      <c r="B7" s="403"/>
      <c r="C7" s="403"/>
      <c r="D7" s="403"/>
      <c r="E7" s="403"/>
      <c r="F7" s="28">
        <f t="shared" ref="F7" si="31">E7</f>
        <v>0</v>
      </c>
      <c r="G7" s="403"/>
      <c r="H7" s="403"/>
      <c r="I7" s="403"/>
      <c r="J7" s="403"/>
      <c r="K7" s="28">
        <f t="shared" ref="K7" si="32">J7</f>
        <v>0</v>
      </c>
      <c r="L7" s="403"/>
      <c r="M7" s="403"/>
      <c r="N7" s="403"/>
      <c r="O7" s="403"/>
      <c r="P7" s="28">
        <f t="shared" ref="P7" si="33">O7</f>
        <v>0</v>
      </c>
      <c r="Q7" s="403"/>
      <c r="R7" s="403"/>
      <c r="S7" s="403"/>
      <c r="T7" s="403"/>
      <c r="U7" s="28">
        <f t="shared" ref="U7" si="34">T7</f>
        <v>0</v>
      </c>
      <c r="V7" s="403"/>
      <c r="W7" s="403"/>
      <c r="X7" s="403"/>
      <c r="Y7" s="403"/>
      <c r="Z7" s="28">
        <f t="shared" ref="Z7" si="35">Y7</f>
        <v>0</v>
      </c>
      <c r="AA7" s="403"/>
      <c r="AB7" s="403"/>
      <c r="AC7" s="403"/>
      <c r="AD7" s="403"/>
      <c r="AE7" s="28">
        <f t="shared" ref="AE7" si="36">AD7</f>
        <v>0</v>
      </c>
      <c r="AF7" s="403"/>
      <c r="AG7" s="403"/>
      <c r="AH7" s="403"/>
      <c r="AI7" s="403"/>
      <c r="AJ7" s="28">
        <f>AI7</f>
        <v>0</v>
      </c>
      <c r="AK7" s="403">
        <v>6612</v>
      </c>
      <c r="AL7" s="403">
        <v>0</v>
      </c>
      <c r="AM7" s="403">
        <v>17783</v>
      </c>
      <c r="AN7" s="403">
        <v>15827</v>
      </c>
      <c r="AO7" s="28">
        <f>AN7</f>
        <v>15827</v>
      </c>
      <c r="AP7" s="403">
        <v>848</v>
      </c>
      <c r="AQ7" s="403">
        <v>1649</v>
      </c>
      <c r="AR7" s="403">
        <v>0</v>
      </c>
      <c r="AS7" s="403">
        <v>16864</v>
      </c>
      <c r="AT7" s="28">
        <f>AS7</f>
        <v>16864</v>
      </c>
      <c r="AU7" s="403">
        <v>0</v>
      </c>
      <c r="AV7" s="403">
        <v>9167</v>
      </c>
      <c r="AW7" s="403">
        <v>30287</v>
      </c>
      <c r="AX7" s="403">
        <f>35414</f>
        <v>35414</v>
      </c>
      <c r="AY7" s="28">
        <f t="shared" ref="AY7" si="37">AX7</f>
        <v>35414</v>
      </c>
      <c r="AZ7" s="403">
        <v>41381</v>
      </c>
      <c r="BA7" s="403">
        <v>41232</v>
      </c>
      <c r="BB7" s="403">
        <f>32688</f>
        <v>32688</v>
      </c>
      <c r="BC7" s="403">
        <v>12206</v>
      </c>
      <c r="BD7" s="28">
        <f t="shared" ref="BD7" si="38">BC7</f>
        <v>12206</v>
      </c>
      <c r="BE7" s="403">
        <v>12223</v>
      </c>
      <c r="BF7" s="403">
        <v>4771</v>
      </c>
      <c r="BG7" s="403">
        <v>4788</v>
      </c>
      <c r="BH7" s="403">
        <v>4321</v>
      </c>
      <c r="BI7" s="28">
        <f t="shared" ref="BI7" si="39">BH7</f>
        <v>4321</v>
      </c>
      <c r="BJ7" s="403">
        <v>4445</v>
      </c>
      <c r="BK7" s="403">
        <v>4724</v>
      </c>
      <c r="BL7" s="403">
        <v>4355</v>
      </c>
      <c r="BM7" s="403">
        <v>5073</v>
      </c>
      <c r="BN7" s="28">
        <f t="shared" ref="BN7" si="40">BM7</f>
        <v>5073</v>
      </c>
      <c r="BO7" s="403">
        <v>4990</v>
      </c>
      <c r="BP7" s="403">
        <v>9220</v>
      </c>
      <c r="BQ7" s="403">
        <v>9055</v>
      </c>
      <c r="BR7" s="403">
        <v>12877</v>
      </c>
      <c r="BS7" s="28">
        <f t="shared" ref="BS7" si="41">BR7</f>
        <v>12877</v>
      </c>
      <c r="BT7" s="403">
        <v>17035</v>
      </c>
      <c r="BU7" s="403">
        <v>20868</v>
      </c>
      <c r="BV7" s="403">
        <v>18436</v>
      </c>
      <c r="BW7" s="403">
        <v>19811</v>
      </c>
      <c r="BX7" s="28">
        <f t="shared" ref="BX7" si="42">BW7</f>
        <v>19811</v>
      </c>
      <c r="BY7" s="403">
        <v>15765</v>
      </c>
      <c r="BZ7" s="403">
        <v>19451</v>
      </c>
      <c r="CA7" s="403">
        <v>12336</v>
      </c>
      <c r="CB7" s="403">
        <v>11893</v>
      </c>
      <c r="CC7" s="28">
        <f>CB7</f>
        <v>11893</v>
      </c>
      <c r="CD7" s="403">
        <v>17865</v>
      </c>
      <c r="CE7" s="403">
        <v>18291</v>
      </c>
      <c r="CF7" s="85">
        <f>CE7</f>
        <v>18291</v>
      </c>
      <c r="CG7" s="85">
        <f>CF7</f>
        <v>18291</v>
      </c>
      <c r="CH7" s="28">
        <f>CG7</f>
        <v>18291</v>
      </c>
      <c r="CI7" s="85">
        <f>CH7</f>
        <v>18291</v>
      </c>
      <c r="CJ7" s="85">
        <f>CI7</f>
        <v>18291</v>
      </c>
      <c r="CK7" s="85">
        <f>CJ7</f>
        <v>18291</v>
      </c>
      <c r="CL7" s="85">
        <f>CK7</f>
        <v>18291</v>
      </c>
      <c r="CM7" s="28">
        <f>CL7</f>
        <v>18291</v>
      </c>
      <c r="CN7" s="85">
        <f>CM7</f>
        <v>18291</v>
      </c>
      <c r="CO7" s="85">
        <f>CN7</f>
        <v>18291</v>
      </c>
      <c r="CP7" s="85">
        <f>CO7</f>
        <v>18291</v>
      </c>
      <c r="CQ7" s="85">
        <f>CP7</f>
        <v>18291</v>
      </c>
      <c r="CR7" s="28">
        <f>CQ7</f>
        <v>18291</v>
      </c>
      <c r="CS7" s="85">
        <f>CR7</f>
        <v>18291</v>
      </c>
      <c r="CT7" s="85">
        <f>CS7</f>
        <v>18291</v>
      </c>
      <c r="CU7" s="85">
        <f>CT7</f>
        <v>18291</v>
      </c>
      <c r="CV7" s="85">
        <f>CU7</f>
        <v>18291</v>
      </c>
      <c r="CW7" s="28">
        <f>CV7</f>
        <v>18291</v>
      </c>
      <c r="CX7" s="85">
        <f>CW7</f>
        <v>18291</v>
      </c>
      <c r="CY7" s="85">
        <f>CX7</f>
        <v>18291</v>
      </c>
      <c r="CZ7" s="85">
        <f>CY7</f>
        <v>18291</v>
      </c>
      <c r="DA7" s="85">
        <f>CZ7</f>
        <v>18291</v>
      </c>
      <c r="DB7" s="28">
        <f>DA7</f>
        <v>18291</v>
      </c>
    </row>
    <row r="8" spans="1:106" ht="11.5" customHeight="1" x14ac:dyDescent="0.35">
      <c r="A8" s="208" t="s">
        <v>176</v>
      </c>
      <c r="B8" s="37">
        <f t="shared" ref="B8:AE8" si="43">B9+B10</f>
        <v>0</v>
      </c>
      <c r="C8" s="115">
        <f t="shared" si="43"/>
        <v>0</v>
      </c>
      <c r="D8" s="115">
        <f t="shared" si="43"/>
        <v>0</v>
      </c>
      <c r="E8" s="115">
        <f t="shared" si="43"/>
        <v>0</v>
      </c>
      <c r="F8" s="38">
        <f t="shared" si="43"/>
        <v>0</v>
      </c>
      <c r="G8" s="37">
        <f t="shared" si="43"/>
        <v>0</v>
      </c>
      <c r="H8" s="115">
        <f t="shared" si="43"/>
        <v>0</v>
      </c>
      <c r="I8" s="115">
        <f t="shared" si="43"/>
        <v>0</v>
      </c>
      <c r="J8" s="115">
        <f t="shared" si="43"/>
        <v>0</v>
      </c>
      <c r="K8" s="38">
        <f t="shared" si="43"/>
        <v>0</v>
      </c>
      <c r="L8" s="37">
        <f t="shared" si="43"/>
        <v>0</v>
      </c>
      <c r="M8" s="115">
        <f t="shared" si="43"/>
        <v>0</v>
      </c>
      <c r="N8" s="115">
        <f t="shared" si="43"/>
        <v>0</v>
      </c>
      <c r="O8" s="115">
        <f t="shared" si="43"/>
        <v>0</v>
      </c>
      <c r="P8" s="38">
        <f t="shared" si="43"/>
        <v>0</v>
      </c>
      <c r="Q8" s="37">
        <f t="shared" si="43"/>
        <v>0</v>
      </c>
      <c r="R8" s="115">
        <f t="shared" si="43"/>
        <v>0</v>
      </c>
      <c r="S8" s="115">
        <f t="shared" si="43"/>
        <v>0</v>
      </c>
      <c r="T8" s="115">
        <f t="shared" si="43"/>
        <v>0</v>
      </c>
      <c r="U8" s="38">
        <f t="shared" si="43"/>
        <v>0</v>
      </c>
      <c r="V8" s="37">
        <f t="shared" si="43"/>
        <v>0</v>
      </c>
      <c r="W8" s="115">
        <f t="shared" si="43"/>
        <v>0</v>
      </c>
      <c r="X8" s="115">
        <f t="shared" si="43"/>
        <v>0</v>
      </c>
      <c r="Y8" s="115">
        <f t="shared" si="43"/>
        <v>0</v>
      </c>
      <c r="Z8" s="38">
        <f t="shared" si="43"/>
        <v>0</v>
      </c>
      <c r="AA8" s="37">
        <f t="shared" si="43"/>
        <v>0</v>
      </c>
      <c r="AB8" s="115">
        <f t="shared" si="43"/>
        <v>0</v>
      </c>
      <c r="AC8" s="115">
        <f t="shared" si="43"/>
        <v>0</v>
      </c>
      <c r="AD8" s="115">
        <f t="shared" si="43"/>
        <v>0</v>
      </c>
      <c r="AE8" s="38">
        <f t="shared" si="43"/>
        <v>0</v>
      </c>
      <c r="AF8" s="37">
        <f t="shared" ref="AF8:AG8" si="44">AF9+AF10</f>
        <v>0</v>
      </c>
      <c r="AG8" s="115">
        <f t="shared" si="44"/>
        <v>0</v>
      </c>
      <c r="AH8" s="115">
        <f t="shared" ref="AH8:AT8" si="45">AH9+AH10</f>
        <v>0</v>
      </c>
      <c r="AI8" s="115">
        <f t="shared" si="45"/>
        <v>0</v>
      </c>
      <c r="AJ8" s="38">
        <f t="shared" si="45"/>
        <v>0</v>
      </c>
      <c r="AK8" s="37">
        <f t="shared" si="45"/>
        <v>802877</v>
      </c>
      <c r="AL8" s="115">
        <f t="shared" si="45"/>
        <v>825558</v>
      </c>
      <c r="AM8" s="115">
        <f t="shared" si="45"/>
        <v>883567</v>
      </c>
      <c r="AN8" s="115">
        <f t="shared" si="45"/>
        <v>765298</v>
      </c>
      <c r="AO8" s="38">
        <f t="shared" si="45"/>
        <v>765298</v>
      </c>
      <c r="AP8" s="37">
        <f t="shared" si="45"/>
        <v>680771</v>
      </c>
      <c r="AQ8" s="115">
        <f t="shared" si="45"/>
        <v>760173</v>
      </c>
      <c r="AR8" s="115">
        <f t="shared" si="45"/>
        <v>734956</v>
      </c>
      <c r="AS8" s="115">
        <f t="shared" si="45"/>
        <v>557065</v>
      </c>
      <c r="AT8" s="38">
        <f t="shared" si="45"/>
        <v>557065</v>
      </c>
      <c r="AU8" s="37">
        <f t="shared" ref="AU8:AW8" si="46">AU9+AU10+AU11</f>
        <v>543697</v>
      </c>
      <c r="AV8" s="115">
        <f t="shared" si="46"/>
        <v>592779</v>
      </c>
      <c r="AW8" s="115">
        <f t="shared" si="46"/>
        <v>685769</v>
      </c>
      <c r="AX8" s="115">
        <f>AX9+AX10+AX11</f>
        <v>659335</v>
      </c>
      <c r="AY8" s="38">
        <f>AY9+AY10+AY11</f>
        <v>659335</v>
      </c>
      <c r="AZ8" s="37">
        <f t="shared" ref="AZ8" si="47">AZ9+AZ10+AZ11</f>
        <v>605454</v>
      </c>
      <c r="BA8" s="115">
        <f t="shared" ref="BA8" si="48">BA9+BA10+BA11</f>
        <v>685673</v>
      </c>
      <c r="BB8" s="115">
        <f t="shared" ref="BB8:BD8" si="49">BB9+BB10+BB11</f>
        <v>831054</v>
      </c>
      <c r="BC8" s="115">
        <f t="shared" si="49"/>
        <v>799322</v>
      </c>
      <c r="BD8" s="38">
        <f t="shared" si="49"/>
        <v>799322</v>
      </c>
      <c r="BE8" s="37">
        <f t="shared" ref="BE8" si="50">BE9+BE10+BE11</f>
        <v>938013</v>
      </c>
      <c r="BF8" s="115">
        <f t="shared" ref="BF8" si="51">BF9+BF10+BF11</f>
        <v>1049124</v>
      </c>
      <c r="BG8" s="115">
        <f t="shared" ref="BG8:BI8" si="52">BG9+BG10+BG11</f>
        <v>1106282</v>
      </c>
      <c r="BH8" s="115">
        <f t="shared" si="52"/>
        <v>1277665</v>
      </c>
      <c r="BI8" s="38">
        <f t="shared" si="52"/>
        <v>1277665</v>
      </c>
      <c r="BJ8" s="37">
        <f t="shared" ref="BJ8" si="53">BJ9+BJ10+BJ11</f>
        <v>1630579</v>
      </c>
      <c r="BK8" s="115">
        <f t="shared" ref="BK8" si="54">BK9+BK10+BK11</f>
        <v>1556792</v>
      </c>
      <c r="BL8" s="115">
        <f t="shared" ref="BL8:BN8" si="55">BL9+BL10+BL11</f>
        <v>1399701</v>
      </c>
      <c r="BM8" s="115">
        <f t="shared" si="55"/>
        <v>1179262</v>
      </c>
      <c r="BN8" s="38">
        <f t="shared" si="55"/>
        <v>1179262</v>
      </c>
      <c r="BO8" s="37">
        <f t="shared" ref="BO8" si="56">BO9+BO10+BO11</f>
        <v>1050636</v>
      </c>
      <c r="BP8" s="115">
        <f t="shared" ref="BP8" si="57">BP9+BP10+BP11</f>
        <v>1085689</v>
      </c>
      <c r="BQ8" s="115">
        <f t="shared" ref="BQ8:BS8" si="58">BQ9+BQ10+BQ11</f>
        <v>1080391</v>
      </c>
      <c r="BR8" s="115">
        <f t="shared" si="58"/>
        <v>1090801</v>
      </c>
      <c r="BS8" s="38">
        <f t="shared" si="58"/>
        <v>1090801</v>
      </c>
      <c r="BT8" s="37">
        <f t="shared" ref="BT8" si="59">BT9+BT10+BT11</f>
        <v>1285208</v>
      </c>
      <c r="BU8" s="115">
        <f t="shared" ref="BU8" si="60">BU9+BU10+BU11</f>
        <v>1379252</v>
      </c>
      <c r="BV8" s="115">
        <f t="shared" ref="BV8:CA8" si="61">BV9+BV10+BV11</f>
        <v>1454230</v>
      </c>
      <c r="BW8" s="115">
        <f t="shared" si="61"/>
        <v>1437237</v>
      </c>
      <c r="BX8" s="38">
        <f t="shared" si="61"/>
        <v>1437237</v>
      </c>
      <c r="BY8" s="37">
        <f t="shared" si="61"/>
        <v>1896708</v>
      </c>
      <c r="BZ8" s="115">
        <f t="shared" si="61"/>
        <v>2133707</v>
      </c>
      <c r="CA8" s="115">
        <f t="shared" si="61"/>
        <v>2198778</v>
      </c>
      <c r="CB8" s="115">
        <f t="shared" ref="CB8" si="62">CB9+CB10+CB11</f>
        <v>2157943</v>
      </c>
      <c r="CC8" s="38">
        <f t="shared" ref="CC8:CE8" si="63">CC9+CC10+CC11</f>
        <v>2157943</v>
      </c>
      <c r="CD8" s="37">
        <f t="shared" si="63"/>
        <v>2549380</v>
      </c>
      <c r="CE8" s="115">
        <f t="shared" si="63"/>
        <v>2722340</v>
      </c>
      <c r="CF8" s="115">
        <f t="shared" ref="CF8" si="64">CF9+CF10+CF11</f>
        <v>2749247.0627774708</v>
      </c>
      <c r="CG8" s="115">
        <f t="shared" ref="CG8" si="65">CG9+CG10+CG11</f>
        <v>2808598.4693500674</v>
      </c>
      <c r="CH8" s="38">
        <f t="shared" ref="CH8" si="66">CH9+CH10+CH11</f>
        <v>2808598.4693500674</v>
      </c>
      <c r="CI8" s="115">
        <f t="shared" ref="CI8" si="67">CI9+CI10+CI11</f>
        <v>2968201.5431951843</v>
      </c>
      <c r="CJ8" s="115">
        <f t="shared" ref="CJ8" si="68">CJ9+CJ10+CJ11</f>
        <v>3156901.1319450163</v>
      </c>
      <c r="CK8" s="115">
        <f t="shared" ref="CK8" si="69">CK9+CK10+CK11</f>
        <v>3330521.9717645901</v>
      </c>
      <c r="CL8" s="115">
        <f t="shared" ref="CL8" si="70">CL9+CL10+CL11</f>
        <v>3446827.2460011151</v>
      </c>
      <c r="CM8" s="38">
        <f t="shared" ref="CM8" si="71">CM9+CM10+CM11</f>
        <v>3446827.2460011151</v>
      </c>
      <c r="CN8" s="115">
        <f t="shared" ref="CN8" si="72">CN9+CN10+CN11</f>
        <v>3564094.900992753</v>
      </c>
      <c r="CO8" s="115">
        <f t="shared" ref="CO8" si="73">CO9+CO10+CO11</f>
        <v>3644230.0603092322</v>
      </c>
      <c r="CP8" s="115">
        <f t="shared" ref="CP8" si="74">CP9+CP10+CP11</f>
        <v>3723636.3094072165</v>
      </c>
      <c r="CQ8" s="115">
        <f t="shared" ref="CQ8" si="75">CQ9+CQ10+CQ11</f>
        <v>3825212.1767003229</v>
      </c>
      <c r="CR8" s="38">
        <f t="shared" ref="CR8" si="76">CR9+CR10+CR11</f>
        <v>3825212.1767003229</v>
      </c>
      <c r="CS8" s="115">
        <f t="shared" ref="CS8" si="77">CS9+CS10+CS11</f>
        <v>3916353.2599288835</v>
      </c>
      <c r="CT8" s="115">
        <f t="shared" ref="CT8" si="78">CT9+CT10+CT11</f>
        <v>4000898.7456914955</v>
      </c>
      <c r="CU8" s="115">
        <f t="shared" ref="CU8" si="79">CU9+CU10+CU11</f>
        <v>4078653.8149989233</v>
      </c>
      <c r="CV8" s="115">
        <f t="shared" ref="CV8" si="80">CV9+CV10+CV11</f>
        <v>4149887.9044129211</v>
      </c>
      <c r="CW8" s="38">
        <f t="shared" ref="CW8" si="81">CW9+CW10+CW11</f>
        <v>4149887.9044129211</v>
      </c>
      <c r="CX8" s="115">
        <f t="shared" ref="CX8" si="82">CX9+CX10+CX11</f>
        <v>4217937.6130442703</v>
      </c>
      <c r="CY8" s="115">
        <f t="shared" ref="CY8" si="83">CY9+CY10+CY11</f>
        <v>4284847.0290661203</v>
      </c>
      <c r="CZ8" s="115">
        <f t="shared" ref="CZ8" si="84">CZ9+CZ10+CZ11</f>
        <v>4348767.498566471</v>
      </c>
      <c r="DA8" s="115">
        <f t="shared" ref="DA8" si="85">DA9+DA10+DA11</f>
        <v>4408886.4038201729</v>
      </c>
      <c r="DB8" s="38">
        <f t="shared" ref="DB8" si="86">DB9+DB10+DB11</f>
        <v>4408886.4038201729</v>
      </c>
    </row>
    <row r="9" spans="1:106" ht="11.5" customHeight="1" outlineLevel="1" collapsed="1" x14ac:dyDescent="0.35">
      <c r="A9" s="183" t="s">
        <v>156</v>
      </c>
      <c r="B9" s="447"/>
      <c r="C9" s="447"/>
      <c r="D9" s="447"/>
      <c r="E9" s="447"/>
      <c r="F9" s="69">
        <f t="shared" ref="F9:F19" si="87">E9</f>
        <v>0</v>
      </c>
      <c r="G9" s="447"/>
      <c r="H9" s="447"/>
      <c r="I9" s="447"/>
      <c r="J9" s="447"/>
      <c r="K9" s="69">
        <f t="shared" ref="K9:K19" si="88">J9</f>
        <v>0</v>
      </c>
      <c r="L9" s="447"/>
      <c r="M9" s="447"/>
      <c r="N9" s="447"/>
      <c r="O9" s="447"/>
      <c r="P9" s="69">
        <f t="shared" ref="P9:P19" si="89">O9</f>
        <v>0</v>
      </c>
      <c r="Q9" s="447"/>
      <c r="R9" s="447"/>
      <c r="S9" s="447"/>
      <c r="T9" s="447"/>
      <c r="U9" s="69">
        <f t="shared" ref="U9:U19" si="90">T9</f>
        <v>0</v>
      </c>
      <c r="V9" s="447"/>
      <c r="W9" s="447"/>
      <c r="X9" s="447"/>
      <c r="Y9" s="447"/>
      <c r="Z9" s="69">
        <f t="shared" ref="Z9:Z19" si="91">Y9</f>
        <v>0</v>
      </c>
      <c r="AA9" s="447"/>
      <c r="AB9" s="447"/>
      <c r="AC9" s="447"/>
      <c r="AD9" s="447"/>
      <c r="AE9" s="69">
        <f t="shared" ref="AE9:AE19" si="92">AD9</f>
        <v>0</v>
      </c>
      <c r="AF9" s="447"/>
      <c r="AG9" s="447"/>
      <c r="AH9" s="447"/>
      <c r="AI9" s="447"/>
      <c r="AJ9" s="69">
        <f t="shared" ref="AJ9:AJ19" si="93">AI9</f>
        <v>0</v>
      </c>
      <c r="AK9" s="447">
        <v>0</v>
      </c>
      <c r="AL9" s="447">
        <v>0</v>
      </c>
      <c r="AM9" s="447">
        <v>0</v>
      </c>
      <c r="AN9" s="447">
        <v>0</v>
      </c>
      <c r="AO9" s="69">
        <f t="shared" ref="AO9:AO19" si="94">AN9</f>
        <v>0</v>
      </c>
      <c r="AP9" s="447">
        <v>0</v>
      </c>
      <c r="AQ9" s="447">
        <v>0</v>
      </c>
      <c r="AR9" s="447">
        <v>0</v>
      </c>
      <c r="AS9" s="447">
        <v>0</v>
      </c>
      <c r="AT9" s="69">
        <f t="shared" ref="AT9:AT19" si="95">AS9</f>
        <v>0</v>
      </c>
      <c r="AU9" s="447">
        <v>0</v>
      </c>
      <c r="AV9" s="447">
        <v>0</v>
      </c>
      <c r="AW9" s="447">
        <v>0</v>
      </c>
      <c r="AX9" s="447">
        <v>0</v>
      </c>
      <c r="AY9" s="69">
        <f t="shared" ref="AY9" si="96">AX9</f>
        <v>0</v>
      </c>
      <c r="AZ9" s="447">
        <v>0</v>
      </c>
      <c r="BA9" s="447">
        <v>0</v>
      </c>
      <c r="BB9" s="447">
        <v>0</v>
      </c>
      <c r="BC9" s="447">
        <v>0</v>
      </c>
      <c r="BD9" s="69">
        <f t="shared" ref="BD9" si="97">BC9</f>
        <v>0</v>
      </c>
      <c r="BE9" s="447">
        <v>0</v>
      </c>
      <c r="BF9" s="447">
        <v>0</v>
      </c>
      <c r="BG9" s="447">
        <v>0</v>
      </c>
      <c r="BH9" s="447">
        <v>0</v>
      </c>
      <c r="BI9" s="69">
        <f t="shared" ref="BI9" si="98">BH9</f>
        <v>0</v>
      </c>
      <c r="BJ9" s="447">
        <v>0</v>
      </c>
      <c r="BK9" s="447">
        <v>0</v>
      </c>
      <c r="BL9" s="447">
        <v>0</v>
      </c>
      <c r="BM9" s="447">
        <v>0</v>
      </c>
      <c r="BN9" s="69">
        <f t="shared" ref="BN9" si="99">BM9</f>
        <v>0</v>
      </c>
      <c r="BO9" s="447">
        <v>0</v>
      </c>
      <c r="BP9" s="447">
        <v>0</v>
      </c>
      <c r="BQ9" s="447">
        <v>0</v>
      </c>
      <c r="BR9" s="447">
        <v>0</v>
      </c>
      <c r="BS9" s="69">
        <f t="shared" ref="BS9" si="100">BR9</f>
        <v>0</v>
      </c>
      <c r="BT9" s="447">
        <v>0</v>
      </c>
      <c r="BU9" s="447">
        <v>0</v>
      </c>
      <c r="BV9" s="447">
        <v>0</v>
      </c>
      <c r="BW9" s="447">
        <v>0</v>
      </c>
      <c r="BX9" s="69">
        <f t="shared" ref="BX9" si="101">BW9</f>
        <v>0</v>
      </c>
      <c r="BY9" s="447">
        <v>0</v>
      </c>
      <c r="BZ9" s="447">
        <v>0</v>
      </c>
      <c r="CA9" s="447">
        <v>0</v>
      </c>
      <c r="CB9" s="447">
        <v>0</v>
      </c>
      <c r="CC9" s="69">
        <f>CB9</f>
        <v>0</v>
      </c>
      <c r="CD9" s="447">
        <v>0</v>
      </c>
      <c r="CE9" s="447">
        <v>0</v>
      </c>
      <c r="CF9" s="87">
        <f>CE9</f>
        <v>0</v>
      </c>
      <c r="CG9" s="87">
        <f>CF9</f>
        <v>0</v>
      </c>
      <c r="CH9" s="69">
        <f>CG9</f>
        <v>0</v>
      </c>
      <c r="CI9" s="87">
        <f t="shared" ref="CI9" si="102">CG9</f>
        <v>0</v>
      </c>
      <c r="CJ9" s="87">
        <f t="shared" ref="CJ9:CM9" si="103">CI9</f>
        <v>0</v>
      </c>
      <c r="CK9" s="87">
        <f t="shared" si="103"/>
        <v>0</v>
      </c>
      <c r="CL9" s="87">
        <f t="shared" si="103"/>
        <v>0</v>
      </c>
      <c r="CM9" s="69">
        <f t="shared" si="103"/>
        <v>0</v>
      </c>
      <c r="CN9" s="87">
        <f t="shared" ref="CN9" si="104">CL9</f>
        <v>0</v>
      </c>
      <c r="CO9" s="87">
        <f t="shared" ref="CO9:CR9" si="105">CN9</f>
        <v>0</v>
      </c>
      <c r="CP9" s="87">
        <f t="shared" si="105"/>
        <v>0</v>
      </c>
      <c r="CQ9" s="87">
        <f t="shared" si="105"/>
        <v>0</v>
      </c>
      <c r="CR9" s="69">
        <f t="shared" si="105"/>
        <v>0</v>
      </c>
      <c r="CS9" s="87">
        <f t="shared" ref="CS9" si="106">CQ9</f>
        <v>0</v>
      </c>
      <c r="CT9" s="87">
        <f t="shared" ref="CT9:CW9" si="107">CS9</f>
        <v>0</v>
      </c>
      <c r="CU9" s="87">
        <f t="shared" si="107"/>
        <v>0</v>
      </c>
      <c r="CV9" s="87">
        <f t="shared" si="107"/>
        <v>0</v>
      </c>
      <c r="CW9" s="69">
        <f t="shared" si="107"/>
        <v>0</v>
      </c>
      <c r="CX9" s="87">
        <f t="shared" ref="CX9" si="108">CV9</f>
        <v>0</v>
      </c>
      <c r="CY9" s="87">
        <f t="shared" ref="CY9:DB9" si="109">CX9</f>
        <v>0</v>
      </c>
      <c r="CZ9" s="87">
        <f t="shared" si="109"/>
        <v>0</v>
      </c>
      <c r="DA9" s="87">
        <f t="shared" si="109"/>
        <v>0</v>
      </c>
      <c r="DB9" s="69">
        <f t="shared" si="109"/>
        <v>0</v>
      </c>
    </row>
    <row r="10" spans="1:106" ht="11.5" customHeight="1" outlineLevel="1" x14ac:dyDescent="0.35">
      <c r="A10" s="183" t="s">
        <v>155</v>
      </c>
      <c r="B10" s="447"/>
      <c r="C10" s="447"/>
      <c r="D10" s="447"/>
      <c r="E10" s="447"/>
      <c r="F10" s="69">
        <f t="shared" si="87"/>
        <v>0</v>
      </c>
      <c r="G10" s="447"/>
      <c r="H10" s="447"/>
      <c r="I10" s="447"/>
      <c r="J10" s="447"/>
      <c r="K10" s="69">
        <f t="shared" si="88"/>
        <v>0</v>
      </c>
      <c r="L10" s="447"/>
      <c r="M10" s="447"/>
      <c r="N10" s="447"/>
      <c r="O10" s="447"/>
      <c r="P10" s="69">
        <f t="shared" si="89"/>
        <v>0</v>
      </c>
      <c r="Q10" s="447"/>
      <c r="R10" s="447"/>
      <c r="S10" s="447"/>
      <c r="T10" s="447"/>
      <c r="U10" s="69">
        <f t="shared" si="90"/>
        <v>0</v>
      </c>
      <c r="V10" s="447"/>
      <c r="W10" s="447"/>
      <c r="X10" s="447"/>
      <c r="Y10" s="447"/>
      <c r="Z10" s="69">
        <f t="shared" si="91"/>
        <v>0</v>
      </c>
      <c r="AA10" s="447"/>
      <c r="AB10" s="447"/>
      <c r="AC10" s="447"/>
      <c r="AD10" s="447"/>
      <c r="AE10" s="69">
        <f t="shared" si="92"/>
        <v>0</v>
      </c>
      <c r="AF10" s="447"/>
      <c r="AG10" s="447"/>
      <c r="AH10" s="447"/>
      <c r="AI10" s="447"/>
      <c r="AJ10" s="69">
        <f t="shared" si="93"/>
        <v>0</v>
      </c>
      <c r="AK10" s="447">
        <f>642834+160043</f>
        <v>802877</v>
      </c>
      <c r="AL10" s="447">
        <f>646570+178988</f>
        <v>825558</v>
      </c>
      <c r="AM10" s="447">
        <f>705210+178357</f>
        <v>883567</v>
      </c>
      <c r="AN10" s="447">
        <f>680292+85006</f>
        <v>765298</v>
      </c>
      <c r="AO10" s="69">
        <f t="shared" si="94"/>
        <v>765298</v>
      </c>
      <c r="AP10" s="447">
        <f>583693+97078</f>
        <v>680771</v>
      </c>
      <c r="AQ10" s="447">
        <f>654913+105260</f>
        <v>760173</v>
      </c>
      <c r="AR10" s="447">
        <f>641647+93309</f>
        <v>734956</v>
      </c>
      <c r="AS10" s="447">
        <f>417334+139731</f>
        <v>557065</v>
      </c>
      <c r="AT10" s="69">
        <f t="shared" si="95"/>
        <v>557065</v>
      </c>
      <c r="AU10" s="447">
        <f>457533+86164</f>
        <v>543697</v>
      </c>
      <c r="AV10" s="447">
        <f>504111+88668</f>
        <v>592779</v>
      </c>
      <c r="AW10" s="447">
        <f>581653+104116</f>
        <v>685769</v>
      </c>
      <c r="AX10" s="447">
        <f>533437+125898-AX11</f>
        <v>556863</v>
      </c>
      <c r="AY10" s="69">
        <f t="shared" ref="AY10" si="110">AX10</f>
        <v>556863</v>
      </c>
      <c r="AZ10" s="447">
        <f>448111+157343-AZ11</f>
        <v>527013</v>
      </c>
      <c r="BA10" s="447">
        <f>528330+157343-BA11</f>
        <v>594707</v>
      </c>
      <c r="BB10" s="447">
        <f>647241+183813-BB11</f>
        <v>745284</v>
      </c>
      <c r="BC10" s="447">
        <f>627243+172079-BC11</f>
        <v>713804</v>
      </c>
      <c r="BD10" s="69">
        <f t="shared" ref="BD10" si="111">BC10</f>
        <v>713804</v>
      </c>
      <c r="BE10" s="447">
        <f>770187+167826-BE11</f>
        <v>866972</v>
      </c>
      <c r="BF10" s="447">
        <f>835343+213781-BF11</f>
        <v>974152</v>
      </c>
      <c r="BG10" s="447">
        <f>700282+406000-BG11</f>
        <v>1025135</v>
      </c>
      <c r="BH10" s="447">
        <f>731349+546316-BH11</f>
        <v>1186992</v>
      </c>
      <c r="BI10" s="69">
        <f t="shared" ref="BI10" si="112">BH10</f>
        <v>1186992</v>
      </c>
      <c r="BJ10" s="447">
        <f>996524+634055-BJ11</f>
        <v>1549111</v>
      </c>
      <c r="BK10" s="447">
        <f>1004386+552406-BK11</f>
        <v>1482423</v>
      </c>
      <c r="BL10" s="447">
        <f>870147+529554-BL11</f>
        <v>1335180</v>
      </c>
      <c r="BM10" s="447">
        <f>681536+497726-BM11</f>
        <v>1128332</v>
      </c>
      <c r="BN10" s="69">
        <f t="shared" ref="BN10" si="113">BM10</f>
        <v>1128332</v>
      </c>
      <c r="BO10" s="447">
        <f>677724+372912-BO11</f>
        <v>998907</v>
      </c>
      <c r="BP10" s="447">
        <f>678261+407428-BP11</f>
        <v>1032846</v>
      </c>
      <c r="BQ10" s="447">
        <f>489221+591170-BQ11</f>
        <v>1080391</v>
      </c>
      <c r="BR10" s="447">
        <f>481218+609583-BR11</f>
        <v>1090801</v>
      </c>
      <c r="BS10" s="69">
        <f t="shared" ref="BS10" si="114">BR10</f>
        <v>1090801</v>
      </c>
      <c r="BT10" s="447">
        <f>649909+635299-BT11</f>
        <v>1285208</v>
      </c>
      <c r="BU10" s="447">
        <f>494497+884755-BU11</f>
        <v>1379252</v>
      </c>
      <c r="BV10" s="447">
        <f>371958+1082272-BV11</f>
        <v>1454230</v>
      </c>
      <c r="BW10" s="447">
        <f>345783+1091454-BW11</f>
        <v>1437237</v>
      </c>
      <c r="BX10" s="69">
        <f t="shared" ref="BX10" si="115">BW10</f>
        <v>1437237</v>
      </c>
      <c r="BY10" s="447">
        <f>602208+1294500-BY11</f>
        <v>1896708</v>
      </c>
      <c r="BZ10" s="447">
        <f>552497+1581210-BZ11</f>
        <v>2133707</v>
      </c>
      <c r="CA10" s="447">
        <f>475943-CA9-CA11+1722835</f>
        <v>2198778</v>
      </c>
      <c r="CB10" s="447">
        <f>286215+1871728-CB11</f>
        <v>2157943</v>
      </c>
      <c r="CC10" s="69">
        <f>CB10</f>
        <v>2157943</v>
      </c>
      <c r="CD10" s="447">
        <f>536930+2012450-CD11</f>
        <v>2549380</v>
      </c>
      <c r="CE10" s="447">
        <f>580014+2142326-CE11</f>
        <v>2722340</v>
      </c>
      <c r="CF10" s="87">
        <f>CF99</f>
        <v>2749247.0627774708</v>
      </c>
      <c r="CG10" s="87">
        <f>CG99</f>
        <v>2808598.4693500674</v>
      </c>
      <c r="CH10" s="69">
        <f>CG10</f>
        <v>2808598.4693500674</v>
      </c>
      <c r="CI10" s="87">
        <f>CI99</f>
        <v>2968201.5431951843</v>
      </c>
      <c r="CJ10" s="87">
        <f>CJ99</f>
        <v>3156901.1319450163</v>
      </c>
      <c r="CK10" s="87">
        <f>CK99</f>
        <v>3330521.9717645901</v>
      </c>
      <c r="CL10" s="87">
        <f>CL99</f>
        <v>3446827.2460011151</v>
      </c>
      <c r="CM10" s="69">
        <f>CL10</f>
        <v>3446827.2460011151</v>
      </c>
      <c r="CN10" s="87">
        <f>CN99</f>
        <v>3564094.900992753</v>
      </c>
      <c r="CO10" s="87">
        <f>CO99</f>
        <v>3644230.0603092322</v>
      </c>
      <c r="CP10" s="87">
        <f>CP99</f>
        <v>3723636.3094072165</v>
      </c>
      <c r="CQ10" s="87">
        <f>CQ99</f>
        <v>3825212.1767003229</v>
      </c>
      <c r="CR10" s="69">
        <f>CQ10</f>
        <v>3825212.1767003229</v>
      </c>
      <c r="CS10" s="87">
        <f>CS99</f>
        <v>3916353.2599288835</v>
      </c>
      <c r="CT10" s="87">
        <f>CT99</f>
        <v>4000898.7456914955</v>
      </c>
      <c r="CU10" s="87">
        <f>CU99</f>
        <v>4078653.8149989233</v>
      </c>
      <c r="CV10" s="87">
        <f>CV99</f>
        <v>4149887.9044129211</v>
      </c>
      <c r="CW10" s="69">
        <f>CV10</f>
        <v>4149887.9044129211</v>
      </c>
      <c r="CX10" s="87">
        <f>CX99</f>
        <v>4217937.6130442703</v>
      </c>
      <c r="CY10" s="87">
        <f>CY99</f>
        <v>4284847.0290661203</v>
      </c>
      <c r="CZ10" s="87">
        <f>CZ99</f>
        <v>4348767.498566471</v>
      </c>
      <c r="DA10" s="87">
        <f>DA99</f>
        <v>4408886.4038201729</v>
      </c>
      <c r="DB10" s="69">
        <f>DA10</f>
        <v>4408886.4038201729</v>
      </c>
    </row>
    <row r="11" spans="1:106" ht="11.5" customHeight="1" outlineLevel="1" x14ac:dyDescent="0.35">
      <c r="A11" s="183" t="s">
        <v>339</v>
      </c>
      <c r="B11" s="447"/>
      <c r="C11" s="447"/>
      <c r="D11" s="447"/>
      <c r="E11" s="447"/>
      <c r="F11" s="69">
        <f t="shared" si="87"/>
        <v>0</v>
      </c>
      <c r="G11" s="447"/>
      <c r="H11" s="447"/>
      <c r="I11" s="447"/>
      <c r="J11" s="447"/>
      <c r="K11" s="69">
        <f t="shared" si="88"/>
        <v>0</v>
      </c>
      <c r="L11" s="447"/>
      <c r="M11" s="447"/>
      <c r="N11" s="447"/>
      <c r="O11" s="447"/>
      <c r="P11" s="69">
        <f t="shared" si="89"/>
        <v>0</v>
      </c>
      <c r="Q11" s="447"/>
      <c r="R11" s="447"/>
      <c r="S11" s="447"/>
      <c r="T11" s="447"/>
      <c r="U11" s="69">
        <f t="shared" si="90"/>
        <v>0</v>
      </c>
      <c r="V11" s="447"/>
      <c r="W11" s="447"/>
      <c r="X11" s="447"/>
      <c r="Y11" s="447"/>
      <c r="Z11" s="69">
        <f t="shared" si="91"/>
        <v>0</v>
      </c>
      <c r="AA11" s="447"/>
      <c r="AB11" s="447"/>
      <c r="AC11" s="447"/>
      <c r="AD11" s="447"/>
      <c r="AE11" s="69">
        <f t="shared" si="92"/>
        <v>0</v>
      </c>
      <c r="AF11" s="447"/>
      <c r="AG11" s="447"/>
      <c r="AH11" s="447"/>
      <c r="AI11" s="447"/>
      <c r="AJ11" s="69">
        <f t="shared" si="93"/>
        <v>0</v>
      </c>
      <c r="AK11" s="447"/>
      <c r="AL11" s="447"/>
      <c r="AM11" s="447"/>
      <c r="AN11" s="447"/>
      <c r="AO11" s="69">
        <f t="shared" si="94"/>
        <v>0</v>
      </c>
      <c r="AP11" s="447"/>
      <c r="AQ11" s="447"/>
      <c r="AR11" s="447"/>
      <c r="AS11" s="447"/>
      <c r="AT11" s="69">
        <f t="shared" si="95"/>
        <v>0</v>
      </c>
      <c r="AU11" s="447"/>
      <c r="AV11" s="447"/>
      <c r="AW11" s="447"/>
      <c r="AX11" s="447">
        <f>95525+6947</f>
        <v>102472</v>
      </c>
      <c r="AY11" s="69">
        <f t="shared" ref="AY11:AY15" si="116">AX11</f>
        <v>102472</v>
      </c>
      <c r="AZ11" s="447">
        <f>77017+1424</f>
        <v>78441</v>
      </c>
      <c r="BA11" s="447">
        <f>89542+1424</f>
        <v>90966</v>
      </c>
      <c r="BB11" s="447">
        <f>84346+1424</f>
        <v>85770</v>
      </c>
      <c r="BC11" s="447">
        <v>85518</v>
      </c>
      <c r="BD11" s="69">
        <f t="shared" ref="BD11:BD15" si="117">BC11</f>
        <v>85518</v>
      </c>
      <c r="BE11" s="447">
        <v>71041</v>
      </c>
      <c r="BF11" s="447">
        <v>74972</v>
      </c>
      <c r="BG11" s="447">
        <v>81147</v>
      </c>
      <c r="BH11" s="447">
        <v>90673</v>
      </c>
      <c r="BI11" s="69">
        <f t="shared" ref="BI11:BI15" si="118">BH11</f>
        <v>90673</v>
      </c>
      <c r="BJ11" s="447">
        <v>81468</v>
      </c>
      <c r="BK11" s="447">
        <v>74369</v>
      </c>
      <c r="BL11" s="447">
        <v>64521</v>
      </c>
      <c r="BM11" s="447">
        <v>50930</v>
      </c>
      <c r="BN11" s="69">
        <f t="shared" ref="BN11:BN15" si="119">BM11</f>
        <v>50930</v>
      </c>
      <c r="BO11" s="447">
        <v>51729</v>
      </c>
      <c r="BP11" s="447">
        <v>52843</v>
      </c>
      <c r="BQ11" s="447">
        <v>0</v>
      </c>
      <c r="BR11" s="447">
        <v>0</v>
      </c>
      <c r="BS11" s="69">
        <f t="shared" ref="BS11:BS15" si="120">BR11</f>
        <v>0</v>
      </c>
      <c r="BT11" s="447">
        <v>0</v>
      </c>
      <c r="BU11" s="447">
        <v>0</v>
      </c>
      <c r="BV11" s="447">
        <v>0</v>
      </c>
      <c r="BW11" s="447">
        <v>0</v>
      </c>
      <c r="BX11" s="69">
        <f t="shared" ref="BX11:BX15" si="121">BW11</f>
        <v>0</v>
      </c>
      <c r="BY11" s="447">
        <v>0</v>
      </c>
      <c r="BZ11" s="447">
        <v>0</v>
      </c>
      <c r="CA11" s="447">
        <v>0</v>
      </c>
      <c r="CB11" s="447">
        <v>0</v>
      </c>
      <c r="CC11" s="69">
        <f>CB11</f>
        <v>0</v>
      </c>
      <c r="CD11" s="447">
        <v>0</v>
      </c>
      <c r="CE11" s="447">
        <v>0</v>
      </c>
      <c r="CF11" s="448">
        <f>CE11-CE11/(4*2.5)+Operating!CF49*0%*60%</f>
        <v>0</v>
      </c>
      <c r="CG11" s="448">
        <f>CF11-CF11/(4*2.5)+Operating!CG49*0%*60%</f>
        <v>0</v>
      </c>
      <c r="CH11" s="69">
        <f>CG11</f>
        <v>0</v>
      </c>
      <c r="CI11" s="448">
        <f>CH11-CH11/(4*2.5)+Operating!CI49*0%*60%</f>
        <v>0</v>
      </c>
      <c r="CJ11" s="448">
        <f>CI11-CI11/(4*2.5)+Operating!CJ49*0%*60%</f>
        <v>0</v>
      </c>
      <c r="CK11" s="448">
        <f>CJ11-CJ11/(4*2.5)+Operating!CK49*0%*60%</f>
        <v>0</v>
      </c>
      <c r="CL11" s="448">
        <f>CK11-CK11/(4*2.5)+Operating!CL49*0%*60%</f>
        <v>0</v>
      </c>
      <c r="CM11" s="69">
        <f t="shared" ref="CM11" si="122">CL11</f>
        <v>0</v>
      </c>
      <c r="CN11" s="448">
        <f>CM11-CM11/(4*2.5)+Operating!CN49*0%*60%</f>
        <v>0</v>
      </c>
      <c r="CO11" s="448">
        <f>CN11-CN11/(4*2.5)+Operating!CO49*0%*60%</f>
        <v>0</v>
      </c>
      <c r="CP11" s="448">
        <f>CO11-CO11/(4*2.5)+Operating!CP49*0%*60%</f>
        <v>0</v>
      </c>
      <c r="CQ11" s="448">
        <f>CP11-CP11/(4*2.5)+Operating!CQ49*0%*60%</f>
        <v>0</v>
      </c>
      <c r="CR11" s="69">
        <f t="shared" ref="CR11" si="123">CQ11</f>
        <v>0</v>
      </c>
      <c r="CS11" s="448">
        <f>CR11-CR11/(4*2.5)+Operating!CS49*0%*60%</f>
        <v>0</v>
      </c>
      <c r="CT11" s="448">
        <f>CS11-CS11/(4*2.5)+Operating!CT49*0%*60%</f>
        <v>0</v>
      </c>
      <c r="CU11" s="448">
        <f>CT11-CT11/(4*2.5)+Operating!CU49*0%*60%</f>
        <v>0</v>
      </c>
      <c r="CV11" s="448">
        <f>CU11-CU11/(4*2.5)+Operating!CV49*0%*60%</f>
        <v>0</v>
      </c>
      <c r="CW11" s="69">
        <f t="shared" ref="CW11" si="124">CV11</f>
        <v>0</v>
      </c>
      <c r="CX11" s="448">
        <f>CW11-CW11/(4*2.5)+Operating!CX49*0%*60%</f>
        <v>0</v>
      </c>
      <c r="CY11" s="448">
        <f>CX11-CX11/(4*2.5)+Operating!CY49*0%*60%</f>
        <v>0</v>
      </c>
      <c r="CZ11" s="448">
        <f>CY11-CY11/(4*2.5)+Operating!CZ49*0%*60%</f>
        <v>0</v>
      </c>
      <c r="DA11" s="448">
        <f>CZ11-CZ11/(4*2.5)+Operating!DA49*0%*60%</f>
        <v>0</v>
      </c>
      <c r="DB11" s="69">
        <f t="shared" ref="DB11" si="125">DA11</f>
        <v>0</v>
      </c>
    </row>
    <row r="12" spans="1:106" ht="11.5" customHeight="1" x14ac:dyDescent="0.35">
      <c r="A12" s="208" t="s">
        <v>157</v>
      </c>
      <c r="B12" s="37">
        <f t="shared" ref="B12:E12" si="126">SUM(B13:B15)</f>
        <v>0</v>
      </c>
      <c r="C12" s="37">
        <f t="shared" si="126"/>
        <v>0</v>
      </c>
      <c r="D12" s="37">
        <f t="shared" si="126"/>
        <v>0</v>
      </c>
      <c r="E12" s="37">
        <f t="shared" si="126"/>
        <v>0</v>
      </c>
      <c r="F12" s="38">
        <f t="shared" si="87"/>
        <v>0</v>
      </c>
      <c r="G12" s="37">
        <f t="shared" ref="G12:J12" si="127">SUM(G13:G15)</f>
        <v>0</v>
      </c>
      <c r="H12" s="37">
        <f t="shared" si="127"/>
        <v>0</v>
      </c>
      <c r="I12" s="37">
        <f t="shared" si="127"/>
        <v>0</v>
      </c>
      <c r="J12" s="37">
        <f t="shared" si="127"/>
        <v>0</v>
      </c>
      <c r="K12" s="38">
        <f t="shared" si="88"/>
        <v>0</v>
      </c>
      <c r="L12" s="37">
        <f t="shared" ref="L12:O12" si="128">SUM(L13:L15)</f>
        <v>0</v>
      </c>
      <c r="M12" s="37">
        <f t="shared" si="128"/>
        <v>0</v>
      </c>
      <c r="N12" s="37">
        <f t="shared" si="128"/>
        <v>0</v>
      </c>
      <c r="O12" s="37">
        <f t="shared" si="128"/>
        <v>0</v>
      </c>
      <c r="P12" s="38">
        <f t="shared" si="89"/>
        <v>0</v>
      </c>
      <c r="Q12" s="37">
        <f t="shared" ref="Q12:T12" si="129">SUM(Q13:Q15)</f>
        <v>0</v>
      </c>
      <c r="R12" s="37">
        <f t="shared" si="129"/>
        <v>0</v>
      </c>
      <c r="S12" s="37">
        <f t="shared" si="129"/>
        <v>0</v>
      </c>
      <c r="T12" s="37">
        <f t="shared" si="129"/>
        <v>0</v>
      </c>
      <c r="U12" s="38">
        <f t="shared" si="90"/>
        <v>0</v>
      </c>
      <c r="V12" s="37">
        <f t="shared" ref="V12:Y12" si="130">SUM(V13:V15)</f>
        <v>0</v>
      </c>
      <c r="W12" s="37">
        <f t="shared" si="130"/>
        <v>0</v>
      </c>
      <c r="X12" s="37">
        <f t="shared" si="130"/>
        <v>0</v>
      </c>
      <c r="Y12" s="37">
        <f t="shared" si="130"/>
        <v>0</v>
      </c>
      <c r="Z12" s="38">
        <f t="shared" si="91"/>
        <v>0</v>
      </c>
      <c r="AA12" s="37">
        <f t="shared" ref="AA12:AD12" si="131">SUM(AA13:AA15)</f>
        <v>0</v>
      </c>
      <c r="AB12" s="37">
        <f t="shared" si="131"/>
        <v>0</v>
      </c>
      <c r="AC12" s="37">
        <f t="shared" si="131"/>
        <v>0</v>
      </c>
      <c r="AD12" s="37">
        <f t="shared" si="131"/>
        <v>0</v>
      </c>
      <c r="AE12" s="38">
        <f t="shared" si="92"/>
        <v>0</v>
      </c>
      <c r="AF12" s="37">
        <f>SUM(AF13:AF15)</f>
        <v>0</v>
      </c>
      <c r="AG12" s="37">
        <f>SUM(AG13:AG15)</f>
        <v>0</v>
      </c>
      <c r="AH12" s="37">
        <f>SUM(AH13:AH15)</f>
        <v>0</v>
      </c>
      <c r="AI12" s="37">
        <f>SUM(AI13:AI15)</f>
        <v>0</v>
      </c>
      <c r="AJ12" s="38">
        <f t="shared" si="93"/>
        <v>0</v>
      </c>
      <c r="AK12" s="37">
        <f>SUM(AK13:AK15)</f>
        <v>231020</v>
      </c>
      <c r="AL12" s="37">
        <f>SUM(AL13:AL15)</f>
        <v>223747</v>
      </c>
      <c r="AM12" s="37">
        <f>SUM(AM13:AM15)</f>
        <v>249339</v>
      </c>
      <c r="AN12" s="37">
        <f>SUM(AN13:AN15)</f>
        <v>249149</v>
      </c>
      <c r="AO12" s="38">
        <f t="shared" si="94"/>
        <v>249149</v>
      </c>
      <c r="AP12" s="37">
        <f>SUM(AP13:AP15)</f>
        <v>233112</v>
      </c>
      <c r="AQ12" s="37">
        <f>SUM(AQ13:AQ15)</f>
        <v>193980</v>
      </c>
      <c r="AR12" s="37">
        <f>SUM(AR13:AR15)</f>
        <v>241342</v>
      </c>
      <c r="AS12" s="37">
        <f>SUM(AS13:AS15)</f>
        <v>241079</v>
      </c>
      <c r="AT12" s="38">
        <f t="shared" si="95"/>
        <v>241079</v>
      </c>
      <c r="AU12" s="37">
        <f>SUM(AU13:AU15)</f>
        <v>218101</v>
      </c>
      <c r="AV12" s="37">
        <f>SUM(AV13:AV15)</f>
        <v>206870</v>
      </c>
      <c r="AW12" s="37">
        <f>SUM(AW13:AW15)</f>
        <v>235880</v>
      </c>
      <c r="AX12" s="37">
        <f>SUM(AX13:AX15)</f>
        <v>198799</v>
      </c>
      <c r="AY12" s="38">
        <f t="shared" si="116"/>
        <v>198799</v>
      </c>
      <c r="AZ12" s="37">
        <f>SUM(AZ13:AZ15)</f>
        <v>210689</v>
      </c>
      <c r="BA12" s="37">
        <f>SUM(BA13:BA15)</f>
        <v>190026</v>
      </c>
      <c r="BB12" s="37">
        <f>SUM(BB13:BB15)</f>
        <v>226704</v>
      </c>
      <c r="BC12" s="37">
        <f>SUM(BC13:BC15)</f>
        <v>296258</v>
      </c>
      <c r="BD12" s="38">
        <f t="shared" si="117"/>
        <v>296258</v>
      </c>
      <c r="BE12" s="37">
        <f>SUM(BE13:BE15)</f>
        <v>419485</v>
      </c>
      <c r="BF12" s="37">
        <f>SUM(BF13:BF15)</f>
        <v>365678</v>
      </c>
      <c r="BG12" s="37">
        <f>SUM(BG13:BG15)</f>
        <v>381628</v>
      </c>
      <c r="BH12" s="37">
        <f>SUM(BH13:BH15)</f>
        <v>532708</v>
      </c>
      <c r="BI12" s="38">
        <f t="shared" si="118"/>
        <v>532708</v>
      </c>
      <c r="BJ12" s="37">
        <f>SUM(BJ13:BJ15)</f>
        <v>500791</v>
      </c>
      <c r="BK12" s="37">
        <f>SUM(BK13:BK15)</f>
        <v>470587</v>
      </c>
      <c r="BL12" s="37">
        <f>SUM(BL13:BL15)</f>
        <v>528140</v>
      </c>
      <c r="BM12" s="37">
        <f>SUM(BM13:BM15)</f>
        <v>604089</v>
      </c>
      <c r="BN12" s="38">
        <f t="shared" si="119"/>
        <v>604089</v>
      </c>
      <c r="BO12" s="37">
        <f>SUM(BO13:BO15)</f>
        <v>712498</v>
      </c>
      <c r="BP12" s="37">
        <f>SUM(BP13:BP15)</f>
        <v>657603</v>
      </c>
      <c r="BQ12" s="37">
        <f>SUM(BQ13:BQ15)</f>
        <v>689025</v>
      </c>
      <c r="BR12" s="37">
        <f>SUM(BR13:BR15)</f>
        <v>717548</v>
      </c>
      <c r="BS12" s="38">
        <f t="shared" si="120"/>
        <v>717548</v>
      </c>
      <c r="BT12" s="37">
        <f>SUM(BT13:BT15)</f>
        <v>811385</v>
      </c>
      <c r="BU12" s="37">
        <f>SUM(BU13:BU15)</f>
        <v>766051</v>
      </c>
      <c r="BV12" s="37">
        <f>SUM(BV13:BV15)</f>
        <v>791617</v>
      </c>
      <c r="BW12" s="37">
        <f>SUM(BW13:BW15)</f>
        <v>1193128</v>
      </c>
      <c r="BX12" s="38">
        <f t="shared" si="121"/>
        <v>1193128</v>
      </c>
      <c r="BY12" s="37">
        <f>SUM(BY13:BY15)</f>
        <v>1134943</v>
      </c>
      <c r="BZ12" s="37">
        <f>SUM(BZ13:BZ15)</f>
        <v>1183857</v>
      </c>
      <c r="CA12" s="37">
        <f>SUM(CA13:CA15)</f>
        <v>1316855</v>
      </c>
      <c r="CB12" s="37">
        <f>SUM(CB13:CB15)</f>
        <v>1348649</v>
      </c>
      <c r="CC12" s="38">
        <f t="shared" ref="CC12:CC19" si="132">CB12</f>
        <v>1348649</v>
      </c>
      <c r="CD12" s="37">
        <f>SUM(CD13:CD15)</f>
        <v>1521588</v>
      </c>
      <c r="CE12" s="37">
        <f>SUM(CE13:CE15)</f>
        <v>1530119</v>
      </c>
      <c r="CF12" s="37">
        <f>SUM(CF13:CF15)</f>
        <v>1556118.7173223929</v>
      </c>
      <c r="CG12" s="37">
        <f>SUM(CG13:CG15)</f>
        <v>1541598.3159019393</v>
      </c>
      <c r="CH12" s="38">
        <f t="shared" ref="CH12:CH19" si="133">CG12</f>
        <v>1541598.3159019393</v>
      </c>
      <c r="CI12" s="37">
        <f>SUM(CI13:CI15)</f>
        <v>1686770.717185261</v>
      </c>
      <c r="CJ12" s="37">
        <f>SUM(CJ13:CJ15)</f>
        <v>1725090.7422627106</v>
      </c>
      <c r="CK12" s="37">
        <f>SUM(CK13:CK15)</f>
        <v>1661536.4527459426</v>
      </c>
      <c r="CL12" s="37">
        <f>SUM(CL13:CL15)</f>
        <v>1630117.0143114235</v>
      </c>
      <c r="CM12" s="38">
        <f t="shared" ref="CM12:CM19" si="134">CL12</f>
        <v>1630117.0143114235</v>
      </c>
      <c r="CN12" s="37">
        <f>SUM(CN13:CN15)</f>
        <v>1778371.4623855734</v>
      </c>
      <c r="CO12" s="37">
        <f>SUM(CO13:CO15)</f>
        <v>1820548.8941497814</v>
      </c>
      <c r="CP12" s="37">
        <f>SUM(CP13:CP15)</f>
        <v>1756341.8814373219</v>
      </c>
      <c r="CQ12" s="37">
        <f>SUM(CQ13:CQ15)</f>
        <v>1723103.6310236328</v>
      </c>
      <c r="CR12" s="38">
        <f t="shared" ref="CR12:CR19" si="135">CQ12</f>
        <v>1723103.6310236328</v>
      </c>
      <c r="CS12" s="37">
        <f>SUM(CS13:CS15)</f>
        <v>1856837.0033012864</v>
      </c>
      <c r="CT12" s="37">
        <f>SUM(CT13:CT15)</f>
        <v>1887705.4338204791</v>
      </c>
      <c r="CU12" s="37">
        <f>SUM(CU13:CU15)</f>
        <v>1812633.273587672</v>
      </c>
      <c r="CV12" s="37">
        <f>SUM(CV13:CV15)</f>
        <v>1772865.2221905969</v>
      </c>
      <c r="CW12" s="38">
        <f t="shared" ref="CW12:CW19" si="136">CV12</f>
        <v>1772865.2221905969</v>
      </c>
      <c r="CX12" s="37">
        <f>SUM(CX13:CX15)</f>
        <v>1908591.0712890432</v>
      </c>
      <c r="CY12" s="37">
        <f>SUM(CY13:CY15)</f>
        <v>1908364.3521693754</v>
      </c>
      <c r="CZ12" s="37">
        <f>SUM(CZ13:CZ15)</f>
        <v>1772339.5448607875</v>
      </c>
      <c r="DA12" s="37">
        <f>SUM(DA13:DA15)</f>
        <v>1654638.2909910106</v>
      </c>
      <c r="DB12" s="38">
        <f t="shared" ref="DB12:DB19" si="137">DA12</f>
        <v>1654638.2909910106</v>
      </c>
    </row>
    <row r="13" spans="1:106" s="86" customFormat="1" ht="11.5" customHeight="1" outlineLevel="1" collapsed="1" x14ac:dyDescent="0.35">
      <c r="A13" s="183" t="s">
        <v>158</v>
      </c>
      <c r="B13" s="447"/>
      <c r="C13" s="447"/>
      <c r="D13" s="447"/>
      <c r="E13" s="447"/>
      <c r="F13" s="69">
        <f t="shared" si="87"/>
        <v>0</v>
      </c>
      <c r="G13" s="447"/>
      <c r="H13" s="447"/>
      <c r="I13" s="447"/>
      <c r="J13" s="447"/>
      <c r="K13" s="69">
        <f t="shared" si="88"/>
        <v>0</v>
      </c>
      <c r="L13" s="447"/>
      <c r="M13" s="447"/>
      <c r="N13" s="447"/>
      <c r="O13" s="447"/>
      <c r="P13" s="69">
        <f t="shared" si="89"/>
        <v>0</v>
      </c>
      <c r="Q13" s="447"/>
      <c r="R13" s="447"/>
      <c r="S13" s="447"/>
      <c r="T13" s="447"/>
      <c r="U13" s="69">
        <f t="shared" si="90"/>
        <v>0</v>
      </c>
      <c r="V13" s="447"/>
      <c r="W13" s="447"/>
      <c r="X13" s="447"/>
      <c r="Y13" s="447"/>
      <c r="Z13" s="69">
        <f t="shared" si="91"/>
        <v>0</v>
      </c>
      <c r="AA13" s="447"/>
      <c r="AB13" s="447"/>
      <c r="AC13" s="447"/>
      <c r="AD13" s="447"/>
      <c r="AE13" s="69">
        <f t="shared" si="92"/>
        <v>0</v>
      </c>
      <c r="AF13" s="447"/>
      <c r="AG13" s="447"/>
      <c r="AH13" s="447"/>
      <c r="AI13" s="447"/>
      <c r="AJ13" s="69">
        <f t="shared" si="93"/>
        <v>0</v>
      </c>
      <c r="AK13" s="447"/>
      <c r="AL13" s="447"/>
      <c r="AM13" s="447"/>
      <c r="AN13" s="447"/>
      <c r="AO13" s="69">
        <f t="shared" si="94"/>
        <v>0</v>
      </c>
      <c r="AP13" s="447"/>
      <c r="AQ13" s="447"/>
      <c r="AR13" s="447"/>
      <c r="AS13" s="447"/>
      <c r="AT13" s="69">
        <f t="shared" si="95"/>
        <v>0</v>
      </c>
      <c r="AU13" s="447"/>
      <c r="AV13" s="447"/>
      <c r="AW13" s="447"/>
      <c r="AX13" s="447">
        <f>76265+17434</f>
        <v>93699</v>
      </c>
      <c r="AY13" s="69">
        <f t="shared" si="116"/>
        <v>93699</v>
      </c>
      <c r="AZ13" s="447">
        <f>107393+27593</f>
        <v>134986</v>
      </c>
      <c r="BA13" s="447">
        <f>57453+30078</f>
        <v>87531</v>
      </c>
      <c r="BB13" s="447">
        <f>106340+22964</f>
        <v>129304</v>
      </c>
      <c r="BC13" s="447">
        <f>112089+40092</f>
        <v>152181</v>
      </c>
      <c r="BD13" s="69">
        <f t="shared" si="117"/>
        <v>152181</v>
      </c>
      <c r="BE13" s="447">
        <f>219727+45763</f>
        <v>265490</v>
      </c>
      <c r="BF13" s="447">
        <f>158439+44683</f>
        <v>203122</v>
      </c>
      <c r="BG13" s="447">
        <f>159550+42742</f>
        <v>202292</v>
      </c>
      <c r="BH13" s="447">
        <f>307683+35660</f>
        <v>343343</v>
      </c>
      <c r="BI13" s="69">
        <f t="shared" si="118"/>
        <v>343343</v>
      </c>
      <c r="BJ13" s="447">
        <f>220144+35392</f>
        <v>255536</v>
      </c>
      <c r="BK13" s="447">
        <f>235089+39330</f>
        <v>274419</v>
      </c>
      <c r="BL13" s="447">
        <f>237599+40391</f>
        <v>277990</v>
      </c>
      <c r="BM13" s="447">
        <f>314475+58410</f>
        <v>372885</v>
      </c>
      <c r="BN13" s="69">
        <f t="shared" si="119"/>
        <v>372885</v>
      </c>
      <c r="BO13" s="447">
        <f>387388+37104</f>
        <v>424492</v>
      </c>
      <c r="BP13" s="447">
        <f>276992+42745</f>
        <v>319737</v>
      </c>
      <c r="BQ13" s="447">
        <f>289416+45996</f>
        <v>335412</v>
      </c>
      <c r="BR13" s="447">
        <f>374076+22809</f>
        <v>396885</v>
      </c>
      <c r="BS13" s="69">
        <f t="shared" si="120"/>
        <v>396885</v>
      </c>
      <c r="BT13" s="447">
        <f>456982+24878</f>
        <v>481860</v>
      </c>
      <c r="BU13" s="447">
        <f>431470+32988</f>
        <v>464458</v>
      </c>
      <c r="BV13" s="447">
        <f>409557+73725</f>
        <v>483282</v>
      </c>
      <c r="BW13" s="447">
        <f>793435+43049</f>
        <v>836484</v>
      </c>
      <c r="BX13" s="69">
        <f t="shared" si="121"/>
        <v>836484</v>
      </c>
      <c r="BY13" s="447">
        <f>623700+48397</f>
        <v>672097</v>
      </c>
      <c r="BZ13" s="447">
        <f>623700+48397</f>
        <v>672097</v>
      </c>
      <c r="CA13" s="447">
        <f>687215+55686</f>
        <v>742901</v>
      </c>
      <c r="CB13" s="447">
        <f>766382+62689</f>
        <v>829071</v>
      </c>
      <c r="CC13" s="69">
        <f t="shared" si="132"/>
        <v>829071</v>
      </c>
      <c r="CD13" s="447">
        <f>888105+67481</f>
        <v>955586</v>
      </c>
      <c r="CE13" s="447">
        <f>730803+70013</f>
        <v>800816</v>
      </c>
      <c r="CF13" s="66">
        <f>CF105</f>
        <v>811634.25595777482</v>
      </c>
      <c r="CG13" s="66">
        <f>CG105</f>
        <v>831081.31842930068</v>
      </c>
      <c r="CH13" s="69">
        <f t="shared" si="133"/>
        <v>831081.31842930068</v>
      </c>
      <c r="CI13" s="66">
        <f>CI105</f>
        <v>808453.27480161435</v>
      </c>
      <c r="CJ13" s="66">
        <f>CJ105</f>
        <v>799789.96666987159</v>
      </c>
      <c r="CK13" s="66">
        <f>CK105</f>
        <v>817892.40157202072</v>
      </c>
      <c r="CL13" s="66">
        <f>CL105</f>
        <v>836641.35200638953</v>
      </c>
      <c r="CM13" s="69">
        <f t="shared" si="134"/>
        <v>836641.35200638953</v>
      </c>
      <c r="CN13" s="66">
        <f>CN105</f>
        <v>813108.18663359561</v>
      </c>
      <c r="CO13" s="66">
        <f>CO105</f>
        <v>804084.76144123683</v>
      </c>
      <c r="CP13" s="66">
        <f>CP105</f>
        <v>822885.82236069767</v>
      </c>
      <c r="CQ13" s="66">
        <f>CQ105</f>
        <v>842350.76897407544</v>
      </c>
      <c r="CR13" s="69">
        <f t="shared" si="135"/>
        <v>842350.76897407544</v>
      </c>
      <c r="CS13" s="66">
        <f>CS105</f>
        <v>817888.16362979787</v>
      </c>
      <c r="CT13" s="66">
        <f>CT105</f>
        <v>808508.35917775962</v>
      </c>
      <c r="CU13" s="66">
        <f>CU105</f>
        <v>828051.96608489484</v>
      </c>
      <c r="CV13" s="66">
        <f>CV105</f>
        <v>848285.67878386623</v>
      </c>
      <c r="CW13" s="69">
        <f t="shared" si="136"/>
        <v>848285.67878386623</v>
      </c>
      <c r="CX13" s="66">
        <f>CX105</f>
        <v>822856.92533101805</v>
      </c>
      <c r="CY13" s="66">
        <f>CY105</f>
        <v>782897.45561939944</v>
      </c>
      <c r="CZ13" s="66">
        <f>CZ105</f>
        <v>746570.66497247352</v>
      </c>
      <c r="DA13" s="66">
        <f>DA105</f>
        <v>692080.47900208447</v>
      </c>
      <c r="DB13" s="69">
        <f t="shared" si="137"/>
        <v>692080.47900208447</v>
      </c>
    </row>
    <row r="14" spans="1:106" s="86" customFormat="1" ht="11.5" customHeight="1" outlineLevel="1" x14ac:dyDescent="0.35">
      <c r="A14" s="183" t="s">
        <v>152</v>
      </c>
      <c r="B14" s="447"/>
      <c r="C14" s="447"/>
      <c r="D14" s="447"/>
      <c r="E14" s="447"/>
      <c r="F14" s="69">
        <f t="shared" si="87"/>
        <v>0</v>
      </c>
      <c r="G14" s="447"/>
      <c r="H14" s="447"/>
      <c r="I14" s="447"/>
      <c r="J14" s="447"/>
      <c r="K14" s="69">
        <f t="shared" si="88"/>
        <v>0</v>
      </c>
      <c r="L14" s="447"/>
      <c r="M14" s="447"/>
      <c r="N14" s="447"/>
      <c r="O14" s="447"/>
      <c r="P14" s="69">
        <f t="shared" si="89"/>
        <v>0</v>
      </c>
      <c r="Q14" s="447"/>
      <c r="R14" s="447"/>
      <c r="S14" s="447"/>
      <c r="T14" s="447"/>
      <c r="U14" s="69">
        <f t="shared" si="90"/>
        <v>0</v>
      </c>
      <c r="V14" s="447"/>
      <c r="W14" s="447"/>
      <c r="X14" s="447"/>
      <c r="Y14" s="447"/>
      <c r="Z14" s="69">
        <f t="shared" si="91"/>
        <v>0</v>
      </c>
      <c r="AA14" s="447"/>
      <c r="AB14" s="447"/>
      <c r="AC14" s="447"/>
      <c r="AD14" s="447"/>
      <c r="AE14" s="69">
        <f t="shared" si="92"/>
        <v>0</v>
      </c>
      <c r="AF14" s="447"/>
      <c r="AG14" s="447"/>
      <c r="AH14" s="447"/>
      <c r="AI14" s="447"/>
      <c r="AJ14" s="69">
        <f t="shared" si="93"/>
        <v>0</v>
      </c>
      <c r="AK14" s="447">
        <v>231020</v>
      </c>
      <c r="AL14" s="447">
        <v>223747</v>
      </c>
      <c r="AM14" s="447">
        <v>249339</v>
      </c>
      <c r="AN14" s="447">
        <f>173079+76070</f>
        <v>249149</v>
      </c>
      <c r="AO14" s="69">
        <f t="shared" si="94"/>
        <v>249149</v>
      </c>
      <c r="AP14" s="447">
        <v>233112</v>
      </c>
      <c r="AQ14" s="447">
        <v>193980</v>
      </c>
      <c r="AR14" s="447">
        <v>241342</v>
      </c>
      <c r="AS14" s="447">
        <f>216094+24985</f>
        <v>241079</v>
      </c>
      <c r="AT14" s="69">
        <f t="shared" si="95"/>
        <v>241079</v>
      </c>
      <c r="AU14" s="447">
        <v>218101</v>
      </c>
      <c r="AV14" s="447">
        <v>206870</v>
      </c>
      <c r="AW14" s="447">
        <v>235880</v>
      </c>
      <c r="AX14" s="447">
        <f>181365+17434-AX13-AX15</f>
        <v>100326</v>
      </c>
      <c r="AY14" s="69">
        <f t="shared" si="116"/>
        <v>100326</v>
      </c>
      <c r="AZ14" s="447">
        <f>210689-AZ13-AZ15</f>
        <v>75703</v>
      </c>
      <c r="BA14" s="447">
        <f>190026-BA13-BA15</f>
        <v>102495</v>
      </c>
      <c r="BB14" s="447">
        <f>226704+0-BB13-BB15</f>
        <v>89754</v>
      </c>
      <c r="BC14" s="447">
        <f>270277+25981-BC13-BC15</f>
        <v>136569</v>
      </c>
      <c r="BD14" s="69">
        <f t="shared" si="117"/>
        <v>136569</v>
      </c>
      <c r="BE14" s="447">
        <f>382697+36788-BE13-BE15</f>
        <v>141608</v>
      </c>
      <c r="BF14" s="447">
        <f>320995+44683-BF13-BF15</f>
        <v>151854</v>
      </c>
      <c r="BG14" s="447">
        <f>338886+42742-BG13-BG15</f>
        <v>168352</v>
      </c>
      <c r="BH14" s="447">
        <f>486666+46042-BH13-BH15</f>
        <v>175219</v>
      </c>
      <c r="BI14" s="69">
        <f t="shared" si="118"/>
        <v>175219</v>
      </c>
      <c r="BJ14" s="447">
        <f>454883+45908-BJ13-BJ15</f>
        <v>233624</v>
      </c>
      <c r="BK14" s="447">
        <f>420684+49903-BK13-BK15</f>
        <v>185800</v>
      </c>
      <c r="BL14" s="447">
        <f>477113+51027-BL13-BL15</f>
        <v>238927</v>
      </c>
      <c r="BM14" s="447">
        <f>534993+69096-BM13-BM15</f>
        <v>220026</v>
      </c>
      <c r="BN14" s="69">
        <f t="shared" si="119"/>
        <v>220026</v>
      </c>
      <c r="BO14" s="447">
        <f>663404+49094-BO13-BO15</f>
        <v>277060</v>
      </c>
      <c r="BP14" s="447">
        <f>602449+55154-BP13-BP15</f>
        <v>326500</v>
      </c>
      <c r="BQ14" s="447">
        <f>626691+62334-BQ13-BQ15</f>
        <v>341906</v>
      </c>
      <c r="BR14" s="447">
        <f>641546+76002-BR13-BR15</f>
        <v>309364</v>
      </c>
      <c r="BS14" s="69">
        <f t="shared" si="120"/>
        <v>309364</v>
      </c>
      <c r="BT14" s="447">
        <f>683171+128214-BT13-BT15</f>
        <v>319575</v>
      </c>
      <c r="BU14" s="447">
        <f>699423+66628-BU13-BU15</f>
        <v>289267</v>
      </c>
      <c r="BV14" s="447">
        <f>683894+107723-BV13-BV15</f>
        <v>296756</v>
      </c>
      <c r="BW14" s="447">
        <f>808203+384925-BW13-BW15</f>
        <v>346247</v>
      </c>
      <c r="BX14" s="69">
        <f t="shared" si="121"/>
        <v>346247</v>
      </c>
      <c r="BY14" s="447">
        <f>742802+392141-BY13-BY15</f>
        <v>452810</v>
      </c>
      <c r="BZ14" s="447">
        <f>744049+439808-BZ13-BZ15</f>
        <v>501724</v>
      </c>
      <c r="CA14" s="447">
        <f>960833+356022-CA13-CA15</f>
        <v>555062</v>
      </c>
      <c r="CB14" s="447">
        <f>919547+429102-CB13-CB15</f>
        <v>488926</v>
      </c>
      <c r="CC14" s="69">
        <f t="shared" si="132"/>
        <v>488926</v>
      </c>
      <c r="CD14" s="447">
        <f>1180633+340955-CD13-CD15</f>
        <v>538848</v>
      </c>
      <c r="CE14" s="447">
        <f>1185612+344507-CE13-CE15</f>
        <v>684935</v>
      </c>
      <c r="CF14" s="66">
        <f>CF107</f>
        <v>696290.6243499585</v>
      </c>
      <c r="CG14" s="66">
        <f>CG107</f>
        <v>663279.50815685384</v>
      </c>
      <c r="CH14" s="69">
        <f t="shared" si="133"/>
        <v>663279.50815685384</v>
      </c>
      <c r="CI14" s="66">
        <f>CI107</f>
        <v>821245.83226441173</v>
      </c>
      <c r="CJ14" s="66">
        <f>CJ107</f>
        <v>865820.74963339651</v>
      </c>
      <c r="CK14" s="66">
        <f>CK107</f>
        <v>788762.48077797191</v>
      </c>
      <c r="CL14" s="66">
        <f>CL107</f>
        <v>741801.66547810705</v>
      </c>
      <c r="CM14" s="69">
        <f t="shared" si="134"/>
        <v>741801.66547810705</v>
      </c>
      <c r="CN14" s="66">
        <f>CN107</f>
        <v>902672.86805660755</v>
      </c>
      <c r="CO14" s="66">
        <f>CO107</f>
        <v>950588.00968016055</v>
      </c>
      <c r="CP14" s="66">
        <f>CP107</f>
        <v>872833.76861976541</v>
      </c>
      <c r="CQ14" s="66">
        <f>CQ107</f>
        <v>823575.17771374166</v>
      </c>
      <c r="CR14" s="69">
        <f t="shared" si="135"/>
        <v>823575.17771374166</v>
      </c>
      <c r="CS14" s="66">
        <f>CS107</f>
        <v>971545.62793634762</v>
      </c>
      <c r="CT14" s="66">
        <f>CT107</f>
        <v>1009173.6811863506</v>
      </c>
      <c r="CU14" s="66">
        <f>CU107</f>
        <v>920677.78649660444</v>
      </c>
      <c r="CV14" s="66">
        <f>CV107</f>
        <v>864578.9839968438</v>
      </c>
      <c r="CW14" s="69">
        <f t="shared" si="136"/>
        <v>864578.9839968438</v>
      </c>
      <c r="CX14" s="66">
        <f>CX107</f>
        <v>1015281.194322741</v>
      </c>
      <c r="CY14" s="66">
        <f>CY107</f>
        <v>1052431.871375784</v>
      </c>
      <c r="CZ14" s="66">
        <f>CZ107</f>
        <v>959201.31661930832</v>
      </c>
      <c r="DA14" s="66">
        <f>DA107</f>
        <v>900094.39292498236</v>
      </c>
      <c r="DB14" s="69">
        <f t="shared" si="137"/>
        <v>900094.39292498236</v>
      </c>
    </row>
    <row r="15" spans="1:106" s="86" customFormat="1" ht="11.5" customHeight="1" outlineLevel="1" x14ac:dyDescent="0.35">
      <c r="A15" s="183" t="s">
        <v>19</v>
      </c>
      <c r="B15" s="447"/>
      <c r="C15" s="447"/>
      <c r="D15" s="447"/>
      <c r="E15" s="447"/>
      <c r="F15" s="69">
        <f t="shared" si="87"/>
        <v>0</v>
      </c>
      <c r="G15" s="447"/>
      <c r="H15" s="447"/>
      <c r="I15" s="447"/>
      <c r="J15" s="447"/>
      <c r="K15" s="69">
        <f t="shared" si="88"/>
        <v>0</v>
      </c>
      <c r="L15" s="447"/>
      <c r="M15" s="447"/>
      <c r="N15" s="447"/>
      <c r="O15" s="447"/>
      <c r="P15" s="69">
        <f t="shared" si="89"/>
        <v>0</v>
      </c>
      <c r="Q15" s="447"/>
      <c r="R15" s="447"/>
      <c r="S15" s="447"/>
      <c r="T15" s="447"/>
      <c r="U15" s="69">
        <f t="shared" si="90"/>
        <v>0</v>
      </c>
      <c r="V15" s="447"/>
      <c r="W15" s="447"/>
      <c r="X15" s="447"/>
      <c r="Y15" s="447"/>
      <c r="Z15" s="69">
        <f t="shared" si="91"/>
        <v>0</v>
      </c>
      <c r="AA15" s="447"/>
      <c r="AB15" s="447"/>
      <c r="AC15" s="447"/>
      <c r="AD15" s="447"/>
      <c r="AE15" s="69">
        <f t="shared" si="92"/>
        <v>0</v>
      </c>
      <c r="AF15" s="447"/>
      <c r="AG15" s="447"/>
      <c r="AH15" s="447"/>
      <c r="AI15" s="447"/>
      <c r="AJ15" s="69">
        <f t="shared" si="93"/>
        <v>0</v>
      </c>
      <c r="AK15" s="447"/>
      <c r="AL15" s="447"/>
      <c r="AM15" s="447"/>
      <c r="AN15" s="447"/>
      <c r="AO15" s="69">
        <f t="shared" si="94"/>
        <v>0</v>
      </c>
      <c r="AP15" s="447"/>
      <c r="AQ15" s="447"/>
      <c r="AR15" s="447"/>
      <c r="AS15" s="447"/>
      <c r="AT15" s="69">
        <f t="shared" si="95"/>
        <v>0</v>
      </c>
      <c r="AU15" s="447"/>
      <c r="AV15" s="447"/>
      <c r="AW15" s="447"/>
      <c r="AX15" s="447">
        <v>4774</v>
      </c>
      <c r="AY15" s="69">
        <f t="shared" si="116"/>
        <v>4774</v>
      </c>
      <c r="AZ15" s="447"/>
      <c r="BA15" s="447"/>
      <c r="BB15" s="447">
        <v>7646</v>
      </c>
      <c r="BC15" s="447">
        <v>7508</v>
      </c>
      <c r="BD15" s="69">
        <f t="shared" si="117"/>
        <v>7508</v>
      </c>
      <c r="BE15" s="447">
        <v>12387</v>
      </c>
      <c r="BF15" s="447">
        <v>10702</v>
      </c>
      <c r="BG15" s="447">
        <v>10984</v>
      </c>
      <c r="BH15" s="447">
        <v>14146</v>
      </c>
      <c r="BI15" s="69">
        <f t="shared" si="118"/>
        <v>14146</v>
      </c>
      <c r="BJ15" s="447">
        <v>11631</v>
      </c>
      <c r="BK15" s="447">
        <v>10368</v>
      </c>
      <c r="BL15" s="447">
        <v>11223</v>
      </c>
      <c r="BM15" s="447">
        <v>11178</v>
      </c>
      <c r="BN15" s="69">
        <f t="shared" si="119"/>
        <v>11178</v>
      </c>
      <c r="BO15" s="447">
        <v>10946</v>
      </c>
      <c r="BP15" s="447">
        <v>11366</v>
      </c>
      <c r="BQ15" s="447">
        <v>11707</v>
      </c>
      <c r="BR15" s="447">
        <v>11299</v>
      </c>
      <c r="BS15" s="69">
        <f t="shared" si="120"/>
        <v>11299</v>
      </c>
      <c r="BT15" s="447">
        <v>9950</v>
      </c>
      <c r="BU15" s="447">
        <v>12326</v>
      </c>
      <c r="BV15" s="447">
        <v>11579</v>
      </c>
      <c r="BW15" s="447">
        <v>10397</v>
      </c>
      <c r="BX15" s="69">
        <f t="shared" si="121"/>
        <v>10397</v>
      </c>
      <c r="BY15" s="447">
        <v>10036</v>
      </c>
      <c r="BZ15" s="447">
        <v>10036</v>
      </c>
      <c r="CA15" s="447">
        <v>18892</v>
      </c>
      <c r="CB15" s="447">
        <v>30652</v>
      </c>
      <c r="CC15" s="69">
        <f t="shared" si="132"/>
        <v>30652</v>
      </c>
      <c r="CD15" s="447">
        <v>27154</v>
      </c>
      <c r="CE15" s="447">
        <v>44368</v>
      </c>
      <c r="CF15" s="66">
        <f>CF109</f>
        <v>48193.837014659599</v>
      </c>
      <c r="CG15" s="66">
        <f>CG109</f>
        <v>47237.489315784878</v>
      </c>
      <c r="CH15" s="69">
        <f t="shared" si="133"/>
        <v>47237.489315784878</v>
      </c>
      <c r="CI15" s="66">
        <f>CI109</f>
        <v>57071.610119234952</v>
      </c>
      <c r="CJ15" s="66">
        <f>CJ109</f>
        <v>59480.025959442653</v>
      </c>
      <c r="CK15" s="66">
        <f>CK109</f>
        <v>54881.570395949901</v>
      </c>
      <c r="CL15" s="66">
        <f>CL109</f>
        <v>51673.996826926865</v>
      </c>
      <c r="CM15" s="69">
        <f t="shared" si="134"/>
        <v>51673.996826926865</v>
      </c>
      <c r="CN15" s="66">
        <f>CN109</f>
        <v>62590.40769537021</v>
      </c>
      <c r="CO15" s="66">
        <f>CO109</f>
        <v>65876.123028384012</v>
      </c>
      <c r="CP15" s="66">
        <f>CP109</f>
        <v>60622.290456858791</v>
      </c>
      <c r="CQ15" s="66">
        <f>CQ109</f>
        <v>57177.6843358158</v>
      </c>
      <c r="CR15" s="69">
        <f t="shared" si="135"/>
        <v>57177.6843358158</v>
      </c>
      <c r="CS15" s="66">
        <f>CS109</f>
        <v>67403.211735140823</v>
      </c>
      <c r="CT15" s="66">
        <f>CT109</f>
        <v>70023.393456368707</v>
      </c>
      <c r="CU15" s="66">
        <f>CU109</f>
        <v>63903.521006172799</v>
      </c>
      <c r="CV15" s="66">
        <f>CV109</f>
        <v>60000.559409886788</v>
      </c>
      <c r="CW15" s="69">
        <f t="shared" si="136"/>
        <v>60000.559409886788</v>
      </c>
      <c r="CX15" s="66">
        <f>CX109</f>
        <v>70452.951635284175</v>
      </c>
      <c r="CY15" s="66">
        <f>CY109</f>
        <v>73035.025174191964</v>
      </c>
      <c r="CZ15" s="66">
        <f>CZ109</f>
        <v>66567.563269005594</v>
      </c>
      <c r="DA15" s="66">
        <f>DA109</f>
        <v>62463.419063943948</v>
      </c>
      <c r="DB15" s="69">
        <f t="shared" si="137"/>
        <v>62463.419063943948</v>
      </c>
    </row>
    <row r="16" spans="1:106" ht="11.5" customHeight="1" x14ac:dyDescent="0.35">
      <c r="A16" s="182" t="s">
        <v>159</v>
      </c>
      <c r="B16" s="403"/>
      <c r="C16" s="403"/>
      <c r="D16" s="403"/>
      <c r="E16" s="403"/>
      <c r="F16" s="28">
        <f t="shared" si="87"/>
        <v>0</v>
      </c>
      <c r="G16" s="403"/>
      <c r="H16" s="403"/>
      <c r="I16" s="403"/>
      <c r="J16" s="403"/>
      <c r="K16" s="28">
        <f t="shared" si="88"/>
        <v>0</v>
      </c>
      <c r="L16" s="403"/>
      <c r="M16" s="403"/>
      <c r="N16" s="403"/>
      <c r="O16" s="403"/>
      <c r="P16" s="28">
        <f t="shared" si="89"/>
        <v>0</v>
      </c>
      <c r="Q16" s="403"/>
      <c r="R16" s="403"/>
      <c r="S16" s="403"/>
      <c r="T16" s="403"/>
      <c r="U16" s="28">
        <f t="shared" si="90"/>
        <v>0</v>
      </c>
      <c r="V16" s="403"/>
      <c r="W16" s="403"/>
      <c r="X16" s="403"/>
      <c r="Y16" s="403"/>
      <c r="Z16" s="28">
        <f t="shared" si="91"/>
        <v>0</v>
      </c>
      <c r="AA16" s="403"/>
      <c r="AB16" s="403"/>
      <c r="AC16" s="403"/>
      <c r="AD16" s="403"/>
      <c r="AE16" s="28">
        <f t="shared" si="92"/>
        <v>0</v>
      </c>
      <c r="AF16" s="403"/>
      <c r="AG16" s="403"/>
      <c r="AH16" s="403"/>
      <c r="AI16" s="403"/>
      <c r="AJ16" s="28">
        <f t="shared" si="93"/>
        <v>0</v>
      </c>
      <c r="AK16" s="403">
        <v>25920</v>
      </c>
      <c r="AL16" s="403">
        <v>40019</v>
      </c>
      <c r="AM16" s="403">
        <v>20975</v>
      </c>
      <c r="AN16" s="403">
        <v>4801</v>
      </c>
      <c r="AO16" s="28">
        <f t="shared" si="94"/>
        <v>4801</v>
      </c>
      <c r="AP16" s="403">
        <v>32917</v>
      </c>
      <c r="AQ16" s="403">
        <v>38695</v>
      </c>
      <c r="AR16" s="403">
        <v>48794</v>
      </c>
      <c r="AS16" s="403">
        <v>4471</v>
      </c>
      <c r="AT16" s="28">
        <f t="shared" si="95"/>
        <v>4471</v>
      </c>
      <c r="AU16" s="403">
        <v>28104</v>
      </c>
      <c r="AV16" s="403">
        <v>35450</v>
      </c>
      <c r="AW16" s="403">
        <v>33715</v>
      </c>
      <c r="AX16" s="403">
        <f>8922</f>
        <v>8922</v>
      </c>
      <c r="AY16" s="28">
        <f>AX16</f>
        <v>8922</v>
      </c>
      <c r="AZ16" s="403">
        <v>11718</v>
      </c>
      <c r="BA16" s="403">
        <v>9125</v>
      </c>
      <c r="BB16" s="403">
        <v>8463</v>
      </c>
      <c r="BC16" s="403">
        <v>7748</v>
      </c>
      <c r="BD16" s="28">
        <f>BC16</f>
        <v>7748</v>
      </c>
      <c r="BE16" s="403">
        <v>7755</v>
      </c>
      <c r="BF16" s="403">
        <v>5560</v>
      </c>
      <c r="BG16" s="403">
        <v>9083</v>
      </c>
      <c r="BH16" s="403">
        <v>6611</v>
      </c>
      <c r="BI16" s="28">
        <f>BH16</f>
        <v>6611</v>
      </c>
      <c r="BJ16" s="403">
        <v>6676</v>
      </c>
      <c r="BK16" s="403">
        <v>6582</v>
      </c>
      <c r="BL16" s="403">
        <v>8343</v>
      </c>
      <c r="BM16" s="403">
        <v>7297</v>
      </c>
      <c r="BN16" s="28">
        <f>BM16</f>
        <v>7297</v>
      </c>
      <c r="BO16" s="403">
        <v>7108</v>
      </c>
      <c r="BP16" s="403">
        <v>9562</v>
      </c>
      <c r="BQ16" s="403">
        <v>11558</v>
      </c>
      <c r="BR16" s="403">
        <v>13547</v>
      </c>
      <c r="BS16" s="28">
        <f>BR16</f>
        <v>13547</v>
      </c>
      <c r="BT16" s="403">
        <v>9839</v>
      </c>
      <c r="BU16" s="403">
        <v>26070</v>
      </c>
      <c r="BV16" s="403">
        <v>15022</v>
      </c>
      <c r="BW16" s="403">
        <v>17033</v>
      </c>
      <c r="BX16" s="28">
        <f>BW16</f>
        <v>17033</v>
      </c>
      <c r="BY16" s="403">
        <v>15238</v>
      </c>
      <c r="BZ16" s="403">
        <v>8316</v>
      </c>
      <c r="CA16" s="403">
        <v>9581</v>
      </c>
      <c r="CB16" s="403">
        <v>11708</v>
      </c>
      <c r="CC16" s="28">
        <f t="shared" si="132"/>
        <v>11708</v>
      </c>
      <c r="CD16" s="403">
        <v>10253</v>
      </c>
      <c r="CE16" s="403">
        <v>9152</v>
      </c>
      <c r="CF16" s="68">
        <f>CF126</f>
        <v>9637.0772141700181</v>
      </c>
      <c r="CG16" s="68">
        <f>CG126</f>
        <v>10288.981997461262</v>
      </c>
      <c r="CH16" s="28">
        <f t="shared" si="133"/>
        <v>10288.981997461262</v>
      </c>
      <c r="CI16" s="68">
        <f>CI126</f>
        <v>10729.937804816553</v>
      </c>
      <c r="CJ16" s="68">
        <f>CJ126</f>
        <v>11568.452099025435</v>
      </c>
      <c r="CK16" s="68">
        <f>CK126</f>
        <v>11814.046780847229</v>
      </c>
      <c r="CL16" s="68">
        <f>CL126</f>
        <v>12057.671247391452</v>
      </c>
      <c r="CM16" s="28">
        <f t="shared" si="134"/>
        <v>12057.671247391452</v>
      </c>
      <c r="CN16" s="68">
        <f>CN126</f>
        <v>12200.615857180026</v>
      </c>
      <c r="CO16" s="68">
        <f>CO126</f>
        <v>12321.746569222209</v>
      </c>
      <c r="CP16" s="68">
        <f>CP126</f>
        <v>12426.108991203693</v>
      </c>
      <c r="CQ16" s="68">
        <f>CQ126</f>
        <v>12537.918479866315</v>
      </c>
      <c r="CR16" s="28">
        <f t="shared" si="135"/>
        <v>12537.918479866315</v>
      </c>
      <c r="CS16" s="68">
        <f>CS126</f>
        <v>12768.565004486329</v>
      </c>
      <c r="CT16" s="68">
        <f>CT126</f>
        <v>12965.389206335301</v>
      </c>
      <c r="CU16" s="68">
        <f>CU126</f>
        <v>13123.905287134143</v>
      </c>
      <c r="CV16" s="68">
        <f>CV126</f>
        <v>13261.881745501263</v>
      </c>
      <c r="CW16" s="28">
        <f t="shared" si="136"/>
        <v>13261.881745501263</v>
      </c>
      <c r="CX16" s="68">
        <f>CX126</f>
        <v>13417.9043519897</v>
      </c>
      <c r="CY16" s="68">
        <f>CY126</f>
        <v>13569.415206679838</v>
      </c>
      <c r="CZ16" s="68">
        <f>CZ126</f>
        <v>13700.534770004369</v>
      </c>
      <c r="DA16" s="68">
        <f>DA126</f>
        <v>13822.621996986541</v>
      </c>
      <c r="DB16" s="28">
        <f t="shared" si="137"/>
        <v>13822.621996986541</v>
      </c>
    </row>
    <row r="17" spans="1:106" ht="11.5" customHeight="1" x14ac:dyDescent="0.35">
      <c r="A17" s="182" t="s">
        <v>160</v>
      </c>
      <c r="B17" s="403"/>
      <c r="C17" s="403"/>
      <c r="D17" s="403"/>
      <c r="E17" s="403"/>
      <c r="F17" s="28">
        <f t="shared" si="87"/>
        <v>0</v>
      </c>
      <c r="G17" s="403"/>
      <c r="H17" s="403"/>
      <c r="I17" s="403"/>
      <c r="J17" s="403"/>
      <c r="K17" s="28">
        <f t="shared" si="88"/>
        <v>0</v>
      </c>
      <c r="L17" s="403"/>
      <c r="M17" s="403"/>
      <c r="N17" s="403"/>
      <c r="O17" s="403"/>
      <c r="P17" s="28">
        <f t="shared" si="89"/>
        <v>0</v>
      </c>
      <c r="Q17" s="403"/>
      <c r="R17" s="403"/>
      <c r="S17" s="403"/>
      <c r="T17" s="403"/>
      <c r="U17" s="28">
        <f t="shared" si="90"/>
        <v>0</v>
      </c>
      <c r="V17" s="403"/>
      <c r="W17" s="403"/>
      <c r="X17" s="403"/>
      <c r="Y17" s="403"/>
      <c r="Z17" s="28">
        <f t="shared" si="91"/>
        <v>0</v>
      </c>
      <c r="AA17" s="403"/>
      <c r="AB17" s="403"/>
      <c r="AC17" s="403"/>
      <c r="AD17" s="403"/>
      <c r="AE17" s="28">
        <f t="shared" si="92"/>
        <v>0</v>
      </c>
      <c r="AF17" s="403"/>
      <c r="AG17" s="403"/>
      <c r="AH17" s="403"/>
      <c r="AI17" s="403"/>
      <c r="AJ17" s="28">
        <f t="shared" si="93"/>
        <v>0</v>
      </c>
      <c r="AK17" s="403">
        <v>0</v>
      </c>
      <c r="AL17" s="403">
        <v>0</v>
      </c>
      <c r="AM17" s="403">
        <v>0</v>
      </c>
      <c r="AN17" s="403">
        <v>0</v>
      </c>
      <c r="AO17" s="28">
        <f t="shared" si="94"/>
        <v>0</v>
      </c>
      <c r="AP17" s="403">
        <v>0</v>
      </c>
      <c r="AQ17" s="403">
        <v>0</v>
      </c>
      <c r="AR17" s="403">
        <v>0</v>
      </c>
      <c r="AS17" s="403">
        <v>0</v>
      </c>
      <c r="AT17" s="28">
        <f t="shared" si="95"/>
        <v>0</v>
      </c>
      <c r="AU17" s="403">
        <v>0</v>
      </c>
      <c r="AV17" s="403">
        <v>0</v>
      </c>
      <c r="AW17" s="403">
        <v>0</v>
      </c>
      <c r="AX17" s="403">
        <v>0</v>
      </c>
      <c r="AY17" s="28">
        <f>AX17</f>
        <v>0</v>
      </c>
      <c r="AZ17" s="403">
        <v>0</v>
      </c>
      <c r="BA17" s="403">
        <v>0</v>
      </c>
      <c r="BB17" s="403">
        <v>0</v>
      </c>
      <c r="BC17" s="403">
        <v>0</v>
      </c>
      <c r="BD17" s="28">
        <f>BC17</f>
        <v>0</v>
      </c>
      <c r="BE17" s="403">
        <v>0</v>
      </c>
      <c r="BF17" s="403">
        <v>0</v>
      </c>
      <c r="BG17" s="403">
        <v>0</v>
      </c>
      <c r="BH17" s="403">
        <v>0</v>
      </c>
      <c r="BI17" s="28">
        <f>BH17</f>
        <v>0</v>
      </c>
      <c r="BJ17" s="403">
        <v>0</v>
      </c>
      <c r="BK17" s="403">
        <v>0</v>
      </c>
      <c r="BL17" s="403">
        <v>0</v>
      </c>
      <c r="BM17" s="403">
        <v>0</v>
      </c>
      <c r="BN17" s="28">
        <f>BM17</f>
        <v>0</v>
      </c>
      <c r="BO17" s="403">
        <v>0</v>
      </c>
      <c r="BP17" s="403">
        <v>0</v>
      </c>
      <c r="BQ17" s="403">
        <v>0</v>
      </c>
      <c r="BR17" s="403">
        <v>0</v>
      </c>
      <c r="BS17" s="28">
        <f>BR17</f>
        <v>0</v>
      </c>
      <c r="BT17" s="403">
        <v>0</v>
      </c>
      <c r="BU17" s="403">
        <v>0</v>
      </c>
      <c r="BV17" s="403">
        <v>0</v>
      </c>
      <c r="BW17" s="403">
        <v>0</v>
      </c>
      <c r="BX17" s="28">
        <f>BW17</f>
        <v>0</v>
      </c>
      <c r="BY17" s="403">
        <v>0</v>
      </c>
      <c r="BZ17" s="403">
        <v>0</v>
      </c>
      <c r="CA17" s="403">
        <v>0</v>
      </c>
      <c r="CB17" s="403">
        <v>0</v>
      </c>
      <c r="CC17" s="28">
        <f t="shared" si="132"/>
        <v>0</v>
      </c>
      <c r="CD17" s="403">
        <v>0</v>
      </c>
      <c r="CE17" s="403">
        <v>0</v>
      </c>
      <c r="CF17" s="85">
        <f>CE17</f>
        <v>0</v>
      </c>
      <c r="CG17" s="85">
        <f>CF17</f>
        <v>0</v>
      </c>
      <c r="CH17" s="28">
        <f t="shared" si="133"/>
        <v>0</v>
      </c>
      <c r="CI17" s="85">
        <f>CH17</f>
        <v>0</v>
      </c>
      <c r="CJ17" s="85">
        <f>CI17</f>
        <v>0</v>
      </c>
      <c r="CK17" s="85">
        <f>CJ17</f>
        <v>0</v>
      </c>
      <c r="CL17" s="85">
        <f>CK17</f>
        <v>0</v>
      </c>
      <c r="CM17" s="28">
        <f t="shared" si="134"/>
        <v>0</v>
      </c>
      <c r="CN17" s="85">
        <f>CM17</f>
        <v>0</v>
      </c>
      <c r="CO17" s="85">
        <f>CN17</f>
        <v>0</v>
      </c>
      <c r="CP17" s="85">
        <f>CO17</f>
        <v>0</v>
      </c>
      <c r="CQ17" s="85">
        <f>CP17</f>
        <v>0</v>
      </c>
      <c r="CR17" s="28">
        <f t="shared" si="135"/>
        <v>0</v>
      </c>
      <c r="CS17" s="85">
        <f>CR17</f>
        <v>0</v>
      </c>
      <c r="CT17" s="85">
        <f>CS17</f>
        <v>0</v>
      </c>
      <c r="CU17" s="85">
        <f>CT17</f>
        <v>0</v>
      </c>
      <c r="CV17" s="85">
        <f>CU17</f>
        <v>0</v>
      </c>
      <c r="CW17" s="28">
        <f t="shared" si="136"/>
        <v>0</v>
      </c>
      <c r="CX17" s="85">
        <f>CW17</f>
        <v>0</v>
      </c>
      <c r="CY17" s="85">
        <f>CX17</f>
        <v>0</v>
      </c>
      <c r="CZ17" s="85">
        <f>CY17</f>
        <v>0</v>
      </c>
      <c r="DA17" s="85">
        <f>CZ17</f>
        <v>0</v>
      </c>
      <c r="DB17" s="28">
        <f t="shared" si="137"/>
        <v>0</v>
      </c>
    </row>
    <row r="18" spans="1:106" ht="11.5" customHeight="1" x14ac:dyDescent="0.35">
      <c r="A18" s="182" t="s">
        <v>161</v>
      </c>
      <c r="B18" s="403"/>
      <c r="C18" s="403"/>
      <c r="D18" s="403"/>
      <c r="E18" s="403"/>
      <c r="F18" s="28">
        <f t="shared" si="87"/>
        <v>0</v>
      </c>
      <c r="G18" s="403"/>
      <c r="H18" s="403"/>
      <c r="I18" s="403"/>
      <c r="J18" s="403"/>
      <c r="K18" s="28">
        <f t="shared" si="88"/>
        <v>0</v>
      </c>
      <c r="L18" s="403"/>
      <c r="M18" s="403"/>
      <c r="N18" s="403"/>
      <c r="O18" s="403"/>
      <c r="P18" s="28">
        <f t="shared" si="89"/>
        <v>0</v>
      </c>
      <c r="Q18" s="403"/>
      <c r="R18" s="403"/>
      <c r="S18" s="403"/>
      <c r="T18" s="403"/>
      <c r="U18" s="28">
        <f t="shared" si="90"/>
        <v>0</v>
      </c>
      <c r="V18" s="403"/>
      <c r="W18" s="403"/>
      <c r="X18" s="403"/>
      <c r="Y18" s="403"/>
      <c r="Z18" s="28">
        <f t="shared" si="91"/>
        <v>0</v>
      </c>
      <c r="AA18" s="403"/>
      <c r="AB18" s="403"/>
      <c r="AC18" s="403"/>
      <c r="AD18" s="403"/>
      <c r="AE18" s="28">
        <f t="shared" si="92"/>
        <v>0</v>
      </c>
      <c r="AF18" s="403"/>
      <c r="AG18" s="403"/>
      <c r="AH18" s="403"/>
      <c r="AI18" s="403"/>
      <c r="AJ18" s="28">
        <f t="shared" si="93"/>
        <v>0</v>
      </c>
      <c r="AK18" s="403"/>
      <c r="AL18" s="403"/>
      <c r="AM18" s="403"/>
      <c r="AN18" s="403"/>
      <c r="AO18" s="28">
        <f t="shared" si="94"/>
        <v>0</v>
      </c>
      <c r="AP18" s="403"/>
      <c r="AQ18" s="403"/>
      <c r="AR18" s="403"/>
      <c r="AS18" s="403"/>
      <c r="AT18" s="28">
        <f t="shared" si="95"/>
        <v>0</v>
      </c>
      <c r="AU18" s="403"/>
      <c r="AV18" s="403"/>
      <c r="AW18" s="403"/>
      <c r="AX18" s="403">
        <v>28509</v>
      </c>
      <c r="AY18" s="28">
        <f>AX18</f>
        <v>28509</v>
      </c>
      <c r="AZ18" s="403">
        <v>29049</v>
      </c>
      <c r="BA18" s="403">
        <v>31857</v>
      </c>
      <c r="BB18" s="403">
        <v>34742</v>
      </c>
      <c r="BC18" s="403">
        <v>35795</v>
      </c>
      <c r="BD18" s="28">
        <f>BC18</f>
        <v>35795</v>
      </c>
      <c r="BE18" s="403">
        <v>35108</v>
      </c>
      <c r="BF18" s="403">
        <v>35750</v>
      </c>
      <c r="BG18" s="403">
        <v>35795</v>
      </c>
      <c r="BH18" s="403">
        <v>30956</v>
      </c>
      <c r="BI18" s="28">
        <f>BH18</f>
        <v>30956</v>
      </c>
      <c r="BJ18" s="403">
        <v>31947</v>
      </c>
      <c r="BK18" s="403">
        <v>33536</v>
      </c>
      <c r="BL18" s="403">
        <v>34097</v>
      </c>
      <c r="BM18" s="403">
        <v>32029</v>
      </c>
      <c r="BN18" s="28">
        <f>BM18</f>
        <v>32029</v>
      </c>
      <c r="BO18" s="403">
        <v>33030</v>
      </c>
      <c r="BP18" s="403">
        <v>34160</v>
      </c>
      <c r="BQ18" s="403">
        <v>32888</v>
      </c>
      <c r="BR18" s="403">
        <v>30236</v>
      </c>
      <c r="BS18" s="28">
        <f>BR18</f>
        <v>30236</v>
      </c>
      <c r="BT18" s="403">
        <v>31224</v>
      </c>
      <c r="BU18" s="403">
        <v>28707</v>
      </c>
      <c r="BV18" s="403">
        <v>29068</v>
      </c>
      <c r="BW18" s="403">
        <v>26391</v>
      </c>
      <c r="BX18" s="28">
        <f>BW18</f>
        <v>26391</v>
      </c>
      <c r="BY18" s="403">
        <v>27551</v>
      </c>
      <c r="BZ18" s="403">
        <v>27551</v>
      </c>
      <c r="CA18" s="403">
        <v>31161</v>
      </c>
      <c r="CB18" s="403">
        <v>26986</v>
      </c>
      <c r="CC18" s="28">
        <f t="shared" si="132"/>
        <v>26986</v>
      </c>
      <c r="CD18" s="403">
        <v>27551</v>
      </c>
      <c r="CE18" s="403">
        <v>34432</v>
      </c>
      <c r="CF18" s="68">
        <f>CF124</f>
        <v>36256.975812751531</v>
      </c>
      <c r="CG18" s="68">
        <f>CG124</f>
        <v>38709.596605833278</v>
      </c>
      <c r="CH18" s="28">
        <f t="shared" si="133"/>
        <v>38709.596605833278</v>
      </c>
      <c r="CI18" s="68">
        <f>CI124</f>
        <v>31424.050094591061</v>
      </c>
      <c r="CJ18" s="68">
        <f>CJ124</f>
        <v>33879.750739418894</v>
      </c>
      <c r="CK18" s="68">
        <f>CK124</f>
        <v>34599.007432693375</v>
      </c>
      <c r="CL18" s="68">
        <f>CL124</f>
        <v>35312.494088461055</v>
      </c>
      <c r="CM18" s="28">
        <f t="shared" si="134"/>
        <v>35312.494088461055</v>
      </c>
      <c r="CN18" s="68">
        <f>CN124</f>
        <v>35731.126391877719</v>
      </c>
      <c r="CO18" s="68">
        <f>CO124</f>
        <v>36085.873794187763</v>
      </c>
      <c r="CP18" s="68">
        <f>CP124</f>
        <v>36391.513028635789</v>
      </c>
      <c r="CQ18" s="68">
        <f>CQ124</f>
        <v>36718.961988424504</v>
      </c>
      <c r="CR18" s="28">
        <f t="shared" si="135"/>
        <v>36718.961988424504</v>
      </c>
      <c r="CS18" s="68">
        <f>CS124</f>
        <v>37394.44101501767</v>
      </c>
      <c r="CT18" s="68">
        <f>CT124</f>
        <v>37970.866870529491</v>
      </c>
      <c r="CU18" s="68">
        <f>CU124</f>
        <v>38435.102298025166</v>
      </c>
      <c r="CV18" s="68">
        <f>CV124</f>
        <v>38839.184709169836</v>
      </c>
      <c r="CW18" s="28">
        <f t="shared" si="136"/>
        <v>38839.184709169836</v>
      </c>
      <c r="CX18" s="68">
        <f>CX124</f>
        <v>39296.117665480211</v>
      </c>
      <c r="CY18" s="68">
        <f>CY124</f>
        <v>39739.837356522599</v>
      </c>
      <c r="CZ18" s="68">
        <f>CZ124</f>
        <v>40123.838438471219</v>
      </c>
      <c r="DA18" s="68">
        <f>DA124</f>
        <v>40481.38712201301</v>
      </c>
      <c r="DB18" s="28">
        <f t="shared" si="137"/>
        <v>40481.38712201301</v>
      </c>
    </row>
    <row r="19" spans="1:106" ht="11.5" customHeight="1" x14ac:dyDescent="0.35">
      <c r="A19" s="182" t="s">
        <v>162</v>
      </c>
      <c r="B19" s="403"/>
      <c r="C19" s="403"/>
      <c r="D19" s="403"/>
      <c r="E19" s="403"/>
      <c r="F19" s="28">
        <f t="shared" si="87"/>
        <v>0</v>
      </c>
      <c r="G19" s="403"/>
      <c r="H19" s="403"/>
      <c r="I19" s="403"/>
      <c r="J19" s="403"/>
      <c r="K19" s="28">
        <f t="shared" si="88"/>
        <v>0</v>
      </c>
      <c r="L19" s="403"/>
      <c r="M19" s="403"/>
      <c r="N19" s="403"/>
      <c r="O19" s="403"/>
      <c r="P19" s="28">
        <f t="shared" si="89"/>
        <v>0</v>
      </c>
      <c r="Q19" s="403"/>
      <c r="R19" s="403"/>
      <c r="S19" s="403"/>
      <c r="T19" s="403"/>
      <c r="U19" s="28">
        <f t="shared" si="90"/>
        <v>0</v>
      </c>
      <c r="V19" s="403"/>
      <c r="W19" s="403"/>
      <c r="X19" s="403"/>
      <c r="Y19" s="403"/>
      <c r="Z19" s="28">
        <f t="shared" si="91"/>
        <v>0</v>
      </c>
      <c r="AA19" s="403"/>
      <c r="AB19" s="403"/>
      <c r="AC19" s="403"/>
      <c r="AD19" s="403"/>
      <c r="AE19" s="28">
        <f t="shared" si="92"/>
        <v>0</v>
      </c>
      <c r="AF19" s="403"/>
      <c r="AG19" s="403"/>
      <c r="AH19" s="403"/>
      <c r="AI19" s="403"/>
      <c r="AJ19" s="28">
        <f t="shared" si="93"/>
        <v>0</v>
      </c>
      <c r="AK19" s="403">
        <f>9768+2430</f>
        <v>12198</v>
      </c>
      <c r="AL19" s="403">
        <f>9955+1941</f>
        <v>11896</v>
      </c>
      <c r="AM19" s="403">
        <f>12069+3493</f>
        <v>15562</v>
      </c>
      <c r="AN19" s="403">
        <f>12936+4084</f>
        <v>17020</v>
      </c>
      <c r="AO19" s="28">
        <f t="shared" si="94"/>
        <v>17020</v>
      </c>
      <c r="AP19" s="403">
        <f>13709+2693</f>
        <v>16402</v>
      </c>
      <c r="AQ19" s="403">
        <f>14708+2785</f>
        <v>17493</v>
      </c>
      <c r="AR19" s="403">
        <f>15119+3095</f>
        <v>18214</v>
      </c>
      <c r="AS19" s="403">
        <f>32923+3160</f>
        <v>36083</v>
      </c>
      <c r="AT19" s="28">
        <f t="shared" si="95"/>
        <v>36083</v>
      </c>
      <c r="AU19" s="403">
        <f>24543+3153</f>
        <v>27696</v>
      </c>
      <c r="AV19" s="403">
        <f>25895+3555</f>
        <v>29450</v>
      </c>
      <c r="AW19" s="403">
        <f>26008+3849</f>
        <v>29857</v>
      </c>
      <c r="AX19" s="403">
        <f>38789+3840-AX18</f>
        <v>14120</v>
      </c>
      <c r="AY19" s="28">
        <f t="shared" ref="AY19" si="138">AX19</f>
        <v>14120</v>
      </c>
      <c r="AZ19" s="403">
        <f>34331+3642-AZ18</f>
        <v>8924</v>
      </c>
      <c r="BA19" s="403">
        <f>36889+3726-BA18</f>
        <v>8758</v>
      </c>
      <c r="BB19" s="403">
        <f>42749+4441-BB18</f>
        <v>12448</v>
      </c>
      <c r="BC19" s="403">
        <f>16345+40318-BC18</f>
        <v>20868</v>
      </c>
      <c r="BD19" s="28">
        <f t="shared" ref="BD19" si="139">BC19</f>
        <v>20868</v>
      </c>
      <c r="BE19" s="403">
        <f>15478+39751-BE18</f>
        <v>20121</v>
      </c>
      <c r="BF19" s="403">
        <f>19254+40488-BF18</f>
        <v>23992</v>
      </c>
      <c r="BG19" s="403">
        <f>24330+40920-BG18</f>
        <v>29455</v>
      </c>
      <c r="BH19" s="403">
        <f>27836+35863-BH18</f>
        <v>32743</v>
      </c>
      <c r="BI19" s="28">
        <f t="shared" ref="BI19" si="140">BH19</f>
        <v>32743</v>
      </c>
      <c r="BJ19" s="403">
        <f>30305+36988-BJ18</f>
        <v>35346</v>
      </c>
      <c r="BK19" s="403">
        <f>36248+38934-BK18</f>
        <v>41646</v>
      </c>
      <c r="BL19" s="403">
        <f>43329+39513-BL18</f>
        <v>48745</v>
      </c>
      <c r="BM19" s="403">
        <f>50270+37485-BM18</f>
        <v>55726</v>
      </c>
      <c r="BN19" s="28">
        <f t="shared" ref="BN19" si="141">BM19</f>
        <v>55726</v>
      </c>
      <c r="BO19" s="403">
        <f>58214+38625-BO18</f>
        <v>63809</v>
      </c>
      <c r="BP19" s="403">
        <f>63169+40822-BP18</f>
        <v>69831</v>
      </c>
      <c r="BQ19" s="403">
        <f>79675+40775-BQ18</f>
        <v>87562</v>
      </c>
      <c r="BR19" s="403">
        <f>84228+37440-BR18</f>
        <v>91432</v>
      </c>
      <c r="BS19" s="28">
        <f t="shared" ref="BS19" si="142">BR19</f>
        <v>91432</v>
      </c>
      <c r="BT19" s="403">
        <f>92050+40040-BT18</f>
        <v>100866</v>
      </c>
      <c r="BU19" s="403">
        <f>115011+36529-BU18</f>
        <v>122833</v>
      </c>
      <c r="BV19" s="403">
        <f>132338+37791-BV18</f>
        <v>141061</v>
      </c>
      <c r="BW19" s="403">
        <f>138882+33123-BW18</f>
        <v>145614</v>
      </c>
      <c r="BX19" s="28">
        <f t="shared" ref="BX19" si="143">BW19</f>
        <v>145614</v>
      </c>
      <c r="BY19" s="403">
        <f>144504+37748-BY18</f>
        <v>154701</v>
      </c>
      <c r="BZ19" s="403">
        <f>170013+56629-BZ18</f>
        <v>199091</v>
      </c>
      <c r="CA19" s="403">
        <f>522+186755+16815+4275</f>
        <v>208367</v>
      </c>
      <c r="CB19" s="403">
        <f>250741-CB18</f>
        <v>223755</v>
      </c>
      <c r="CC19" s="28">
        <f t="shared" si="132"/>
        <v>223755</v>
      </c>
      <c r="CD19" s="403">
        <f>206713+48248-CD18</f>
        <v>227410</v>
      </c>
      <c r="CE19" s="403">
        <f>230579+52709-CE18</f>
        <v>248856</v>
      </c>
      <c r="CF19" s="85">
        <f>CE19</f>
        <v>248856</v>
      </c>
      <c r="CG19" s="85">
        <f>CF19</f>
        <v>248856</v>
      </c>
      <c r="CH19" s="28">
        <f t="shared" si="133"/>
        <v>248856</v>
      </c>
      <c r="CI19" s="85">
        <f>CH19</f>
        <v>248856</v>
      </c>
      <c r="CJ19" s="85">
        <f>CI19</f>
        <v>248856</v>
      </c>
      <c r="CK19" s="85">
        <f>CJ19</f>
        <v>248856</v>
      </c>
      <c r="CL19" s="85">
        <f>CK19</f>
        <v>248856</v>
      </c>
      <c r="CM19" s="28">
        <f t="shared" si="134"/>
        <v>248856</v>
      </c>
      <c r="CN19" s="85">
        <f>CM19</f>
        <v>248856</v>
      </c>
      <c r="CO19" s="85">
        <f>CN19</f>
        <v>248856</v>
      </c>
      <c r="CP19" s="85">
        <f>CO19</f>
        <v>248856</v>
      </c>
      <c r="CQ19" s="85">
        <f>CP19</f>
        <v>248856</v>
      </c>
      <c r="CR19" s="28">
        <f t="shared" si="135"/>
        <v>248856</v>
      </c>
      <c r="CS19" s="85">
        <f>CR19</f>
        <v>248856</v>
      </c>
      <c r="CT19" s="85">
        <f>CS19</f>
        <v>248856</v>
      </c>
      <c r="CU19" s="85">
        <f>CT19</f>
        <v>248856</v>
      </c>
      <c r="CV19" s="85">
        <f>CU19</f>
        <v>248856</v>
      </c>
      <c r="CW19" s="28">
        <f t="shared" si="136"/>
        <v>248856</v>
      </c>
      <c r="CX19" s="85">
        <f>CW19</f>
        <v>248856</v>
      </c>
      <c r="CY19" s="85">
        <f>CX19</f>
        <v>248856</v>
      </c>
      <c r="CZ19" s="85">
        <f>CY19</f>
        <v>248856</v>
      </c>
      <c r="DA19" s="85">
        <f>CZ19</f>
        <v>248856</v>
      </c>
      <c r="DB19" s="28">
        <f t="shared" si="137"/>
        <v>248856</v>
      </c>
    </row>
    <row r="20" spans="1:106" ht="11.5" customHeight="1" x14ac:dyDescent="0.35">
      <c r="A20" s="184" t="s">
        <v>163</v>
      </c>
      <c r="B20" s="81">
        <f t="shared" ref="B20:AE20" si="144">B21+B22+B23+B24</f>
        <v>0</v>
      </c>
      <c r="C20" s="81">
        <f t="shared" si="144"/>
        <v>0</v>
      </c>
      <c r="D20" s="81">
        <f t="shared" si="144"/>
        <v>0</v>
      </c>
      <c r="E20" s="81">
        <f t="shared" si="144"/>
        <v>0</v>
      </c>
      <c r="F20" s="82">
        <f t="shared" si="144"/>
        <v>0</v>
      </c>
      <c r="G20" s="81">
        <f t="shared" si="144"/>
        <v>0</v>
      </c>
      <c r="H20" s="81">
        <f t="shared" si="144"/>
        <v>0</v>
      </c>
      <c r="I20" s="81">
        <f t="shared" si="144"/>
        <v>0</v>
      </c>
      <c r="J20" s="81">
        <f t="shared" si="144"/>
        <v>0</v>
      </c>
      <c r="K20" s="82">
        <f t="shared" si="144"/>
        <v>0</v>
      </c>
      <c r="L20" s="81">
        <f t="shared" si="144"/>
        <v>0</v>
      </c>
      <c r="M20" s="81">
        <f t="shared" si="144"/>
        <v>0</v>
      </c>
      <c r="N20" s="81">
        <f t="shared" si="144"/>
        <v>0</v>
      </c>
      <c r="O20" s="81">
        <f t="shared" si="144"/>
        <v>0</v>
      </c>
      <c r="P20" s="82">
        <f t="shared" si="144"/>
        <v>0</v>
      </c>
      <c r="Q20" s="81">
        <f t="shared" si="144"/>
        <v>0</v>
      </c>
      <c r="R20" s="81">
        <f t="shared" si="144"/>
        <v>0</v>
      </c>
      <c r="S20" s="81">
        <f t="shared" si="144"/>
        <v>0</v>
      </c>
      <c r="T20" s="81">
        <f t="shared" si="144"/>
        <v>0</v>
      </c>
      <c r="U20" s="82">
        <f t="shared" si="144"/>
        <v>0</v>
      </c>
      <c r="V20" s="81">
        <f t="shared" si="144"/>
        <v>0</v>
      </c>
      <c r="W20" s="81">
        <f t="shared" si="144"/>
        <v>0</v>
      </c>
      <c r="X20" s="81">
        <f t="shared" si="144"/>
        <v>0</v>
      </c>
      <c r="Y20" s="81">
        <f t="shared" si="144"/>
        <v>0</v>
      </c>
      <c r="Z20" s="82">
        <f t="shared" si="144"/>
        <v>0</v>
      </c>
      <c r="AA20" s="81">
        <f t="shared" si="144"/>
        <v>0</v>
      </c>
      <c r="AB20" s="81">
        <f t="shared" si="144"/>
        <v>0</v>
      </c>
      <c r="AC20" s="81">
        <f t="shared" si="144"/>
        <v>0</v>
      </c>
      <c r="AD20" s="81">
        <f t="shared" si="144"/>
        <v>0</v>
      </c>
      <c r="AE20" s="82">
        <f t="shared" si="144"/>
        <v>0</v>
      </c>
      <c r="AF20" s="81">
        <f t="shared" ref="AF20:AG20" si="145">AF21+AF22+AF23+AF24</f>
        <v>0</v>
      </c>
      <c r="AG20" s="81">
        <f t="shared" si="145"/>
        <v>0</v>
      </c>
      <c r="AH20" s="81">
        <f t="shared" ref="AH20:BM20" si="146">AH21+AH22+AH23+AH24</f>
        <v>0</v>
      </c>
      <c r="AI20" s="81">
        <f t="shared" si="146"/>
        <v>0</v>
      </c>
      <c r="AJ20" s="82">
        <f t="shared" si="146"/>
        <v>0</v>
      </c>
      <c r="AK20" s="81">
        <f t="shared" si="146"/>
        <v>9490</v>
      </c>
      <c r="AL20" s="81">
        <f t="shared" si="146"/>
        <v>8952</v>
      </c>
      <c r="AM20" s="81">
        <f t="shared" si="146"/>
        <v>8555</v>
      </c>
      <c r="AN20" s="81">
        <f t="shared" si="146"/>
        <v>25095</v>
      </c>
      <c r="AO20" s="82">
        <f t="shared" si="146"/>
        <v>25095</v>
      </c>
      <c r="AP20" s="81">
        <f t="shared" si="146"/>
        <v>24739</v>
      </c>
      <c r="AQ20" s="81">
        <f t="shared" si="146"/>
        <v>27517</v>
      </c>
      <c r="AR20" s="81">
        <f t="shared" si="146"/>
        <v>70805</v>
      </c>
      <c r="AS20" s="81">
        <f t="shared" si="146"/>
        <v>22994</v>
      </c>
      <c r="AT20" s="82">
        <f t="shared" si="146"/>
        <v>22994</v>
      </c>
      <c r="AU20" s="81">
        <f t="shared" si="146"/>
        <v>24163</v>
      </c>
      <c r="AV20" s="81">
        <f t="shared" si="146"/>
        <v>23750</v>
      </c>
      <c r="AW20" s="81">
        <f t="shared" si="146"/>
        <v>25394</v>
      </c>
      <c r="AX20" s="81">
        <f t="shared" si="146"/>
        <v>28556</v>
      </c>
      <c r="AY20" s="82">
        <f t="shared" si="146"/>
        <v>28556</v>
      </c>
      <c r="AZ20" s="81">
        <f t="shared" si="146"/>
        <v>31132</v>
      </c>
      <c r="BA20" s="81">
        <f t="shared" si="146"/>
        <v>37649</v>
      </c>
      <c r="BB20" s="81">
        <f t="shared" si="146"/>
        <v>39284</v>
      </c>
      <c r="BC20" s="81">
        <f t="shared" si="146"/>
        <v>41617</v>
      </c>
      <c r="BD20" s="82">
        <f t="shared" si="146"/>
        <v>41617</v>
      </c>
      <c r="BE20" s="81">
        <f t="shared" si="146"/>
        <v>48948</v>
      </c>
      <c r="BF20" s="81">
        <f t="shared" si="146"/>
        <v>55708</v>
      </c>
      <c r="BG20" s="81">
        <f t="shared" si="146"/>
        <v>55253</v>
      </c>
      <c r="BH20" s="81">
        <f t="shared" si="146"/>
        <v>118431</v>
      </c>
      <c r="BI20" s="82">
        <f t="shared" si="146"/>
        <v>118431</v>
      </c>
      <c r="BJ20" s="81">
        <f t="shared" si="146"/>
        <v>121557</v>
      </c>
      <c r="BK20" s="81">
        <f t="shared" si="146"/>
        <v>123787</v>
      </c>
      <c r="BL20" s="81">
        <f t="shared" si="146"/>
        <v>126564</v>
      </c>
      <c r="BM20" s="81">
        <f t="shared" si="146"/>
        <v>125529</v>
      </c>
      <c r="BN20" s="82">
        <f t="shared" ref="BN20:CS20" si="147">BN21+BN22+BN23+BN24</f>
        <v>125529</v>
      </c>
      <c r="BO20" s="81">
        <f t="shared" si="147"/>
        <v>131942</v>
      </c>
      <c r="BP20" s="81">
        <f t="shared" si="147"/>
        <v>135195</v>
      </c>
      <c r="BQ20" s="81">
        <f t="shared" si="147"/>
        <v>131058</v>
      </c>
      <c r="BR20" s="81">
        <f t="shared" si="147"/>
        <v>143313</v>
      </c>
      <c r="BS20" s="82">
        <f t="shared" si="147"/>
        <v>143313</v>
      </c>
      <c r="BT20" s="81">
        <f t="shared" si="147"/>
        <v>145252</v>
      </c>
      <c r="BU20" s="81">
        <f t="shared" si="147"/>
        <v>81870</v>
      </c>
      <c r="BV20" s="81">
        <f t="shared" si="147"/>
        <v>82643</v>
      </c>
      <c r="BW20" s="81">
        <f t="shared" si="147"/>
        <v>83845</v>
      </c>
      <c r="BX20" s="82">
        <f t="shared" si="147"/>
        <v>83845</v>
      </c>
      <c r="BY20" s="81">
        <f t="shared" si="147"/>
        <v>82256</v>
      </c>
      <c r="BZ20" s="81">
        <f t="shared" ref="BZ20:CB20" si="148">BZ21+BZ22+BZ23+BZ24</f>
        <v>81116</v>
      </c>
      <c r="CA20" s="81">
        <f t="shared" si="148"/>
        <v>81716</v>
      </c>
      <c r="CB20" s="81">
        <f t="shared" si="148"/>
        <v>82524</v>
      </c>
      <c r="CC20" s="82">
        <f t="shared" si="147"/>
        <v>82524</v>
      </c>
      <c r="CD20" s="81">
        <f t="shared" ref="CD20:CE20" si="149">CD21+CD22+CD23+CD24</f>
        <v>84130</v>
      </c>
      <c r="CE20" s="81">
        <f t="shared" si="149"/>
        <v>81613</v>
      </c>
      <c r="CF20" s="81">
        <f t="shared" si="147"/>
        <v>82013.939827744864</v>
      </c>
      <c r="CG20" s="81">
        <f t="shared" si="147"/>
        <v>82357.022004011698</v>
      </c>
      <c r="CH20" s="82">
        <f t="shared" si="147"/>
        <v>82357.022004011698</v>
      </c>
      <c r="CI20" s="81">
        <f t="shared" si="147"/>
        <v>84562.745915157459</v>
      </c>
      <c r="CJ20" s="81">
        <f t="shared" si="147"/>
        <v>86211.319441512213</v>
      </c>
      <c r="CK20" s="81">
        <f t="shared" si="147"/>
        <v>87021.874988114141</v>
      </c>
      <c r="CL20" s="81">
        <f t="shared" si="147"/>
        <v>87652.00743454948</v>
      </c>
      <c r="CM20" s="82">
        <f t="shared" si="147"/>
        <v>87652.00743454948</v>
      </c>
      <c r="CN20" s="81">
        <f t="shared" si="147"/>
        <v>89576.498611355841</v>
      </c>
      <c r="CO20" s="81">
        <f t="shared" si="147"/>
        <v>90474.831207836483</v>
      </c>
      <c r="CP20" s="81">
        <f t="shared" si="147"/>
        <v>90605.652285786404</v>
      </c>
      <c r="CQ20" s="81">
        <f t="shared" si="147"/>
        <v>91117.24584745575</v>
      </c>
      <c r="CR20" s="82">
        <f t="shared" si="147"/>
        <v>91117.24584745575</v>
      </c>
      <c r="CS20" s="81">
        <f t="shared" si="147"/>
        <v>92750.513671028457</v>
      </c>
      <c r="CT20" s="81">
        <f t="shared" ref="CT20:DB20" si="150">CT21+CT22+CT23+CT24</f>
        <v>93599.451234530177</v>
      </c>
      <c r="CU20" s="81">
        <f t="shared" si="150"/>
        <v>93640.623999755539</v>
      </c>
      <c r="CV20" s="81">
        <f t="shared" si="150"/>
        <v>93888.051680855628</v>
      </c>
      <c r="CW20" s="82">
        <f t="shared" si="150"/>
        <v>93888.051680855628</v>
      </c>
      <c r="CX20" s="81">
        <f t="shared" si="150"/>
        <v>95370.172804853384</v>
      </c>
      <c r="CY20" s="81">
        <f t="shared" si="150"/>
        <v>95869.96425161371</v>
      </c>
      <c r="CZ20" s="81">
        <f t="shared" si="150"/>
        <v>95375.286420178018</v>
      </c>
      <c r="DA20" s="81">
        <f t="shared" si="150"/>
        <v>94984.675306865727</v>
      </c>
      <c r="DB20" s="82">
        <f t="shared" si="150"/>
        <v>94984.675306865727</v>
      </c>
    </row>
    <row r="21" spans="1:106" ht="11.5" customHeight="1" x14ac:dyDescent="0.35">
      <c r="A21" s="182" t="s">
        <v>164</v>
      </c>
      <c r="B21" s="403"/>
      <c r="C21" s="403"/>
      <c r="D21" s="403"/>
      <c r="E21" s="421"/>
      <c r="F21" s="28">
        <f t="shared" ref="F21" si="151">E21</f>
        <v>0</v>
      </c>
      <c r="G21" s="403"/>
      <c r="H21" s="403"/>
      <c r="I21" s="403"/>
      <c r="J21" s="421"/>
      <c r="K21" s="28">
        <f t="shared" ref="K21" si="152">J21</f>
        <v>0</v>
      </c>
      <c r="L21" s="403"/>
      <c r="M21" s="403"/>
      <c r="N21" s="403"/>
      <c r="O21" s="421"/>
      <c r="P21" s="28">
        <f t="shared" ref="P21" si="153">O21</f>
        <v>0</v>
      </c>
      <c r="Q21" s="403"/>
      <c r="R21" s="403"/>
      <c r="S21" s="403"/>
      <c r="T21" s="421"/>
      <c r="U21" s="28">
        <f t="shared" ref="U21" si="154">T21</f>
        <v>0</v>
      </c>
      <c r="V21" s="403"/>
      <c r="W21" s="403"/>
      <c r="X21" s="403"/>
      <c r="Y21" s="421"/>
      <c r="Z21" s="28">
        <f t="shared" ref="Z21" si="155">Y21</f>
        <v>0</v>
      </c>
      <c r="AA21" s="403"/>
      <c r="AB21" s="403"/>
      <c r="AC21" s="403"/>
      <c r="AD21" s="421"/>
      <c r="AE21" s="28">
        <f t="shared" ref="AE21" si="156">AD21</f>
        <v>0</v>
      </c>
      <c r="AF21" s="403"/>
      <c r="AG21" s="403"/>
      <c r="AH21" s="403"/>
      <c r="AI21" s="421"/>
      <c r="AJ21" s="28">
        <f>AI21</f>
        <v>0</v>
      </c>
      <c r="AK21" s="403">
        <v>498</v>
      </c>
      <c r="AL21" s="403">
        <v>422</v>
      </c>
      <c r="AM21" s="403">
        <v>894</v>
      </c>
      <c r="AN21" s="421">
        <v>17147</v>
      </c>
      <c r="AO21" s="28">
        <f>AN21</f>
        <v>17147</v>
      </c>
      <c r="AP21" s="403">
        <v>17498</v>
      </c>
      <c r="AQ21" s="403">
        <v>20702</v>
      </c>
      <c r="AR21" s="403">
        <v>63041</v>
      </c>
      <c r="AS21" s="421">
        <v>16063</v>
      </c>
      <c r="AT21" s="28">
        <f>AS21</f>
        <v>16063</v>
      </c>
      <c r="AU21" s="403">
        <v>16538</v>
      </c>
      <c r="AV21" s="403">
        <v>14251</v>
      </c>
      <c r="AW21" s="403">
        <v>15933</v>
      </c>
      <c r="AX21" s="421">
        <v>16517</v>
      </c>
      <c r="AY21" s="28">
        <f t="shared" ref="AY21:AY22" si="157">AX21</f>
        <v>16517</v>
      </c>
      <c r="AZ21" s="403">
        <v>18857</v>
      </c>
      <c r="BA21" s="403">
        <v>24778</v>
      </c>
      <c r="BB21" s="403">
        <v>25680</v>
      </c>
      <c r="BC21" s="421">
        <v>26948</v>
      </c>
      <c r="BD21" s="28">
        <f t="shared" ref="BD21:BD22" si="158">BC21</f>
        <v>26948</v>
      </c>
      <c r="BE21" s="403">
        <v>28737</v>
      </c>
      <c r="BF21" s="403">
        <v>32139</v>
      </c>
      <c r="BG21" s="403">
        <v>29674</v>
      </c>
      <c r="BH21" s="421">
        <v>92666</v>
      </c>
      <c r="BI21" s="28">
        <f t="shared" ref="BI21:BI22" si="159">BH21</f>
        <v>92666</v>
      </c>
      <c r="BJ21" s="403">
        <v>97227</v>
      </c>
      <c r="BK21" s="403">
        <v>101278</v>
      </c>
      <c r="BL21" s="403">
        <v>104361</v>
      </c>
      <c r="BM21" s="421">
        <v>102598</v>
      </c>
      <c r="BN21" s="28">
        <f t="shared" ref="BN21:BN22" si="160">BM21</f>
        <v>102598</v>
      </c>
      <c r="BO21" s="403">
        <v>100841</v>
      </c>
      <c r="BP21" s="403">
        <v>101902</v>
      </c>
      <c r="BQ21" s="403">
        <v>97780</v>
      </c>
      <c r="BR21" s="421">
        <v>108717</v>
      </c>
      <c r="BS21" s="28">
        <f t="shared" ref="BS21:BS22" si="161">BR21</f>
        <v>108717</v>
      </c>
      <c r="BT21" s="403">
        <f>67594+40803</f>
        <v>108397</v>
      </c>
      <c r="BU21" s="403">
        <v>44707</v>
      </c>
      <c r="BV21" s="403">
        <v>42837</v>
      </c>
      <c r="BW21" s="421">
        <v>42244</v>
      </c>
      <c r="BX21" s="28">
        <f t="shared" ref="BX21:BX22" si="162">BW21</f>
        <v>42244</v>
      </c>
      <c r="BY21" s="403">
        <f>40372</f>
        <v>40372</v>
      </c>
      <c r="BZ21" s="421">
        <v>40727</v>
      </c>
      <c r="CA21" s="421">
        <v>41203</v>
      </c>
      <c r="CB21" s="421">
        <v>41321</v>
      </c>
      <c r="CC21" s="28">
        <f>CB21</f>
        <v>41321</v>
      </c>
      <c r="CD21" s="403">
        <v>37757</v>
      </c>
      <c r="CE21" s="421">
        <v>30471</v>
      </c>
      <c r="CF21" s="85">
        <f>CE21*(CF8+CF12)/(CE8+CE12)</f>
        <v>30850.103595454519</v>
      </c>
      <c r="CG21" s="85">
        <f>CF21*(CG8+CG12)/(CF8+CF12)</f>
        <v>31171.340215958317</v>
      </c>
      <c r="CH21" s="28">
        <f>CG21</f>
        <v>31171.340215958317</v>
      </c>
      <c r="CI21" s="85">
        <f>CH21*(CI8+CI12)/(CH8+CH12)</f>
        <v>33355.209243887482</v>
      </c>
      <c r="CJ21" s="85">
        <f>CI21*(CJ8+CJ12)/(CI8+CI12)</f>
        <v>34981.918555589509</v>
      </c>
      <c r="CK21" s="85">
        <f>CJ21*(CK8+CK12)/(CJ8+CJ12)</f>
        <v>35770.600552118296</v>
      </c>
      <c r="CL21" s="85">
        <f>CK21*(CL8+CL12)/(CK8+CK12)</f>
        <v>36378.850109074148</v>
      </c>
      <c r="CM21" s="28">
        <f>CL21</f>
        <v>36378.850109074148</v>
      </c>
      <c r="CN21" s="85">
        <f>CM21*(CN8+CN12)/(CM8+CM12)</f>
        <v>38281.449053006967</v>
      </c>
      <c r="CO21" s="85">
        <f>CN21*(CO8+CO12)/(CN8+CN12)</f>
        <v>39157.880069230669</v>
      </c>
      <c r="CP21" s="85">
        <f>CO21*(CP8+CP12)/(CO8+CO12)</f>
        <v>39266.790215549147</v>
      </c>
      <c r="CQ21" s="85">
        <f>CP21*(CQ8+CQ12)/(CP8+CP12)</f>
        <v>39756.463490219809</v>
      </c>
      <c r="CR21" s="28">
        <f>CQ21</f>
        <v>39756.463490219809</v>
      </c>
      <c r="CS21" s="85">
        <f>CR21*(CS8+CS12)/(CR8+CR12)</f>
        <v>41367.801667432068</v>
      </c>
      <c r="CT21" s="85">
        <f>CS21*(CT8+CT12)/(CS8+CS12)</f>
        <v>42194.800221215388</v>
      </c>
      <c r="CU21" s="85">
        <f>CT21*(CU8+CU12)/(CT8+CT12)</f>
        <v>42214.024609366512</v>
      </c>
      <c r="CV21" s="85">
        <f>CU21*(CV8+CV12)/(CU8+CU12)</f>
        <v>42439.494542036911</v>
      </c>
      <c r="CW21" s="28">
        <f>CV21</f>
        <v>42439.494542036911</v>
      </c>
      <c r="CX21" s="85">
        <f>CW21*(CX8+CX12)/(CW8+CW12)</f>
        <v>43899.648542248229</v>
      </c>
      <c r="CY21" s="85">
        <f>CX21*(CY8+CY12)/(CX8+CX12)</f>
        <v>44377.463485862354</v>
      </c>
      <c r="CZ21" s="85">
        <f>CY21*(CZ8+CZ12)/(CY8+CY12)</f>
        <v>43860.799767915923</v>
      </c>
      <c r="DA21" s="85">
        <f>CZ21*(DA8+DA12)/(CZ8+CZ12)</f>
        <v>43448.193380721968</v>
      </c>
      <c r="DB21" s="28">
        <f>DA21</f>
        <v>43448.193380721968</v>
      </c>
    </row>
    <row r="22" spans="1:106" ht="11.5" customHeight="1" x14ac:dyDescent="0.35">
      <c r="A22" s="182" t="s">
        <v>26</v>
      </c>
      <c r="B22" s="403"/>
      <c r="C22" s="403"/>
      <c r="D22" s="403"/>
      <c r="E22" s="403"/>
      <c r="F22" s="28">
        <f t="shared" ref="F22" si="163">E22</f>
        <v>0</v>
      </c>
      <c r="G22" s="403"/>
      <c r="H22" s="403"/>
      <c r="I22" s="403"/>
      <c r="J22" s="403"/>
      <c r="K22" s="28">
        <f t="shared" ref="K22" si="164">J22</f>
        <v>0</v>
      </c>
      <c r="L22" s="403"/>
      <c r="M22" s="403"/>
      <c r="N22" s="403"/>
      <c r="O22" s="403"/>
      <c r="P22" s="28">
        <f t="shared" ref="P22" si="165">O22</f>
        <v>0</v>
      </c>
      <c r="Q22" s="403"/>
      <c r="R22" s="403"/>
      <c r="S22" s="403"/>
      <c r="T22" s="403"/>
      <c r="U22" s="28">
        <f t="shared" ref="U22" si="166">T22</f>
        <v>0</v>
      </c>
      <c r="V22" s="403"/>
      <c r="W22" s="403"/>
      <c r="X22" s="403"/>
      <c r="Y22" s="403"/>
      <c r="Z22" s="28">
        <f t="shared" ref="Z22" si="167">Y22</f>
        <v>0</v>
      </c>
      <c r="AA22" s="403"/>
      <c r="AB22" s="403"/>
      <c r="AC22" s="403"/>
      <c r="AD22" s="403"/>
      <c r="AE22" s="28">
        <f t="shared" ref="AE22" si="168">AD22</f>
        <v>0</v>
      </c>
      <c r="AF22" s="403"/>
      <c r="AG22" s="403"/>
      <c r="AH22" s="403"/>
      <c r="AI22" s="403"/>
      <c r="AJ22" s="28">
        <f>AI22</f>
        <v>0</v>
      </c>
      <c r="AK22" s="403">
        <v>0</v>
      </c>
      <c r="AL22" s="403">
        <v>0</v>
      </c>
      <c r="AM22" s="403">
        <v>0</v>
      </c>
      <c r="AN22" s="403">
        <v>0</v>
      </c>
      <c r="AO22" s="28">
        <f>AN22</f>
        <v>0</v>
      </c>
      <c r="AP22" s="403">
        <v>0</v>
      </c>
      <c r="AQ22" s="403">
        <v>0</v>
      </c>
      <c r="AR22" s="403">
        <v>0</v>
      </c>
      <c r="AS22" s="403">
        <v>0</v>
      </c>
      <c r="AT22" s="28">
        <f>AS22</f>
        <v>0</v>
      </c>
      <c r="AU22" s="403">
        <v>0</v>
      </c>
      <c r="AV22" s="403">
        <v>0</v>
      </c>
      <c r="AW22" s="403">
        <v>0</v>
      </c>
      <c r="AX22" s="403">
        <v>0</v>
      </c>
      <c r="AY22" s="28">
        <f t="shared" si="157"/>
        <v>0</v>
      </c>
      <c r="AZ22" s="403">
        <v>0</v>
      </c>
      <c r="BA22" s="403">
        <v>0</v>
      </c>
      <c r="BB22" s="403">
        <v>0</v>
      </c>
      <c r="BC22" s="421">
        <v>0</v>
      </c>
      <c r="BD22" s="28">
        <f t="shared" si="158"/>
        <v>0</v>
      </c>
      <c r="BE22" s="403">
        <v>0</v>
      </c>
      <c r="BF22" s="403">
        <v>0</v>
      </c>
      <c r="BG22" s="403">
        <v>0</v>
      </c>
      <c r="BH22" s="421">
        <v>0</v>
      </c>
      <c r="BI22" s="28">
        <f t="shared" si="159"/>
        <v>0</v>
      </c>
      <c r="BJ22" s="403">
        <v>0</v>
      </c>
      <c r="BK22" s="403">
        <v>0</v>
      </c>
      <c r="BL22" s="403">
        <v>0</v>
      </c>
      <c r="BM22" s="421">
        <v>0</v>
      </c>
      <c r="BN22" s="28">
        <f t="shared" si="160"/>
        <v>0</v>
      </c>
      <c r="BO22" s="403">
        <v>0</v>
      </c>
      <c r="BP22" s="403">
        <v>0</v>
      </c>
      <c r="BQ22" s="403">
        <v>0</v>
      </c>
      <c r="BR22" s="421">
        <v>0</v>
      </c>
      <c r="BS22" s="28">
        <f t="shared" si="161"/>
        <v>0</v>
      </c>
      <c r="BT22" s="403">
        <v>0</v>
      </c>
      <c r="BU22" s="403">
        <v>0</v>
      </c>
      <c r="BV22" s="403">
        <v>0</v>
      </c>
      <c r="BW22" s="421">
        <v>0</v>
      </c>
      <c r="BX22" s="28">
        <f t="shared" si="162"/>
        <v>0</v>
      </c>
      <c r="BY22" s="403">
        <v>0</v>
      </c>
      <c r="BZ22" s="421">
        <v>0</v>
      </c>
      <c r="CA22" s="421">
        <v>0</v>
      </c>
      <c r="CB22" s="421">
        <v>0</v>
      </c>
      <c r="CC22" s="28">
        <f>CB22</f>
        <v>0</v>
      </c>
      <c r="CD22" s="403">
        <v>0</v>
      </c>
      <c r="CE22" s="421">
        <v>0</v>
      </c>
      <c r="CF22" s="85">
        <f>CE22</f>
        <v>0</v>
      </c>
      <c r="CG22" s="85">
        <f>CF22</f>
        <v>0</v>
      </c>
      <c r="CH22" s="28">
        <f>CG22</f>
        <v>0</v>
      </c>
      <c r="CI22" s="85">
        <f>CH22</f>
        <v>0</v>
      </c>
      <c r="CJ22" s="85">
        <f>CI22</f>
        <v>0</v>
      </c>
      <c r="CK22" s="85">
        <f>CJ22</f>
        <v>0</v>
      </c>
      <c r="CL22" s="85">
        <f>CK22</f>
        <v>0</v>
      </c>
      <c r="CM22" s="28">
        <f>CL22</f>
        <v>0</v>
      </c>
      <c r="CN22" s="85">
        <f>CM22</f>
        <v>0</v>
      </c>
      <c r="CO22" s="85">
        <f>CN22</f>
        <v>0</v>
      </c>
      <c r="CP22" s="85">
        <f>CO22</f>
        <v>0</v>
      </c>
      <c r="CQ22" s="85">
        <f>CP22</f>
        <v>0</v>
      </c>
      <c r="CR22" s="28">
        <f>CQ22</f>
        <v>0</v>
      </c>
      <c r="CS22" s="85">
        <f>CR22</f>
        <v>0</v>
      </c>
      <c r="CT22" s="85">
        <f>CS22</f>
        <v>0</v>
      </c>
      <c r="CU22" s="85">
        <f>CT22</f>
        <v>0</v>
      </c>
      <c r="CV22" s="85">
        <f>CU22</f>
        <v>0</v>
      </c>
      <c r="CW22" s="28">
        <f>CV22</f>
        <v>0</v>
      </c>
      <c r="CX22" s="85">
        <f>CW22</f>
        <v>0</v>
      </c>
      <c r="CY22" s="85">
        <f>CX22</f>
        <v>0</v>
      </c>
      <c r="CZ22" s="85">
        <f>CY22</f>
        <v>0</v>
      </c>
      <c r="DA22" s="85">
        <f>CZ22</f>
        <v>0</v>
      </c>
      <c r="DB22" s="28">
        <f>DA22</f>
        <v>0</v>
      </c>
    </row>
    <row r="23" spans="1:106" ht="11.5" customHeight="1" x14ac:dyDescent="0.35">
      <c r="A23" s="182" t="s">
        <v>165</v>
      </c>
      <c r="B23" s="403"/>
      <c r="C23" s="403"/>
      <c r="D23" s="403"/>
      <c r="E23" s="403"/>
      <c r="F23" s="28">
        <f t="shared" ref="F23" si="169">E23</f>
        <v>0</v>
      </c>
      <c r="G23" s="403"/>
      <c r="H23" s="403"/>
      <c r="I23" s="403"/>
      <c r="J23" s="403"/>
      <c r="K23" s="28">
        <f t="shared" ref="K23" si="170">J23</f>
        <v>0</v>
      </c>
      <c r="L23" s="403"/>
      <c r="M23" s="403"/>
      <c r="N23" s="403"/>
      <c r="O23" s="403"/>
      <c r="P23" s="28">
        <f t="shared" ref="P23" si="171">O23</f>
        <v>0</v>
      </c>
      <c r="Q23" s="403"/>
      <c r="R23" s="403"/>
      <c r="S23" s="403"/>
      <c r="T23" s="403"/>
      <c r="U23" s="28">
        <f t="shared" ref="U23" si="172">T23</f>
        <v>0</v>
      </c>
      <c r="V23" s="403"/>
      <c r="W23" s="403"/>
      <c r="X23" s="403"/>
      <c r="Y23" s="403"/>
      <c r="Z23" s="28">
        <f t="shared" ref="Z23" si="173">Y23</f>
        <v>0</v>
      </c>
      <c r="AA23" s="403"/>
      <c r="AB23" s="403"/>
      <c r="AC23" s="403"/>
      <c r="AD23" s="403"/>
      <c r="AE23" s="28">
        <f t="shared" ref="AE23" si="174">AD23</f>
        <v>0</v>
      </c>
      <c r="AF23" s="403"/>
      <c r="AG23" s="403"/>
      <c r="AH23" s="403"/>
      <c r="AI23" s="403"/>
      <c r="AJ23" s="28">
        <f>AI23</f>
        <v>0</v>
      </c>
      <c r="AK23" s="403">
        <v>8992</v>
      </c>
      <c r="AL23" s="403">
        <v>8530</v>
      </c>
      <c r="AM23" s="403">
        <v>7661</v>
      </c>
      <c r="AN23" s="403">
        <v>7856</v>
      </c>
      <c r="AO23" s="28">
        <f>AN23</f>
        <v>7856</v>
      </c>
      <c r="AP23" s="403">
        <v>7241</v>
      </c>
      <c r="AQ23" s="403">
        <v>6815</v>
      </c>
      <c r="AR23" s="403">
        <v>7764</v>
      </c>
      <c r="AS23" s="403">
        <v>6902</v>
      </c>
      <c r="AT23" s="28">
        <f>AS23</f>
        <v>6902</v>
      </c>
      <c r="AU23" s="403">
        <v>7625</v>
      </c>
      <c r="AV23" s="403">
        <v>9499</v>
      </c>
      <c r="AW23" s="403">
        <v>9461</v>
      </c>
      <c r="AX23" s="403">
        <v>12039</v>
      </c>
      <c r="AY23" s="28">
        <f>AX23</f>
        <v>12039</v>
      </c>
      <c r="AZ23" s="403">
        <v>12275</v>
      </c>
      <c r="BA23" s="403">
        <v>12871</v>
      </c>
      <c r="BB23" s="403">
        <v>13604</v>
      </c>
      <c r="BC23" s="403">
        <v>14669</v>
      </c>
      <c r="BD23" s="28">
        <f>BC23</f>
        <v>14669</v>
      </c>
      <c r="BE23" s="403">
        <v>20211</v>
      </c>
      <c r="BF23" s="403">
        <v>23569</v>
      </c>
      <c r="BG23" s="403">
        <v>25579</v>
      </c>
      <c r="BH23" s="403">
        <v>25765</v>
      </c>
      <c r="BI23" s="28">
        <f>BH23</f>
        <v>25765</v>
      </c>
      <c r="BJ23" s="403">
        <v>24330</v>
      </c>
      <c r="BK23" s="403">
        <v>22509</v>
      </c>
      <c r="BL23" s="403">
        <v>22203</v>
      </c>
      <c r="BM23" s="403">
        <v>22931</v>
      </c>
      <c r="BN23" s="28">
        <f>BM23</f>
        <v>22931</v>
      </c>
      <c r="BO23" s="403">
        <v>31101</v>
      </c>
      <c r="BP23" s="403">
        <v>33293</v>
      </c>
      <c r="BQ23" s="403">
        <v>33278</v>
      </c>
      <c r="BR23" s="403">
        <v>34596</v>
      </c>
      <c r="BS23" s="28">
        <f>BR23</f>
        <v>34596</v>
      </c>
      <c r="BT23" s="403">
        <v>36855</v>
      </c>
      <c r="BU23" s="403">
        <v>37163</v>
      </c>
      <c r="BV23" s="403">
        <v>39806</v>
      </c>
      <c r="BW23" s="403">
        <v>41601</v>
      </c>
      <c r="BX23" s="28">
        <f>BW23</f>
        <v>41601</v>
      </c>
      <c r="BY23" s="403">
        <v>41884</v>
      </c>
      <c r="BZ23" s="403">
        <v>40389</v>
      </c>
      <c r="CA23" s="403">
        <v>40513</v>
      </c>
      <c r="CB23" s="403">
        <v>41203</v>
      </c>
      <c r="CC23" s="28">
        <f>CB23</f>
        <v>41203</v>
      </c>
      <c r="CD23" s="403">
        <v>46373</v>
      </c>
      <c r="CE23" s="403">
        <v>51142</v>
      </c>
      <c r="CF23" s="68">
        <f>CF120-CF24</f>
        <v>51163.836232290341</v>
      </c>
      <c r="CG23" s="68">
        <f>CG120-CG24</f>
        <v>51185.681788053378</v>
      </c>
      <c r="CH23" s="28">
        <f>CG23</f>
        <v>51185.681788053378</v>
      </c>
      <c r="CI23" s="68">
        <f>CI120-CI24</f>
        <v>51207.536671269976</v>
      </c>
      <c r="CJ23" s="68">
        <f>CJ120-CJ24</f>
        <v>51229.400885922703</v>
      </c>
      <c r="CK23" s="68">
        <f>CK120-CK24</f>
        <v>51251.274435995838</v>
      </c>
      <c r="CL23" s="68">
        <f>CL120-CL24</f>
        <v>51273.157325475338</v>
      </c>
      <c r="CM23" s="28">
        <f>CL23</f>
        <v>51273.157325475338</v>
      </c>
      <c r="CN23" s="68">
        <f>CN120-CN24</f>
        <v>51295.049558348874</v>
      </c>
      <c r="CO23" s="68">
        <f>CO120-CO24</f>
        <v>51316.951138605822</v>
      </c>
      <c r="CP23" s="68">
        <f>CP120-CP24</f>
        <v>51338.86207023725</v>
      </c>
      <c r="CQ23" s="68">
        <f>CQ120-CQ24</f>
        <v>51360.782357235948</v>
      </c>
      <c r="CR23" s="28">
        <f>CQ23</f>
        <v>51360.782357235948</v>
      </c>
      <c r="CS23" s="68">
        <f>CS120-CS24</f>
        <v>51382.712003596396</v>
      </c>
      <c r="CT23" s="68">
        <f>CT120-CT24</f>
        <v>51404.651013314789</v>
      </c>
      <c r="CU23" s="68">
        <f>CU120-CU24</f>
        <v>51426.599390389027</v>
      </c>
      <c r="CV23" s="68">
        <f>CV120-CV24</f>
        <v>51448.557138818709</v>
      </c>
      <c r="CW23" s="28">
        <f>CV23</f>
        <v>51448.557138818709</v>
      </c>
      <c r="CX23" s="68">
        <f>CX120-CX24</f>
        <v>51470.524262605148</v>
      </c>
      <c r="CY23" s="68">
        <f>CY120-CY24</f>
        <v>51492.500765751363</v>
      </c>
      <c r="CZ23" s="68">
        <f>CZ120-CZ24</f>
        <v>51514.486652262087</v>
      </c>
      <c r="DA23" s="68">
        <f>DA120-DA24</f>
        <v>51536.481926143759</v>
      </c>
      <c r="DB23" s="28">
        <f>DA23</f>
        <v>51536.481926143759</v>
      </c>
    </row>
    <row r="24" spans="1:106" ht="11.5" customHeight="1" x14ac:dyDescent="0.35">
      <c r="A24" s="185" t="s">
        <v>249</v>
      </c>
      <c r="B24" s="449"/>
      <c r="C24" s="449"/>
      <c r="D24" s="449"/>
      <c r="E24" s="449"/>
      <c r="F24" s="71">
        <f t="shared" ref="F24" si="175">E24</f>
        <v>0</v>
      </c>
      <c r="G24" s="449"/>
      <c r="H24" s="449"/>
      <c r="I24" s="449"/>
      <c r="J24" s="449"/>
      <c r="K24" s="71">
        <f t="shared" ref="K24" si="176">J24</f>
        <v>0</v>
      </c>
      <c r="L24" s="449"/>
      <c r="M24" s="449"/>
      <c r="N24" s="449"/>
      <c r="O24" s="449"/>
      <c r="P24" s="71">
        <f t="shared" ref="P24" si="177">O24</f>
        <v>0</v>
      </c>
      <c r="Q24" s="449"/>
      <c r="R24" s="449"/>
      <c r="S24" s="449"/>
      <c r="T24" s="449"/>
      <c r="U24" s="71">
        <f t="shared" ref="U24" si="178">T24</f>
        <v>0</v>
      </c>
      <c r="V24" s="449"/>
      <c r="W24" s="449"/>
      <c r="X24" s="449"/>
      <c r="Y24" s="449"/>
      <c r="Z24" s="71">
        <f t="shared" ref="Z24" si="179">Y24</f>
        <v>0</v>
      </c>
      <c r="AA24" s="449"/>
      <c r="AB24" s="449"/>
      <c r="AC24" s="449"/>
      <c r="AD24" s="449"/>
      <c r="AE24" s="71">
        <f t="shared" ref="AE24" si="180">AD24</f>
        <v>0</v>
      </c>
      <c r="AF24" s="449"/>
      <c r="AG24" s="449"/>
      <c r="AH24" s="449"/>
      <c r="AI24" s="449"/>
      <c r="AJ24" s="71">
        <f>AI24</f>
        <v>0</v>
      </c>
      <c r="AK24" s="449">
        <v>0</v>
      </c>
      <c r="AL24" s="449">
        <v>0</v>
      </c>
      <c r="AM24" s="449">
        <v>0</v>
      </c>
      <c r="AN24" s="449">
        <v>92</v>
      </c>
      <c r="AO24" s="71">
        <f>AN24</f>
        <v>92</v>
      </c>
      <c r="AP24" s="449">
        <v>0</v>
      </c>
      <c r="AQ24" s="449">
        <v>0</v>
      </c>
      <c r="AR24" s="449">
        <v>0</v>
      </c>
      <c r="AS24" s="449">
        <v>29</v>
      </c>
      <c r="AT24" s="71">
        <f>AS24</f>
        <v>29</v>
      </c>
      <c r="AU24" s="449">
        <v>0</v>
      </c>
      <c r="AV24" s="449">
        <v>0</v>
      </c>
      <c r="AW24" s="449">
        <v>0</v>
      </c>
      <c r="AX24" s="449">
        <v>0</v>
      </c>
      <c r="AY24" s="71">
        <f t="shared" ref="AY24" si="181">AX24</f>
        <v>0</v>
      </c>
      <c r="AZ24" s="449">
        <v>0</v>
      </c>
      <c r="BA24" s="449">
        <v>0</v>
      </c>
      <c r="BB24" s="449">
        <v>0</v>
      </c>
      <c r="BC24" s="449">
        <v>0</v>
      </c>
      <c r="BD24" s="71">
        <f t="shared" ref="BD24" si="182">BC24</f>
        <v>0</v>
      </c>
      <c r="BE24" s="449">
        <v>0</v>
      </c>
      <c r="BF24" s="449">
        <v>0</v>
      </c>
      <c r="BG24" s="449">
        <v>0</v>
      </c>
      <c r="BH24" s="449">
        <v>0</v>
      </c>
      <c r="BI24" s="71">
        <f t="shared" ref="BI24" si="183">BH24</f>
        <v>0</v>
      </c>
      <c r="BJ24" s="449">
        <v>0</v>
      </c>
      <c r="BK24" s="449">
        <v>0</v>
      </c>
      <c r="BL24" s="449">
        <v>0</v>
      </c>
      <c r="BM24" s="449">
        <v>0</v>
      </c>
      <c r="BN24" s="71">
        <f t="shared" ref="BN24" si="184">BM24</f>
        <v>0</v>
      </c>
      <c r="BO24" s="449">
        <v>0</v>
      </c>
      <c r="BP24" s="449">
        <v>0</v>
      </c>
      <c r="BQ24" s="449">
        <v>0</v>
      </c>
      <c r="BR24" s="449">
        <v>0</v>
      </c>
      <c r="BS24" s="71">
        <f t="shared" ref="BS24" si="185">BR24</f>
        <v>0</v>
      </c>
      <c r="BT24" s="449">
        <v>0</v>
      </c>
      <c r="BU24" s="449">
        <v>0</v>
      </c>
      <c r="BV24" s="449">
        <v>0</v>
      </c>
      <c r="BW24" s="449">
        <v>0</v>
      </c>
      <c r="BX24" s="71">
        <f t="shared" ref="BX24" si="186">BW24</f>
        <v>0</v>
      </c>
      <c r="BY24" s="449">
        <v>0</v>
      </c>
      <c r="BZ24" s="449">
        <v>0</v>
      </c>
      <c r="CA24" s="449">
        <v>0</v>
      </c>
      <c r="CB24" s="449">
        <v>0</v>
      </c>
      <c r="CC24" s="71">
        <f>CB24</f>
        <v>0</v>
      </c>
      <c r="CD24" s="449">
        <v>0</v>
      </c>
      <c r="CE24" s="449">
        <v>0</v>
      </c>
      <c r="CF24" s="88">
        <f>CE24</f>
        <v>0</v>
      </c>
      <c r="CG24" s="88">
        <f>CF24</f>
        <v>0</v>
      </c>
      <c r="CH24" s="71">
        <f>CG24</f>
        <v>0</v>
      </c>
      <c r="CI24" s="88">
        <f>CH24</f>
        <v>0</v>
      </c>
      <c r="CJ24" s="88">
        <f>CI24</f>
        <v>0</v>
      </c>
      <c r="CK24" s="88">
        <f>CJ24</f>
        <v>0</v>
      </c>
      <c r="CL24" s="88">
        <f>CK24</f>
        <v>0</v>
      </c>
      <c r="CM24" s="71">
        <f>CL24</f>
        <v>0</v>
      </c>
      <c r="CN24" s="88">
        <f>CM24</f>
        <v>0</v>
      </c>
      <c r="CO24" s="88">
        <f>CN24</f>
        <v>0</v>
      </c>
      <c r="CP24" s="88">
        <f>CO24</f>
        <v>0</v>
      </c>
      <c r="CQ24" s="88">
        <f>CP24</f>
        <v>0</v>
      </c>
      <c r="CR24" s="71">
        <f>CQ24</f>
        <v>0</v>
      </c>
      <c r="CS24" s="88">
        <f>CR24</f>
        <v>0</v>
      </c>
      <c r="CT24" s="88">
        <f>CS24</f>
        <v>0</v>
      </c>
      <c r="CU24" s="88">
        <f>CT24</f>
        <v>0</v>
      </c>
      <c r="CV24" s="88">
        <f>CU24</f>
        <v>0</v>
      </c>
      <c r="CW24" s="71">
        <f>CV24</f>
        <v>0</v>
      </c>
      <c r="CX24" s="88">
        <f>CW24</f>
        <v>0</v>
      </c>
      <c r="CY24" s="88">
        <f>CX24</f>
        <v>0</v>
      </c>
      <c r="CZ24" s="88">
        <f>CY24</f>
        <v>0</v>
      </c>
      <c r="DA24" s="88">
        <f>CZ24</f>
        <v>0</v>
      </c>
      <c r="DB24" s="71">
        <f>DA24</f>
        <v>0</v>
      </c>
    </row>
    <row r="25" spans="1:106" s="80" customFormat="1" ht="11.5" customHeight="1" thickBot="1" x14ac:dyDescent="0.4">
      <c r="A25" s="34"/>
      <c r="B25" s="43"/>
      <c r="C25" s="43"/>
      <c r="D25" s="43"/>
      <c r="E25" s="44"/>
      <c r="F25" s="42"/>
      <c r="G25" s="43"/>
      <c r="H25" s="43"/>
      <c r="I25" s="43"/>
      <c r="J25" s="44"/>
      <c r="K25" s="42"/>
      <c r="L25" s="43"/>
      <c r="M25" s="43"/>
      <c r="N25" s="43"/>
      <c r="O25" s="44"/>
      <c r="P25" s="42"/>
      <c r="Q25" s="43"/>
      <c r="R25" s="43"/>
      <c r="S25" s="43"/>
      <c r="T25" s="44"/>
      <c r="U25" s="42"/>
      <c r="V25" s="43"/>
      <c r="W25" s="43"/>
      <c r="X25" s="43"/>
      <c r="Y25" s="44"/>
      <c r="Z25" s="42"/>
      <c r="AA25" s="43"/>
      <c r="AB25" s="43"/>
      <c r="AC25" s="43"/>
      <c r="AD25" s="44"/>
      <c r="AE25" s="42"/>
      <c r="AF25" s="43"/>
      <c r="AG25" s="43"/>
      <c r="AH25" s="43"/>
      <c r="AI25" s="44"/>
      <c r="AJ25" s="42"/>
      <c r="AK25" s="43"/>
      <c r="AL25" s="43"/>
      <c r="AM25" s="43"/>
      <c r="AN25" s="44"/>
      <c r="AO25" s="42"/>
      <c r="AP25" s="43"/>
      <c r="AQ25" s="43"/>
      <c r="AR25" s="43"/>
      <c r="AS25" s="44"/>
      <c r="AT25" s="42"/>
      <c r="AU25" s="43"/>
      <c r="AV25" s="43"/>
      <c r="AW25" s="43"/>
      <c r="AX25" s="44"/>
      <c r="AY25" s="42"/>
      <c r="AZ25" s="43"/>
      <c r="BA25" s="43"/>
      <c r="BB25" s="43"/>
      <c r="BC25" s="44"/>
      <c r="BD25" s="42"/>
      <c r="BE25" s="43"/>
      <c r="BF25" s="43"/>
      <c r="BG25" s="43"/>
      <c r="BH25" s="44"/>
      <c r="BI25" s="42"/>
      <c r="BJ25" s="43"/>
      <c r="BK25" s="43"/>
      <c r="BL25" s="43"/>
      <c r="BM25" s="44"/>
      <c r="BN25" s="42"/>
      <c r="BO25" s="43"/>
      <c r="BP25" s="43"/>
      <c r="BQ25" s="43"/>
      <c r="BR25" s="44"/>
      <c r="BS25" s="42"/>
      <c r="BT25" s="43"/>
      <c r="BU25" s="43"/>
      <c r="BV25" s="43"/>
      <c r="BW25" s="44"/>
      <c r="BX25" s="42"/>
      <c r="BY25" s="43"/>
      <c r="BZ25" s="43"/>
      <c r="CA25" s="35"/>
      <c r="CB25" s="35"/>
      <c r="CC25" s="36"/>
      <c r="CD25" s="35"/>
      <c r="CE25" s="35"/>
      <c r="CF25" s="35"/>
      <c r="CG25" s="35"/>
      <c r="CH25" s="36"/>
      <c r="CI25" s="35"/>
      <c r="CJ25" s="35"/>
      <c r="CK25" s="35"/>
      <c r="CL25" s="35"/>
      <c r="CM25" s="36"/>
      <c r="CN25" s="35"/>
      <c r="CO25" s="35"/>
      <c r="CP25" s="35"/>
      <c r="CQ25" s="35"/>
      <c r="CR25" s="36"/>
      <c r="CS25" s="35"/>
      <c r="CT25" s="35"/>
      <c r="CU25" s="35"/>
      <c r="CV25" s="35"/>
      <c r="CW25" s="36"/>
      <c r="CX25" s="35"/>
      <c r="CY25" s="35"/>
      <c r="CZ25" s="35"/>
      <c r="DA25" s="35"/>
      <c r="DB25" s="36"/>
    </row>
    <row r="26" spans="1:106" ht="11.5" customHeight="1" x14ac:dyDescent="0.35">
      <c r="A26" s="31" t="s">
        <v>184</v>
      </c>
      <c r="B26" s="81">
        <f t="shared" ref="B26:AE26" si="187">B27+B42+B43</f>
        <v>0</v>
      </c>
      <c r="C26" s="81">
        <f t="shared" si="187"/>
        <v>0</v>
      </c>
      <c r="D26" s="81">
        <f t="shared" si="187"/>
        <v>0</v>
      </c>
      <c r="E26" s="81">
        <f t="shared" si="187"/>
        <v>0</v>
      </c>
      <c r="F26" s="82">
        <f t="shared" si="187"/>
        <v>0</v>
      </c>
      <c r="G26" s="81">
        <f t="shared" si="187"/>
        <v>0</v>
      </c>
      <c r="H26" s="81">
        <f t="shared" si="187"/>
        <v>0</v>
      </c>
      <c r="I26" s="81">
        <f t="shared" si="187"/>
        <v>0</v>
      </c>
      <c r="J26" s="81">
        <f t="shared" si="187"/>
        <v>0</v>
      </c>
      <c r="K26" s="82">
        <f t="shared" si="187"/>
        <v>0</v>
      </c>
      <c r="L26" s="81">
        <f t="shared" si="187"/>
        <v>0</v>
      </c>
      <c r="M26" s="81">
        <f t="shared" si="187"/>
        <v>0</v>
      </c>
      <c r="N26" s="81">
        <f t="shared" si="187"/>
        <v>0</v>
      </c>
      <c r="O26" s="81">
        <f t="shared" si="187"/>
        <v>0</v>
      </c>
      <c r="P26" s="82">
        <f t="shared" si="187"/>
        <v>0</v>
      </c>
      <c r="Q26" s="81">
        <f t="shared" si="187"/>
        <v>0</v>
      </c>
      <c r="R26" s="81">
        <f t="shared" si="187"/>
        <v>0</v>
      </c>
      <c r="S26" s="81">
        <f t="shared" si="187"/>
        <v>0</v>
      </c>
      <c r="T26" s="81">
        <f t="shared" si="187"/>
        <v>0</v>
      </c>
      <c r="U26" s="82">
        <f t="shared" si="187"/>
        <v>0</v>
      </c>
      <c r="V26" s="81">
        <f t="shared" si="187"/>
        <v>0</v>
      </c>
      <c r="W26" s="81">
        <f t="shared" si="187"/>
        <v>0</v>
      </c>
      <c r="X26" s="81">
        <f t="shared" si="187"/>
        <v>0</v>
      </c>
      <c r="Y26" s="81">
        <f t="shared" si="187"/>
        <v>0</v>
      </c>
      <c r="Z26" s="82">
        <f t="shared" si="187"/>
        <v>0</v>
      </c>
      <c r="AA26" s="81">
        <f t="shared" si="187"/>
        <v>0</v>
      </c>
      <c r="AB26" s="81">
        <f t="shared" si="187"/>
        <v>0</v>
      </c>
      <c r="AC26" s="81">
        <f t="shared" si="187"/>
        <v>0</v>
      </c>
      <c r="AD26" s="81">
        <f t="shared" si="187"/>
        <v>0</v>
      </c>
      <c r="AE26" s="82">
        <f t="shared" si="187"/>
        <v>0</v>
      </c>
      <c r="AF26" s="81">
        <f t="shared" ref="AF26:AG26" si="188">AF27+AF42+AF43</f>
        <v>0</v>
      </c>
      <c r="AG26" s="81">
        <f t="shared" si="188"/>
        <v>0</v>
      </c>
      <c r="AH26" s="81">
        <f t="shared" ref="AH26:BM26" si="189">AH27+AH42+AH43</f>
        <v>0</v>
      </c>
      <c r="AI26" s="81">
        <f t="shared" si="189"/>
        <v>0</v>
      </c>
      <c r="AJ26" s="82">
        <f t="shared" si="189"/>
        <v>0</v>
      </c>
      <c r="AK26" s="81">
        <f t="shared" si="189"/>
        <v>1231208</v>
      </c>
      <c r="AL26" s="81">
        <f t="shared" si="189"/>
        <v>1230019</v>
      </c>
      <c r="AM26" s="81">
        <f t="shared" si="189"/>
        <v>1319657</v>
      </c>
      <c r="AN26" s="81">
        <f t="shared" si="189"/>
        <v>1275696</v>
      </c>
      <c r="AO26" s="82">
        <f t="shared" si="189"/>
        <v>1275696</v>
      </c>
      <c r="AP26" s="81">
        <f t="shared" si="189"/>
        <v>1132620</v>
      </c>
      <c r="AQ26" s="81">
        <f t="shared" si="189"/>
        <v>1185382</v>
      </c>
      <c r="AR26" s="81">
        <f t="shared" si="189"/>
        <v>1317701</v>
      </c>
      <c r="AS26" s="81">
        <f t="shared" si="189"/>
        <v>1129517</v>
      </c>
      <c r="AT26" s="82">
        <f t="shared" si="189"/>
        <v>1129517</v>
      </c>
      <c r="AU26" s="81">
        <f t="shared" si="189"/>
        <v>1081107</v>
      </c>
      <c r="AV26" s="81">
        <f t="shared" si="189"/>
        <v>1166781</v>
      </c>
      <c r="AW26" s="81">
        <f t="shared" si="189"/>
        <v>1323816</v>
      </c>
      <c r="AX26" s="81">
        <f t="shared" si="189"/>
        <v>1287998</v>
      </c>
      <c r="AY26" s="82">
        <f t="shared" si="189"/>
        <v>1287998</v>
      </c>
      <c r="AZ26" s="81">
        <f t="shared" si="189"/>
        <v>1263875</v>
      </c>
      <c r="BA26" s="81">
        <f t="shared" si="189"/>
        <v>1430167</v>
      </c>
      <c r="BB26" s="81">
        <f t="shared" si="189"/>
        <v>1795232</v>
      </c>
      <c r="BC26" s="81">
        <f t="shared" si="189"/>
        <v>1644712</v>
      </c>
      <c r="BD26" s="82">
        <f t="shared" si="189"/>
        <v>1644712</v>
      </c>
      <c r="BE26" s="81">
        <f t="shared" si="189"/>
        <v>1918297</v>
      </c>
      <c r="BF26" s="81">
        <f t="shared" si="189"/>
        <v>2032570</v>
      </c>
      <c r="BG26" s="81">
        <f t="shared" si="189"/>
        <v>2177211</v>
      </c>
      <c r="BH26" s="81">
        <f t="shared" si="189"/>
        <v>2597922</v>
      </c>
      <c r="BI26" s="82">
        <f t="shared" si="189"/>
        <v>2597922</v>
      </c>
      <c r="BJ26" s="81">
        <f t="shared" si="189"/>
        <v>2933909</v>
      </c>
      <c r="BK26" s="81">
        <f t="shared" si="189"/>
        <v>2917631</v>
      </c>
      <c r="BL26" s="81">
        <f t="shared" si="189"/>
        <v>2784853</v>
      </c>
      <c r="BM26" s="81">
        <f t="shared" si="189"/>
        <v>2798431</v>
      </c>
      <c r="BN26" s="82">
        <f t="shared" ref="BN26:CS26" si="190">BN27+BN42+BN43</f>
        <v>2798431</v>
      </c>
      <c r="BO26" s="81">
        <f t="shared" si="190"/>
        <v>2733836</v>
      </c>
      <c r="BP26" s="81">
        <f t="shared" si="190"/>
        <v>2836650</v>
      </c>
      <c r="BQ26" s="81">
        <f t="shared" si="190"/>
        <v>3150612</v>
      </c>
      <c r="BR26" s="81">
        <f t="shared" si="190"/>
        <v>3092023</v>
      </c>
      <c r="BS26" s="82">
        <f t="shared" si="190"/>
        <v>3092023</v>
      </c>
      <c r="BT26" s="81">
        <f t="shared" si="190"/>
        <v>3412477</v>
      </c>
      <c r="BU26" s="81">
        <f t="shared" si="190"/>
        <v>3983671</v>
      </c>
      <c r="BV26" s="81">
        <f t="shared" si="190"/>
        <v>3957292</v>
      </c>
      <c r="BW26" s="81">
        <f t="shared" si="190"/>
        <v>4339295</v>
      </c>
      <c r="BX26" s="82">
        <f t="shared" si="190"/>
        <v>4339295</v>
      </c>
      <c r="BY26" s="81">
        <f t="shared" si="190"/>
        <v>4870968</v>
      </c>
      <c r="BZ26" s="81">
        <f t="shared" ref="BZ26:CB26" si="191">BZ27+BZ42+BZ43</f>
        <v>5183964</v>
      </c>
      <c r="CA26" s="81">
        <f t="shared" si="191"/>
        <v>5631997</v>
      </c>
      <c r="CB26" s="81">
        <f t="shared" si="191"/>
        <v>5654395</v>
      </c>
      <c r="CC26" s="82">
        <f t="shared" si="190"/>
        <v>5654395</v>
      </c>
      <c r="CD26" s="81">
        <f t="shared" ref="CD26:CE26" si="192">CD27+CD42+CD43</f>
        <v>6195487</v>
      </c>
      <c r="CE26" s="81">
        <f t="shared" si="192"/>
        <v>6278509</v>
      </c>
      <c r="CF26" s="81">
        <f t="shared" ca="1" si="190"/>
        <v>6451817.7563823825</v>
      </c>
      <c r="CG26" s="81">
        <f t="shared" ca="1" si="190"/>
        <v>6621223.4296761611</v>
      </c>
      <c r="CH26" s="82">
        <f t="shared" ca="1" si="190"/>
        <v>6621223.4296761611</v>
      </c>
      <c r="CI26" s="81">
        <f t="shared" ca="1" si="190"/>
        <v>7326758.1146995109</v>
      </c>
      <c r="CJ26" s="81">
        <f t="shared" ca="1" si="190"/>
        <v>7411807.9238429563</v>
      </c>
      <c r="CK26" s="81">
        <f t="shared" ca="1" si="190"/>
        <v>7549007.6453389954</v>
      </c>
      <c r="CL26" s="81">
        <f t="shared" ca="1" si="190"/>
        <v>7665009.6835873257</v>
      </c>
      <c r="CM26" s="82">
        <f t="shared" ca="1" si="190"/>
        <v>7665009.6835873257</v>
      </c>
      <c r="CN26" s="81">
        <f t="shared" ca="1" si="190"/>
        <v>8445690.349918332</v>
      </c>
      <c r="CO26" s="81">
        <f t="shared" ca="1" si="190"/>
        <v>8248366.6575124841</v>
      </c>
      <c r="CP26" s="81">
        <f t="shared" ca="1" si="190"/>
        <v>8258996.2785039758</v>
      </c>
      <c r="CQ26" s="81">
        <f t="shared" ca="1" si="190"/>
        <v>8319314.5984257348</v>
      </c>
      <c r="CR26" s="82">
        <f t="shared" ca="1" si="190"/>
        <v>8319314.5984257348</v>
      </c>
      <c r="CS26" s="81">
        <f t="shared" ca="1" si="190"/>
        <v>9100719.2221804932</v>
      </c>
      <c r="CT26" s="81">
        <f t="shared" ref="CT26:DB26" ca="1" si="193">CT27+CT42+CT43</f>
        <v>8829800.472511448</v>
      </c>
      <c r="CU26" s="81">
        <f t="shared" ca="1" si="193"/>
        <v>8820674.489408901</v>
      </c>
      <c r="CV26" s="81">
        <f t="shared" ca="1" si="193"/>
        <v>8849821.3203513455</v>
      </c>
      <c r="CW26" s="82">
        <f t="shared" ca="1" si="193"/>
        <v>8849821.3203513455</v>
      </c>
      <c r="CX26" s="81">
        <f t="shared" ca="1" si="193"/>
        <v>9644684.6720118448</v>
      </c>
      <c r="CY26" s="81">
        <f t="shared" ca="1" si="193"/>
        <v>9301477.9010846969</v>
      </c>
      <c r="CZ26" s="81">
        <f t="shared" ca="1" si="193"/>
        <v>9200963.9512806181</v>
      </c>
      <c r="DA26" s="81">
        <f t="shared" ca="1" si="193"/>
        <v>9118805.0988378003</v>
      </c>
      <c r="DB26" s="82">
        <f t="shared" ca="1" si="193"/>
        <v>9118805.0988378003</v>
      </c>
    </row>
    <row r="27" spans="1:106" ht="11.5" customHeight="1" x14ac:dyDescent="0.35">
      <c r="A27" s="31" t="s">
        <v>15</v>
      </c>
      <c r="B27" s="81">
        <f t="shared" ref="B27:C27" si="194">B28+SUM(B31:B41)</f>
        <v>0</v>
      </c>
      <c r="C27" s="81">
        <f t="shared" si="194"/>
        <v>0</v>
      </c>
      <c r="D27" s="81">
        <f t="shared" ref="D27:F27" si="195">D28+SUM(D31:D41)</f>
        <v>0</v>
      </c>
      <c r="E27" s="81">
        <f t="shared" si="195"/>
        <v>0</v>
      </c>
      <c r="F27" s="82">
        <f t="shared" si="195"/>
        <v>0</v>
      </c>
      <c r="G27" s="81">
        <f t="shared" ref="G27:H27" si="196">G28+SUM(G31:G41)</f>
        <v>0</v>
      </c>
      <c r="H27" s="81">
        <f t="shared" si="196"/>
        <v>0</v>
      </c>
      <c r="I27" s="81">
        <f t="shared" ref="I27:K27" si="197">I28+SUM(I31:I41)</f>
        <v>0</v>
      </c>
      <c r="J27" s="81">
        <f t="shared" si="197"/>
        <v>0</v>
      </c>
      <c r="K27" s="82">
        <f t="shared" si="197"/>
        <v>0</v>
      </c>
      <c r="L27" s="81">
        <f t="shared" ref="L27:M27" si="198">L28+SUM(L31:L41)</f>
        <v>0</v>
      </c>
      <c r="M27" s="81">
        <f t="shared" si="198"/>
        <v>0</v>
      </c>
      <c r="N27" s="81">
        <f t="shared" ref="N27:P27" si="199">N28+SUM(N31:N41)</f>
        <v>0</v>
      </c>
      <c r="O27" s="81">
        <f t="shared" si="199"/>
        <v>0</v>
      </c>
      <c r="P27" s="82">
        <f t="shared" si="199"/>
        <v>0</v>
      </c>
      <c r="Q27" s="81">
        <f t="shared" ref="Q27:R27" si="200">Q28+SUM(Q31:Q41)</f>
        <v>0</v>
      </c>
      <c r="R27" s="81">
        <f t="shared" si="200"/>
        <v>0</v>
      </c>
      <c r="S27" s="81">
        <f t="shared" ref="S27:U27" si="201">S28+SUM(S31:S41)</f>
        <v>0</v>
      </c>
      <c r="T27" s="81">
        <f t="shared" si="201"/>
        <v>0</v>
      </c>
      <c r="U27" s="82">
        <f t="shared" si="201"/>
        <v>0</v>
      </c>
      <c r="V27" s="81">
        <f t="shared" ref="V27:W27" si="202">V28+SUM(V31:V41)</f>
        <v>0</v>
      </c>
      <c r="W27" s="81">
        <f t="shared" si="202"/>
        <v>0</v>
      </c>
      <c r="X27" s="81">
        <f t="shared" ref="X27:Z27" si="203">X28+SUM(X31:X41)</f>
        <v>0</v>
      </c>
      <c r="Y27" s="81">
        <f t="shared" si="203"/>
        <v>0</v>
      </c>
      <c r="Z27" s="82">
        <f t="shared" si="203"/>
        <v>0</v>
      </c>
      <c r="AA27" s="81">
        <f t="shared" ref="AA27:AB27" si="204">AA28+SUM(AA31:AA41)</f>
        <v>0</v>
      </c>
      <c r="AB27" s="81">
        <f t="shared" si="204"/>
        <v>0</v>
      </c>
      <c r="AC27" s="81">
        <f t="shared" ref="AC27:AE27" si="205">AC28+SUM(AC31:AC41)</f>
        <v>0</v>
      </c>
      <c r="AD27" s="81">
        <f t="shared" si="205"/>
        <v>0</v>
      </c>
      <c r="AE27" s="82">
        <f t="shared" si="205"/>
        <v>0</v>
      </c>
      <c r="AF27" s="81">
        <f t="shared" ref="AF27:AG27" si="206">AF28+SUM(AF31:AF41)</f>
        <v>0</v>
      </c>
      <c r="AG27" s="81">
        <f t="shared" si="206"/>
        <v>0</v>
      </c>
      <c r="AH27" s="81">
        <f t="shared" ref="AH27:BM27" si="207">AH28+SUM(AH31:AH41)</f>
        <v>0</v>
      </c>
      <c r="AI27" s="81">
        <f t="shared" si="207"/>
        <v>0</v>
      </c>
      <c r="AJ27" s="82">
        <f t="shared" si="207"/>
        <v>0</v>
      </c>
      <c r="AK27" s="81">
        <f t="shared" si="207"/>
        <v>849239</v>
      </c>
      <c r="AL27" s="81">
        <f t="shared" si="207"/>
        <v>831101</v>
      </c>
      <c r="AM27" s="81">
        <f t="shared" si="207"/>
        <v>876227</v>
      </c>
      <c r="AN27" s="81">
        <f t="shared" si="207"/>
        <v>938997</v>
      </c>
      <c r="AO27" s="82">
        <f t="shared" si="207"/>
        <v>938997</v>
      </c>
      <c r="AP27" s="81">
        <f t="shared" si="207"/>
        <v>751929</v>
      </c>
      <c r="AQ27" s="81">
        <f t="shared" si="207"/>
        <v>765156</v>
      </c>
      <c r="AR27" s="81">
        <f t="shared" si="207"/>
        <v>875832</v>
      </c>
      <c r="AS27" s="81">
        <f t="shared" si="207"/>
        <v>782870</v>
      </c>
      <c r="AT27" s="82">
        <f t="shared" si="207"/>
        <v>782870</v>
      </c>
      <c r="AU27" s="81">
        <f t="shared" si="207"/>
        <v>719903</v>
      </c>
      <c r="AV27" s="81">
        <f t="shared" si="207"/>
        <v>731847</v>
      </c>
      <c r="AW27" s="81">
        <f t="shared" si="207"/>
        <v>849143</v>
      </c>
      <c r="AX27" s="81">
        <f t="shared" si="207"/>
        <v>924201</v>
      </c>
      <c r="AY27" s="82">
        <f t="shared" si="207"/>
        <v>924201</v>
      </c>
      <c r="AZ27" s="81">
        <f t="shared" si="207"/>
        <v>888251</v>
      </c>
      <c r="BA27" s="81">
        <f t="shared" si="207"/>
        <v>1010396</v>
      </c>
      <c r="BB27" s="81">
        <f t="shared" si="207"/>
        <v>1164609</v>
      </c>
      <c r="BC27" s="81">
        <f t="shared" si="207"/>
        <v>1002325</v>
      </c>
      <c r="BD27" s="82">
        <f t="shared" si="207"/>
        <v>1002325</v>
      </c>
      <c r="BE27" s="81">
        <f t="shared" si="207"/>
        <v>1224582</v>
      </c>
      <c r="BF27" s="81">
        <f t="shared" si="207"/>
        <v>1341185</v>
      </c>
      <c r="BG27" s="81">
        <f t="shared" si="207"/>
        <v>1420019</v>
      </c>
      <c r="BH27" s="81">
        <f t="shared" si="207"/>
        <v>1859594</v>
      </c>
      <c r="BI27" s="82">
        <f t="shared" si="207"/>
        <v>1859594</v>
      </c>
      <c r="BJ27" s="81">
        <f t="shared" si="207"/>
        <v>2141767</v>
      </c>
      <c r="BK27" s="81">
        <f t="shared" si="207"/>
        <v>2121385</v>
      </c>
      <c r="BL27" s="81">
        <f t="shared" si="207"/>
        <v>1912520</v>
      </c>
      <c r="BM27" s="81">
        <f t="shared" si="207"/>
        <v>1920683</v>
      </c>
      <c r="BN27" s="82">
        <f t="shared" ref="BN27:CS27" si="208">BN28+SUM(BN31:BN41)</f>
        <v>1920683</v>
      </c>
      <c r="BO27" s="81">
        <f t="shared" si="208"/>
        <v>1764183</v>
      </c>
      <c r="BP27" s="81">
        <f t="shared" si="208"/>
        <v>1734163</v>
      </c>
      <c r="BQ27" s="81">
        <f t="shared" si="208"/>
        <v>2094448</v>
      </c>
      <c r="BR27" s="81">
        <f t="shared" si="208"/>
        <v>2095043</v>
      </c>
      <c r="BS27" s="82">
        <f t="shared" si="208"/>
        <v>2095043</v>
      </c>
      <c r="BT27" s="81">
        <f t="shared" si="208"/>
        <v>2254035</v>
      </c>
      <c r="BU27" s="81">
        <f t="shared" si="208"/>
        <v>2930701</v>
      </c>
      <c r="BV27" s="81">
        <f t="shared" si="208"/>
        <v>2723972</v>
      </c>
      <c r="BW27" s="81">
        <f t="shared" si="208"/>
        <v>3029756</v>
      </c>
      <c r="BX27" s="82">
        <f t="shared" si="208"/>
        <v>3029756</v>
      </c>
      <c r="BY27" s="81">
        <f t="shared" si="208"/>
        <v>3509484</v>
      </c>
      <c r="BZ27" s="81">
        <f t="shared" ref="BZ27:CB27" si="209">BZ28+SUM(BZ31:BZ41)</f>
        <v>3605670</v>
      </c>
      <c r="CA27" s="81">
        <f t="shared" si="209"/>
        <v>3989868</v>
      </c>
      <c r="CB27" s="81">
        <f t="shared" si="209"/>
        <v>3992341</v>
      </c>
      <c r="CC27" s="82">
        <f t="shared" si="208"/>
        <v>3992341</v>
      </c>
      <c r="CD27" s="81">
        <f t="shared" ref="CD27:CE27" si="210">CD28+SUM(CD31:CD41)</f>
        <v>4303517</v>
      </c>
      <c r="CE27" s="81">
        <f t="shared" si="210"/>
        <v>4229668</v>
      </c>
      <c r="CF27" s="81">
        <f t="shared" si="208"/>
        <v>4282530.60005836</v>
      </c>
      <c r="CG27" s="81">
        <f t="shared" si="208"/>
        <v>4324916.4068285357</v>
      </c>
      <c r="CH27" s="82">
        <f t="shared" si="208"/>
        <v>4324916.4068285357</v>
      </c>
      <c r="CI27" s="81">
        <f t="shared" ca="1" si="208"/>
        <v>4908602.5103212325</v>
      </c>
      <c r="CJ27" s="81">
        <f t="shared" si="208"/>
        <v>4856677.845012431</v>
      </c>
      <c r="CK27" s="81">
        <f t="shared" si="208"/>
        <v>4856063.1944815964</v>
      </c>
      <c r="CL27" s="81">
        <f t="shared" si="208"/>
        <v>4873341.4828482298</v>
      </c>
      <c r="CM27" s="82">
        <f t="shared" si="208"/>
        <v>4873341.4828482298</v>
      </c>
      <c r="CN27" s="81">
        <f t="shared" ca="1" si="208"/>
        <v>5537385.836311996</v>
      </c>
      <c r="CO27" s="81">
        <f t="shared" si="208"/>
        <v>5296925.6206814367</v>
      </c>
      <c r="CP27" s="81">
        <f t="shared" si="208"/>
        <v>5241729.4964023307</v>
      </c>
      <c r="CQ27" s="81">
        <f t="shared" si="208"/>
        <v>5247143.763687606</v>
      </c>
      <c r="CR27" s="82">
        <f t="shared" si="208"/>
        <v>5247143.763687606</v>
      </c>
      <c r="CS27" s="81">
        <f t="shared" ca="1" si="208"/>
        <v>5936075.5032539675</v>
      </c>
      <c r="CT27" s="81">
        <f t="shared" ref="CT27:DB27" si="211">CT28+SUM(CT31:CT41)</f>
        <v>5627843.0793971289</v>
      </c>
      <c r="CU27" s="81">
        <f t="shared" si="211"/>
        <v>5556297.2736765491</v>
      </c>
      <c r="CV27" s="81">
        <f t="shared" si="211"/>
        <v>5534585.2897073086</v>
      </c>
      <c r="CW27" s="82">
        <f t="shared" si="211"/>
        <v>5534585.2897073086</v>
      </c>
      <c r="CX27" s="81">
        <f t="shared" ca="1" si="211"/>
        <v>6227733.9092556126</v>
      </c>
      <c r="CY27" s="81">
        <f t="shared" si="211"/>
        <v>5851137.0122453859</v>
      </c>
      <c r="CZ27" s="81">
        <f t="shared" si="211"/>
        <v>5693227.3396429913</v>
      </c>
      <c r="DA27" s="81">
        <f t="shared" si="211"/>
        <v>5566770.8820637176</v>
      </c>
      <c r="DB27" s="82">
        <f t="shared" si="211"/>
        <v>5566770.8820637176</v>
      </c>
    </row>
    <row r="28" spans="1:106" ht="11.5" customHeight="1" x14ac:dyDescent="0.35">
      <c r="A28" s="16" t="s">
        <v>167</v>
      </c>
      <c r="B28" s="115">
        <f t="shared" ref="B28:C28" si="212">SUM(B29:B30)</f>
        <v>0</v>
      </c>
      <c r="C28" s="115">
        <f t="shared" si="212"/>
        <v>0</v>
      </c>
      <c r="D28" s="115">
        <f t="shared" ref="D28:F28" si="213">SUM(D29:D30)</f>
        <v>0</v>
      </c>
      <c r="E28" s="115">
        <f t="shared" si="213"/>
        <v>0</v>
      </c>
      <c r="F28" s="38">
        <f t="shared" si="213"/>
        <v>0</v>
      </c>
      <c r="G28" s="115">
        <f t="shared" ref="G28:H28" si="214">SUM(G29:G30)</f>
        <v>0</v>
      </c>
      <c r="H28" s="115">
        <f t="shared" si="214"/>
        <v>0</v>
      </c>
      <c r="I28" s="115">
        <f t="shared" ref="I28:K28" si="215">SUM(I29:I30)</f>
        <v>0</v>
      </c>
      <c r="J28" s="115">
        <f t="shared" si="215"/>
        <v>0</v>
      </c>
      <c r="K28" s="38">
        <f t="shared" si="215"/>
        <v>0</v>
      </c>
      <c r="L28" s="115">
        <f t="shared" ref="L28:M28" si="216">SUM(L29:L30)</f>
        <v>0</v>
      </c>
      <c r="M28" s="115">
        <f t="shared" si="216"/>
        <v>0</v>
      </c>
      <c r="N28" s="115">
        <f t="shared" ref="N28:P28" si="217">SUM(N29:N30)</f>
        <v>0</v>
      </c>
      <c r="O28" s="115">
        <f t="shared" si="217"/>
        <v>0</v>
      </c>
      <c r="P28" s="38">
        <f t="shared" si="217"/>
        <v>0</v>
      </c>
      <c r="Q28" s="115">
        <f t="shared" ref="Q28:R28" si="218">SUM(Q29:Q30)</f>
        <v>0</v>
      </c>
      <c r="R28" s="115">
        <f t="shared" si="218"/>
        <v>0</v>
      </c>
      <c r="S28" s="115">
        <f t="shared" ref="S28:U28" si="219">SUM(S29:S30)</f>
        <v>0</v>
      </c>
      <c r="T28" s="115">
        <f t="shared" si="219"/>
        <v>0</v>
      </c>
      <c r="U28" s="38">
        <f t="shared" si="219"/>
        <v>0</v>
      </c>
      <c r="V28" s="115">
        <f t="shared" ref="V28:W28" si="220">SUM(V29:V30)</f>
        <v>0</v>
      </c>
      <c r="W28" s="115">
        <f t="shared" si="220"/>
        <v>0</v>
      </c>
      <c r="X28" s="115">
        <f t="shared" ref="X28:Z28" si="221">SUM(X29:X30)</f>
        <v>0</v>
      </c>
      <c r="Y28" s="115">
        <f t="shared" si="221"/>
        <v>0</v>
      </c>
      <c r="Z28" s="38">
        <f t="shared" si="221"/>
        <v>0</v>
      </c>
      <c r="AA28" s="115">
        <f t="shared" ref="AA28:AB28" si="222">SUM(AA29:AA30)</f>
        <v>0</v>
      </c>
      <c r="AB28" s="115">
        <f t="shared" si="222"/>
        <v>0</v>
      </c>
      <c r="AC28" s="115">
        <f t="shared" ref="AC28:AE28" si="223">SUM(AC29:AC30)</f>
        <v>0</v>
      </c>
      <c r="AD28" s="115">
        <f t="shared" si="223"/>
        <v>0</v>
      </c>
      <c r="AE28" s="38">
        <f t="shared" si="223"/>
        <v>0</v>
      </c>
      <c r="AF28" s="115">
        <f t="shared" ref="AF28:AG28" si="224">SUM(AF29:AF30)</f>
        <v>0</v>
      </c>
      <c r="AG28" s="115">
        <f t="shared" si="224"/>
        <v>0</v>
      </c>
      <c r="AH28" s="115">
        <f t="shared" ref="AH28:BM28" si="225">SUM(AH29:AH30)</f>
        <v>0</v>
      </c>
      <c r="AI28" s="115">
        <f t="shared" si="225"/>
        <v>0</v>
      </c>
      <c r="AJ28" s="38">
        <f t="shared" si="225"/>
        <v>0</v>
      </c>
      <c r="AK28" s="115">
        <f t="shared" si="225"/>
        <v>196123</v>
      </c>
      <c r="AL28" s="115">
        <f t="shared" si="225"/>
        <v>189265</v>
      </c>
      <c r="AM28" s="115">
        <f t="shared" si="225"/>
        <v>187638</v>
      </c>
      <c r="AN28" s="115">
        <f t="shared" si="225"/>
        <v>187563</v>
      </c>
      <c r="AO28" s="38">
        <f t="shared" si="225"/>
        <v>187563</v>
      </c>
      <c r="AP28" s="115">
        <f t="shared" si="225"/>
        <v>152520</v>
      </c>
      <c r="AQ28" s="115">
        <f t="shared" si="225"/>
        <v>128558</v>
      </c>
      <c r="AR28" s="115">
        <f t="shared" si="225"/>
        <v>221107</v>
      </c>
      <c r="AS28" s="115">
        <f t="shared" si="225"/>
        <v>217596</v>
      </c>
      <c r="AT28" s="38">
        <f t="shared" si="225"/>
        <v>217596</v>
      </c>
      <c r="AU28" s="115">
        <f t="shared" si="225"/>
        <v>216989</v>
      </c>
      <c r="AV28" s="115">
        <f t="shared" si="225"/>
        <v>222206</v>
      </c>
      <c r="AW28" s="115">
        <f t="shared" si="225"/>
        <v>208339</v>
      </c>
      <c r="AX28" s="115">
        <f t="shared" si="225"/>
        <v>286966</v>
      </c>
      <c r="AY28" s="38">
        <f t="shared" si="225"/>
        <v>286966</v>
      </c>
      <c r="AZ28" s="115">
        <f t="shared" si="225"/>
        <v>295331</v>
      </c>
      <c r="BA28" s="115">
        <f t="shared" si="225"/>
        <v>335796</v>
      </c>
      <c r="BB28" s="115">
        <f t="shared" si="225"/>
        <v>306192</v>
      </c>
      <c r="BC28" s="115">
        <f t="shared" si="225"/>
        <v>276703</v>
      </c>
      <c r="BD28" s="38">
        <f t="shared" si="225"/>
        <v>276703</v>
      </c>
      <c r="BE28" s="115">
        <f t="shared" si="225"/>
        <v>280789</v>
      </c>
      <c r="BF28" s="115">
        <f t="shared" si="225"/>
        <v>270295</v>
      </c>
      <c r="BG28" s="115">
        <f t="shared" si="225"/>
        <v>390224</v>
      </c>
      <c r="BH28" s="115">
        <f t="shared" si="225"/>
        <v>391228</v>
      </c>
      <c r="BI28" s="38">
        <f t="shared" si="225"/>
        <v>391228</v>
      </c>
      <c r="BJ28" s="115">
        <f t="shared" si="225"/>
        <v>390862</v>
      </c>
      <c r="BK28" s="115">
        <f t="shared" si="225"/>
        <v>398972</v>
      </c>
      <c r="BL28" s="115">
        <f t="shared" si="225"/>
        <v>456021</v>
      </c>
      <c r="BM28" s="115">
        <f t="shared" si="225"/>
        <v>480988</v>
      </c>
      <c r="BN28" s="38">
        <f t="shared" ref="BN28:CS28" si="226">SUM(BN29:BN30)</f>
        <v>480988</v>
      </c>
      <c r="BO28" s="115">
        <f t="shared" si="226"/>
        <v>474517</v>
      </c>
      <c r="BP28" s="115">
        <f t="shared" si="226"/>
        <v>499607</v>
      </c>
      <c r="BQ28" s="115">
        <f t="shared" si="226"/>
        <v>645719</v>
      </c>
      <c r="BR28" s="115">
        <f t="shared" si="226"/>
        <v>613352</v>
      </c>
      <c r="BS28" s="38">
        <f t="shared" si="226"/>
        <v>613352</v>
      </c>
      <c r="BT28" s="115">
        <f t="shared" si="226"/>
        <v>601890</v>
      </c>
      <c r="BU28" s="115">
        <f t="shared" si="226"/>
        <v>1080738</v>
      </c>
      <c r="BV28" s="115">
        <f t="shared" si="226"/>
        <v>1102525</v>
      </c>
      <c r="BW28" s="115">
        <f t="shared" si="226"/>
        <v>986382</v>
      </c>
      <c r="BX28" s="38">
        <f t="shared" si="226"/>
        <v>986382</v>
      </c>
      <c r="BY28" s="115">
        <f t="shared" si="226"/>
        <v>1282811</v>
      </c>
      <c r="BZ28" s="115">
        <f t="shared" ref="BZ28:CB28" si="227">SUM(BZ29:BZ30)</f>
        <v>1303112</v>
      </c>
      <c r="CA28" s="115">
        <f t="shared" si="227"/>
        <v>1322986</v>
      </c>
      <c r="CB28" s="115">
        <f t="shared" si="227"/>
        <v>1474887</v>
      </c>
      <c r="CC28" s="38">
        <f t="shared" si="226"/>
        <v>1474887</v>
      </c>
      <c r="CD28" s="115">
        <f t="shared" ref="CD28:CE28" si="228">SUM(CD29:CD30)</f>
        <v>1350416</v>
      </c>
      <c r="CE28" s="115">
        <f t="shared" si="228"/>
        <v>1343155</v>
      </c>
      <c r="CF28" s="115">
        <f t="shared" si="226"/>
        <v>1359533.1166372267</v>
      </c>
      <c r="CG28" s="115">
        <f t="shared" si="226"/>
        <v>1369410.8964456208</v>
      </c>
      <c r="CH28" s="38">
        <f t="shared" si="226"/>
        <v>1369410.8964456208</v>
      </c>
      <c r="CI28" s="115">
        <f t="shared" si="226"/>
        <v>1496815.0553446966</v>
      </c>
      <c r="CJ28" s="115">
        <f t="shared" si="226"/>
        <v>1588527.5224346807</v>
      </c>
      <c r="CK28" s="115">
        <f t="shared" si="226"/>
        <v>1624313.9758485963</v>
      </c>
      <c r="CL28" s="115">
        <f t="shared" si="226"/>
        <v>1650050.1508429304</v>
      </c>
      <c r="CM28" s="38">
        <f t="shared" si="226"/>
        <v>1650050.1508429304</v>
      </c>
      <c r="CN28" s="115">
        <f t="shared" si="226"/>
        <v>1762531.6644524268</v>
      </c>
      <c r="CO28" s="115">
        <f t="shared" si="226"/>
        <v>1813639.1013852796</v>
      </c>
      <c r="CP28" s="115">
        <f t="shared" si="226"/>
        <v>1812237.5054983706</v>
      </c>
      <c r="CQ28" s="115">
        <f t="shared" si="226"/>
        <v>1831255.5706433414</v>
      </c>
      <c r="CR28" s="38">
        <f t="shared" si="226"/>
        <v>1831255.5706433414</v>
      </c>
      <c r="CS28" s="115">
        <f t="shared" si="226"/>
        <v>1928281.3406799999</v>
      </c>
      <c r="CT28" s="115">
        <f t="shared" ref="CT28:DB28" si="229">SUM(CT29:CT30)</f>
        <v>1976842.9416254815</v>
      </c>
      <c r="CU28" s="115">
        <f t="shared" si="229"/>
        <v>1970281.8544570717</v>
      </c>
      <c r="CV28" s="115">
        <f t="shared" si="229"/>
        <v>1974652.7450481418</v>
      </c>
      <c r="CW28" s="38">
        <f t="shared" si="229"/>
        <v>1974652.7450481418</v>
      </c>
      <c r="CX28" s="115">
        <f t="shared" si="229"/>
        <v>2063844.1581191125</v>
      </c>
      <c r="CY28" s="115">
        <f t="shared" si="229"/>
        <v>2105342.3545716889</v>
      </c>
      <c r="CZ28" s="115">
        <f t="shared" si="229"/>
        <v>2091420.0597812219</v>
      </c>
      <c r="DA28" s="115">
        <f t="shared" si="229"/>
        <v>2090216.7911586079</v>
      </c>
      <c r="DB28" s="38">
        <f t="shared" si="229"/>
        <v>2090216.7911586079</v>
      </c>
    </row>
    <row r="29" spans="1:106" ht="11.5" customHeight="1" outlineLevel="1" x14ac:dyDescent="0.35">
      <c r="A29" s="150" t="s">
        <v>166</v>
      </c>
      <c r="B29" s="447"/>
      <c r="C29" s="447"/>
      <c r="D29" s="447"/>
      <c r="E29" s="447"/>
      <c r="F29" s="69">
        <f t="shared" ref="F29:F42" si="230">E29</f>
        <v>0</v>
      </c>
      <c r="G29" s="447"/>
      <c r="H29" s="447"/>
      <c r="I29" s="447"/>
      <c r="J29" s="447"/>
      <c r="K29" s="69">
        <f t="shared" ref="K29:K42" si="231">J29</f>
        <v>0</v>
      </c>
      <c r="L29" s="447"/>
      <c r="M29" s="447"/>
      <c r="N29" s="447"/>
      <c r="O29" s="447"/>
      <c r="P29" s="69">
        <f t="shared" ref="P29:P42" si="232">O29</f>
        <v>0</v>
      </c>
      <c r="Q29" s="447"/>
      <c r="R29" s="447"/>
      <c r="S29" s="447"/>
      <c r="T29" s="447"/>
      <c r="U29" s="69">
        <f t="shared" ref="U29:U42" si="233">T29</f>
        <v>0</v>
      </c>
      <c r="V29" s="447"/>
      <c r="W29" s="447"/>
      <c r="X29" s="447"/>
      <c r="Y29" s="447"/>
      <c r="Z29" s="69">
        <f t="shared" ref="Z29:Z42" si="234">Y29</f>
        <v>0</v>
      </c>
      <c r="AA29" s="447"/>
      <c r="AB29" s="447"/>
      <c r="AC29" s="447"/>
      <c r="AD29" s="447"/>
      <c r="AE29" s="69">
        <f t="shared" ref="AE29:AE42" si="235">AD29</f>
        <v>0</v>
      </c>
      <c r="AF29" s="447"/>
      <c r="AG29" s="447"/>
      <c r="AH29" s="447"/>
      <c r="AI29" s="447"/>
      <c r="AJ29" s="69">
        <f t="shared" ref="AJ29:AJ42" si="236">AI29</f>
        <v>0</v>
      </c>
      <c r="AK29" s="447">
        <f>92104+104019</f>
        <v>196123</v>
      </c>
      <c r="AL29" s="447">
        <f>89194+100071</f>
        <v>189265</v>
      </c>
      <c r="AM29" s="447">
        <f>99159+88479</f>
        <v>187638</v>
      </c>
      <c r="AN29" s="447">
        <f>108366+79197</f>
        <v>187563</v>
      </c>
      <c r="AO29" s="69">
        <f t="shared" ref="AO29:AO42" si="237">AN29</f>
        <v>187563</v>
      </c>
      <c r="AP29" s="447">
        <f>80312+72208</f>
        <v>152520</v>
      </c>
      <c r="AQ29" s="447">
        <f>67484+61074</f>
        <v>128558</v>
      </c>
      <c r="AR29" s="447">
        <f>59623+161484</f>
        <v>221107</v>
      </c>
      <c r="AS29" s="447">
        <f>40763+176833</f>
        <v>217596</v>
      </c>
      <c r="AT29" s="69">
        <f t="shared" ref="AT29:AT42" si="238">AS29</f>
        <v>217596</v>
      </c>
      <c r="AU29" s="447">
        <f>60279+156710</f>
        <v>216989</v>
      </c>
      <c r="AV29" s="447">
        <f>65670+156536</f>
        <v>222206</v>
      </c>
      <c r="AW29" s="447">
        <f>69560+138779</f>
        <v>208339</v>
      </c>
      <c r="AX29" s="447">
        <f>123694+163272-AX30</f>
        <v>286966</v>
      </c>
      <c r="AY29" s="69">
        <f t="shared" ref="AY29:AY31" si="239">AX29</f>
        <v>286966</v>
      </c>
      <c r="AZ29" s="447">
        <f>60662+234669-AZ30</f>
        <v>295331</v>
      </c>
      <c r="BA29" s="447">
        <f>102684+233112-BA30</f>
        <v>335796</v>
      </c>
      <c r="BB29" s="447">
        <f>93603+212589-BB30</f>
        <v>306192</v>
      </c>
      <c r="BC29" s="447">
        <f>91704+184999-BC30</f>
        <v>276703</v>
      </c>
      <c r="BD29" s="69">
        <f t="shared" ref="BD29:BD31" si="240">BC29</f>
        <v>276703</v>
      </c>
      <c r="BE29" s="447">
        <f>100616+180173-BE30</f>
        <v>280789</v>
      </c>
      <c r="BF29" s="447">
        <f>116920+153375-BF30</f>
        <v>270295</v>
      </c>
      <c r="BG29" s="447">
        <f>63863+326361-BG30</f>
        <v>390224</v>
      </c>
      <c r="BH29" s="447">
        <f>68020+323208-BH30</f>
        <v>391228</v>
      </c>
      <c r="BI29" s="69">
        <f t="shared" ref="BI29:BI31" si="241">BH29</f>
        <v>391228</v>
      </c>
      <c r="BJ29" s="447">
        <f>67654+323208-BJ30</f>
        <v>390862</v>
      </c>
      <c r="BK29" s="447">
        <f>75764+323208-BK30</f>
        <v>398972</v>
      </c>
      <c r="BL29" s="447">
        <f>32789+423232-BL30</f>
        <v>456021</v>
      </c>
      <c r="BM29" s="447">
        <f>120906+360082-BM30</f>
        <v>480988</v>
      </c>
      <c r="BN29" s="69">
        <f t="shared" ref="BN29:BN31" si="242">BM29</f>
        <v>480988</v>
      </c>
      <c r="BO29" s="447">
        <f>114117+360400-BO30</f>
        <v>474517</v>
      </c>
      <c r="BP29" s="447">
        <f>138967+360640-BP30</f>
        <v>499607</v>
      </c>
      <c r="BQ29" s="447">
        <f>134940+510779-BQ30</f>
        <v>645719</v>
      </c>
      <c r="BR29" s="447">
        <f>124271+489081-BR30</f>
        <v>613352</v>
      </c>
      <c r="BS29" s="69">
        <f t="shared" ref="BS29:BS31" si="243">BR29</f>
        <v>613352</v>
      </c>
      <c r="BT29" s="447">
        <f>121622+480268-BT30</f>
        <v>601890</v>
      </c>
      <c r="BU29" s="447">
        <f>120030+960708-BU30</f>
        <v>1080738</v>
      </c>
      <c r="BV29" s="447">
        <f>141500+961025-BV30</f>
        <v>1102525</v>
      </c>
      <c r="BW29" s="447">
        <f>208869+777513-BW30</f>
        <v>986382</v>
      </c>
      <c r="BX29" s="69">
        <f t="shared" ref="BX29:BX31" si="244">BW29</f>
        <v>986382</v>
      </c>
      <c r="BY29" s="447">
        <f>132078+1150733-BY30</f>
        <v>1282811</v>
      </c>
      <c r="BZ29" s="447">
        <f>156104+1147008-BZ30</f>
        <v>1303112</v>
      </c>
      <c r="CA29" s="447">
        <f>150698+1172288</f>
        <v>1322986</v>
      </c>
      <c r="CB29" s="447">
        <f>299859+1175028-CB30</f>
        <v>1474887</v>
      </c>
      <c r="CC29" s="69">
        <f t="shared" ref="CC29:CC42" si="245">CB29</f>
        <v>1474887</v>
      </c>
      <c r="CD29" s="447">
        <f>175806+1174610-CD30</f>
        <v>1350416</v>
      </c>
      <c r="CE29" s="447">
        <f>178913+1164242-CE30</f>
        <v>1343155</v>
      </c>
      <c r="CF29" s="87">
        <f>CF52</f>
        <v>1359533.1166372267</v>
      </c>
      <c r="CG29" s="87">
        <f>CG52</f>
        <v>1369410.8964456208</v>
      </c>
      <c r="CH29" s="69">
        <f t="shared" ref="CH29:CH42" si="246">CG29</f>
        <v>1369410.8964456208</v>
      </c>
      <c r="CI29" s="87">
        <f>CI52</f>
        <v>1496815.0553446966</v>
      </c>
      <c r="CJ29" s="87">
        <f>CJ52</f>
        <v>1588527.5224346807</v>
      </c>
      <c r="CK29" s="87">
        <f>CK52</f>
        <v>1624313.9758485963</v>
      </c>
      <c r="CL29" s="87">
        <f>CL52</f>
        <v>1650050.1508429304</v>
      </c>
      <c r="CM29" s="69">
        <f t="shared" ref="CM29:CM42" si="247">CL29</f>
        <v>1650050.1508429304</v>
      </c>
      <c r="CN29" s="87">
        <f>CN52</f>
        <v>1762531.6644524268</v>
      </c>
      <c r="CO29" s="87">
        <f>CO52</f>
        <v>1813639.1013852796</v>
      </c>
      <c r="CP29" s="87">
        <f>CP52</f>
        <v>1812237.5054983706</v>
      </c>
      <c r="CQ29" s="87">
        <f>CQ52</f>
        <v>1831255.5706433414</v>
      </c>
      <c r="CR29" s="69">
        <f t="shared" ref="CR29:CR42" si="248">CQ29</f>
        <v>1831255.5706433414</v>
      </c>
      <c r="CS29" s="87">
        <f>CS52</f>
        <v>1928281.3406799999</v>
      </c>
      <c r="CT29" s="87">
        <f>CT52</f>
        <v>1976842.9416254815</v>
      </c>
      <c r="CU29" s="87">
        <f>CU52</f>
        <v>1970281.8544570717</v>
      </c>
      <c r="CV29" s="87">
        <f>CV52</f>
        <v>1974652.7450481418</v>
      </c>
      <c r="CW29" s="69">
        <f t="shared" ref="CW29:CW42" si="249">CV29</f>
        <v>1974652.7450481418</v>
      </c>
      <c r="CX29" s="87">
        <f>CX52</f>
        <v>2063844.1581191125</v>
      </c>
      <c r="CY29" s="87">
        <f>CY52</f>
        <v>2105342.3545716889</v>
      </c>
      <c r="CZ29" s="87">
        <f>CZ52</f>
        <v>2091420.0597812219</v>
      </c>
      <c r="DA29" s="87">
        <f>DA52</f>
        <v>2090216.7911586079</v>
      </c>
      <c r="DB29" s="69">
        <f t="shared" ref="DB29:DB42" si="250">DA29</f>
        <v>2090216.7911586079</v>
      </c>
    </row>
    <row r="30" spans="1:106" ht="11.5" customHeight="1" outlineLevel="1" x14ac:dyDescent="0.35">
      <c r="A30" s="150" t="s">
        <v>168</v>
      </c>
      <c r="B30" s="447"/>
      <c r="C30" s="447"/>
      <c r="D30" s="447"/>
      <c r="E30" s="447"/>
      <c r="F30" s="69">
        <f t="shared" si="230"/>
        <v>0</v>
      </c>
      <c r="G30" s="447"/>
      <c r="H30" s="447"/>
      <c r="I30" s="447"/>
      <c r="J30" s="447"/>
      <c r="K30" s="69">
        <f t="shared" si="231"/>
        <v>0</v>
      </c>
      <c r="L30" s="447"/>
      <c r="M30" s="447"/>
      <c r="N30" s="447"/>
      <c r="O30" s="447"/>
      <c r="P30" s="69">
        <f t="shared" si="232"/>
        <v>0</v>
      </c>
      <c r="Q30" s="447"/>
      <c r="R30" s="447"/>
      <c r="S30" s="447"/>
      <c r="T30" s="447"/>
      <c r="U30" s="69">
        <f t="shared" si="233"/>
        <v>0</v>
      </c>
      <c r="V30" s="447"/>
      <c r="W30" s="447"/>
      <c r="X30" s="447"/>
      <c r="Y30" s="447"/>
      <c r="Z30" s="69">
        <f t="shared" si="234"/>
        <v>0</v>
      </c>
      <c r="AA30" s="447"/>
      <c r="AB30" s="447"/>
      <c r="AC30" s="447"/>
      <c r="AD30" s="447"/>
      <c r="AE30" s="69">
        <f t="shared" si="235"/>
        <v>0</v>
      </c>
      <c r="AF30" s="447"/>
      <c r="AG30" s="447"/>
      <c r="AH30" s="447"/>
      <c r="AI30" s="447"/>
      <c r="AJ30" s="69">
        <f t="shared" si="236"/>
        <v>0</v>
      </c>
      <c r="AK30" s="447">
        <v>0</v>
      </c>
      <c r="AL30" s="447">
        <v>0</v>
      </c>
      <c r="AM30" s="447">
        <v>0</v>
      </c>
      <c r="AN30" s="447">
        <v>0</v>
      </c>
      <c r="AO30" s="69">
        <f t="shared" si="237"/>
        <v>0</v>
      </c>
      <c r="AP30" s="447">
        <v>0</v>
      </c>
      <c r="AQ30" s="447">
        <v>0</v>
      </c>
      <c r="AR30" s="447">
        <v>0</v>
      </c>
      <c r="AS30" s="447">
        <v>0</v>
      </c>
      <c r="AT30" s="69">
        <f t="shared" si="238"/>
        <v>0</v>
      </c>
      <c r="AU30" s="447">
        <v>0</v>
      </c>
      <c r="AV30" s="447">
        <v>0</v>
      </c>
      <c r="AW30" s="447">
        <v>0</v>
      </c>
      <c r="AX30" s="447">
        <f>0</f>
        <v>0</v>
      </c>
      <c r="AY30" s="69">
        <f t="shared" si="239"/>
        <v>0</v>
      </c>
      <c r="AZ30" s="447">
        <v>0</v>
      </c>
      <c r="BA30" s="447">
        <v>0</v>
      </c>
      <c r="BB30" s="447">
        <f>0</f>
        <v>0</v>
      </c>
      <c r="BC30" s="447">
        <f>0</f>
        <v>0</v>
      </c>
      <c r="BD30" s="69">
        <f t="shared" si="240"/>
        <v>0</v>
      </c>
      <c r="BE30" s="447">
        <f>0</f>
        <v>0</v>
      </c>
      <c r="BF30" s="447">
        <f>0</f>
        <v>0</v>
      </c>
      <c r="BG30" s="447">
        <f>0</f>
        <v>0</v>
      </c>
      <c r="BH30" s="447">
        <f>0</f>
        <v>0</v>
      </c>
      <c r="BI30" s="69">
        <f t="shared" si="241"/>
        <v>0</v>
      </c>
      <c r="BJ30" s="447">
        <f>0</f>
        <v>0</v>
      </c>
      <c r="BK30" s="447">
        <f>0</f>
        <v>0</v>
      </c>
      <c r="BL30" s="447">
        <f>0</f>
        <v>0</v>
      </c>
      <c r="BM30" s="447">
        <f>0</f>
        <v>0</v>
      </c>
      <c r="BN30" s="69">
        <f t="shared" si="242"/>
        <v>0</v>
      </c>
      <c r="BO30" s="447">
        <f>0</f>
        <v>0</v>
      </c>
      <c r="BP30" s="447">
        <f>0</f>
        <v>0</v>
      </c>
      <c r="BQ30" s="447">
        <f>0</f>
        <v>0</v>
      </c>
      <c r="BR30" s="447">
        <f>0</f>
        <v>0</v>
      </c>
      <c r="BS30" s="69">
        <f t="shared" si="243"/>
        <v>0</v>
      </c>
      <c r="BT30" s="447">
        <f>0</f>
        <v>0</v>
      </c>
      <c r="BU30" s="447">
        <f>0</f>
        <v>0</v>
      </c>
      <c r="BV30" s="447">
        <f>0</f>
        <v>0</v>
      </c>
      <c r="BW30" s="447">
        <f>0</f>
        <v>0</v>
      </c>
      <c r="BX30" s="69">
        <f t="shared" si="244"/>
        <v>0</v>
      </c>
      <c r="BY30" s="447">
        <f>0</f>
        <v>0</v>
      </c>
      <c r="BZ30" s="447">
        <f>0</f>
        <v>0</v>
      </c>
      <c r="CA30" s="447">
        <f>0</f>
        <v>0</v>
      </c>
      <c r="CB30" s="447">
        <f>0</f>
        <v>0</v>
      </c>
      <c r="CC30" s="69">
        <f t="shared" si="245"/>
        <v>0</v>
      </c>
      <c r="CD30" s="447">
        <f>0</f>
        <v>0</v>
      </c>
      <c r="CE30" s="447">
        <f>0</f>
        <v>0</v>
      </c>
      <c r="CF30" s="87">
        <f t="shared" ref="CF30:CG31" si="251">CE30</f>
        <v>0</v>
      </c>
      <c r="CG30" s="87">
        <f t="shared" si="251"/>
        <v>0</v>
      </c>
      <c r="CH30" s="69">
        <f t="shared" si="246"/>
        <v>0</v>
      </c>
      <c r="CI30" s="87">
        <f>CH30</f>
        <v>0</v>
      </c>
      <c r="CJ30" s="87">
        <f>CI30</f>
        <v>0</v>
      </c>
      <c r="CK30" s="87">
        <f>CJ30</f>
        <v>0</v>
      </c>
      <c r="CL30" s="87">
        <f>CK30</f>
        <v>0</v>
      </c>
      <c r="CM30" s="69">
        <f t="shared" si="247"/>
        <v>0</v>
      </c>
      <c r="CN30" s="87">
        <f>CM30</f>
        <v>0</v>
      </c>
      <c r="CO30" s="87">
        <f>CN30</f>
        <v>0</v>
      </c>
      <c r="CP30" s="87">
        <f>CO30</f>
        <v>0</v>
      </c>
      <c r="CQ30" s="87">
        <f>CP30</f>
        <v>0</v>
      </c>
      <c r="CR30" s="69">
        <f t="shared" si="248"/>
        <v>0</v>
      </c>
      <c r="CS30" s="87">
        <f>CR30</f>
        <v>0</v>
      </c>
      <c r="CT30" s="87">
        <f>CS30</f>
        <v>0</v>
      </c>
      <c r="CU30" s="87">
        <f>CT30</f>
        <v>0</v>
      </c>
      <c r="CV30" s="87">
        <f>CU30</f>
        <v>0</v>
      </c>
      <c r="CW30" s="69">
        <f t="shared" si="249"/>
        <v>0</v>
      </c>
      <c r="CX30" s="87">
        <f>CW30</f>
        <v>0</v>
      </c>
      <c r="CY30" s="87">
        <f>CX30</f>
        <v>0</v>
      </c>
      <c r="CZ30" s="87">
        <f>CY30</f>
        <v>0</v>
      </c>
      <c r="DA30" s="87">
        <f>CZ30</f>
        <v>0</v>
      </c>
      <c r="DB30" s="69">
        <f t="shared" si="250"/>
        <v>0</v>
      </c>
    </row>
    <row r="31" spans="1:106" ht="11.5" customHeight="1" x14ac:dyDescent="0.35">
      <c r="A31" s="19" t="s">
        <v>190</v>
      </c>
      <c r="B31" s="421"/>
      <c r="C31" s="421"/>
      <c r="D31" s="421"/>
      <c r="E31" s="421"/>
      <c r="F31" s="28">
        <f t="shared" si="230"/>
        <v>0</v>
      </c>
      <c r="G31" s="421"/>
      <c r="H31" s="421"/>
      <c r="I31" s="421"/>
      <c r="J31" s="421"/>
      <c r="K31" s="28">
        <f t="shared" si="231"/>
        <v>0</v>
      </c>
      <c r="L31" s="421"/>
      <c r="M31" s="421"/>
      <c r="N31" s="421"/>
      <c r="O31" s="421"/>
      <c r="P31" s="28">
        <f t="shared" si="232"/>
        <v>0</v>
      </c>
      <c r="Q31" s="421"/>
      <c r="R31" s="421"/>
      <c r="S31" s="421"/>
      <c r="T31" s="421"/>
      <c r="U31" s="28">
        <f t="shared" si="233"/>
        <v>0</v>
      </c>
      <c r="V31" s="421"/>
      <c r="W31" s="421"/>
      <c r="X31" s="421"/>
      <c r="Y31" s="421"/>
      <c r="Z31" s="28">
        <f t="shared" si="234"/>
        <v>0</v>
      </c>
      <c r="AA31" s="421"/>
      <c r="AB31" s="421"/>
      <c r="AC31" s="421"/>
      <c r="AD31" s="421"/>
      <c r="AE31" s="28">
        <f t="shared" si="235"/>
        <v>0</v>
      </c>
      <c r="AF31" s="421"/>
      <c r="AG31" s="421"/>
      <c r="AH31" s="421"/>
      <c r="AI31" s="421"/>
      <c r="AJ31" s="28">
        <f t="shared" si="236"/>
        <v>0</v>
      </c>
      <c r="AK31" s="421">
        <v>13475</v>
      </c>
      <c r="AL31" s="421">
        <v>7357</v>
      </c>
      <c r="AM31" s="421">
        <v>13475</v>
      </c>
      <c r="AN31" s="421">
        <v>33762</v>
      </c>
      <c r="AO31" s="28">
        <f t="shared" si="237"/>
        <v>33762</v>
      </c>
      <c r="AP31" s="421">
        <v>13087</v>
      </c>
      <c r="AQ31" s="421">
        <v>10851</v>
      </c>
      <c r="AR31" s="421">
        <v>62597</v>
      </c>
      <c r="AS31" s="421">
        <v>75895</v>
      </c>
      <c r="AT31" s="28">
        <f t="shared" si="238"/>
        <v>75895</v>
      </c>
      <c r="AU31" s="421">
        <v>54567</v>
      </c>
      <c r="AV31" s="421">
        <v>37290</v>
      </c>
      <c r="AW31" s="421">
        <v>51110</v>
      </c>
      <c r="AX31" s="421">
        <f>32277</f>
        <v>32277</v>
      </c>
      <c r="AY31" s="28">
        <f t="shared" si="239"/>
        <v>32277</v>
      </c>
      <c r="AZ31" s="421">
        <v>27645</v>
      </c>
      <c r="BA31" s="421">
        <v>20995</v>
      </c>
      <c r="BB31" s="421">
        <f>7662</f>
        <v>7662</v>
      </c>
      <c r="BC31" s="421">
        <v>7521</v>
      </c>
      <c r="BD31" s="28">
        <f t="shared" si="240"/>
        <v>7521</v>
      </c>
      <c r="BE31" s="421">
        <v>742</v>
      </c>
      <c r="BF31" s="421">
        <v>742</v>
      </c>
      <c r="BG31" s="421">
        <v>752</v>
      </c>
      <c r="BH31" s="421">
        <v>0</v>
      </c>
      <c r="BI31" s="28">
        <f t="shared" si="241"/>
        <v>0</v>
      </c>
      <c r="BJ31" s="421">
        <v>0</v>
      </c>
      <c r="BK31" s="421">
        <v>0</v>
      </c>
      <c r="BL31" s="421">
        <v>0</v>
      </c>
      <c r="BM31" s="421">
        <v>0</v>
      </c>
      <c r="BN31" s="28">
        <f t="shared" si="242"/>
        <v>0</v>
      </c>
      <c r="BO31" s="421">
        <v>0</v>
      </c>
      <c r="BP31" s="421">
        <v>0</v>
      </c>
      <c r="BQ31" s="421">
        <v>0</v>
      </c>
      <c r="BR31" s="421">
        <v>0</v>
      </c>
      <c r="BS31" s="28">
        <f t="shared" si="243"/>
        <v>0</v>
      </c>
      <c r="BT31" s="421">
        <v>0</v>
      </c>
      <c r="BU31" s="421">
        <v>0</v>
      </c>
      <c r="BV31" s="421">
        <v>0</v>
      </c>
      <c r="BW31" s="421">
        <v>0</v>
      </c>
      <c r="BX31" s="28">
        <f t="shared" si="244"/>
        <v>0</v>
      </c>
      <c r="BY31" s="421">
        <v>0</v>
      </c>
      <c r="BZ31" s="421">
        <v>0</v>
      </c>
      <c r="CA31" s="421">
        <v>0</v>
      </c>
      <c r="CB31" s="421">
        <v>0</v>
      </c>
      <c r="CC31" s="28">
        <f t="shared" si="245"/>
        <v>0</v>
      </c>
      <c r="CD31" s="421">
        <v>0</v>
      </c>
      <c r="CE31" s="421">
        <v>0</v>
      </c>
      <c r="CF31" s="68">
        <f t="shared" si="251"/>
        <v>0</v>
      </c>
      <c r="CG31" s="68">
        <f t="shared" si="251"/>
        <v>0</v>
      </c>
      <c r="CH31" s="28">
        <f t="shared" si="246"/>
        <v>0</v>
      </c>
      <c r="CI31" s="68">
        <f>CG31</f>
        <v>0</v>
      </c>
      <c r="CJ31" s="68">
        <f>CI31</f>
        <v>0</v>
      </c>
      <c r="CK31" s="68">
        <f>CJ31</f>
        <v>0</v>
      </c>
      <c r="CL31" s="68">
        <f>CK31</f>
        <v>0</v>
      </c>
      <c r="CM31" s="28">
        <f t="shared" si="247"/>
        <v>0</v>
      </c>
      <c r="CN31" s="68">
        <f>CL31</f>
        <v>0</v>
      </c>
      <c r="CO31" s="68">
        <f>CN31</f>
        <v>0</v>
      </c>
      <c r="CP31" s="68">
        <f>CO31</f>
        <v>0</v>
      </c>
      <c r="CQ31" s="68">
        <f>CP31</f>
        <v>0</v>
      </c>
      <c r="CR31" s="28">
        <f t="shared" si="248"/>
        <v>0</v>
      </c>
      <c r="CS31" s="68">
        <f>CQ31</f>
        <v>0</v>
      </c>
      <c r="CT31" s="68">
        <f>CS31</f>
        <v>0</v>
      </c>
      <c r="CU31" s="68">
        <f>CT31</f>
        <v>0</v>
      </c>
      <c r="CV31" s="68">
        <f>CU31</f>
        <v>0</v>
      </c>
      <c r="CW31" s="28">
        <f t="shared" si="249"/>
        <v>0</v>
      </c>
      <c r="CX31" s="68">
        <f>CV31</f>
        <v>0</v>
      </c>
      <c r="CY31" s="68">
        <f>CX31</f>
        <v>0</v>
      </c>
      <c r="CZ31" s="68">
        <f>CY31</f>
        <v>0</v>
      </c>
      <c r="DA31" s="68">
        <f>CZ31</f>
        <v>0</v>
      </c>
      <c r="DB31" s="28">
        <f t="shared" si="250"/>
        <v>0</v>
      </c>
    </row>
    <row r="32" spans="1:106" ht="11.5" customHeight="1" x14ac:dyDescent="0.35">
      <c r="A32" s="19" t="s">
        <v>94</v>
      </c>
      <c r="B32" s="421"/>
      <c r="C32" s="421"/>
      <c r="D32" s="421"/>
      <c r="E32" s="421"/>
      <c r="F32" s="28">
        <f t="shared" si="230"/>
        <v>0</v>
      </c>
      <c r="G32" s="421"/>
      <c r="H32" s="421"/>
      <c r="I32" s="421"/>
      <c r="J32" s="421"/>
      <c r="K32" s="28">
        <f t="shared" si="231"/>
        <v>0</v>
      </c>
      <c r="L32" s="421"/>
      <c r="M32" s="421"/>
      <c r="N32" s="421"/>
      <c r="O32" s="421"/>
      <c r="P32" s="28">
        <f t="shared" si="232"/>
        <v>0</v>
      </c>
      <c r="Q32" s="421"/>
      <c r="R32" s="421"/>
      <c r="S32" s="421"/>
      <c r="T32" s="421"/>
      <c r="U32" s="28">
        <f t="shared" si="233"/>
        <v>0</v>
      </c>
      <c r="V32" s="421"/>
      <c r="W32" s="421"/>
      <c r="X32" s="421"/>
      <c r="Y32" s="421"/>
      <c r="Z32" s="28">
        <f t="shared" si="234"/>
        <v>0</v>
      </c>
      <c r="AA32" s="421"/>
      <c r="AB32" s="421"/>
      <c r="AC32" s="421"/>
      <c r="AD32" s="421"/>
      <c r="AE32" s="28">
        <f t="shared" si="235"/>
        <v>0</v>
      </c>
      <c r="AF32" s="421"/>
      <c r="AG32" s="421"/>
      <c r="AH32" s="421"/>
      <c r="AI32" s="421"/>
      <c r="AJ32" s="28">
        <f t="shared" si="236"/>
        <v>0</v>
      </c>
      <c r="AK32" s="421">
        <v>0</v>
      </c>
      <c r="AL32" s="421">
        <v>0</v>
      </c>
      <c r="AM32" s="421">
        <v>0</v>
      </c>
      <c r="AN32" s="421">
        <v>0</v>
      </c>
      <c r="AO32" s="28">
        <f t="shared" si="237"/>
        <v>0</v>
      </c>
      <c r="AP32" s="421">
        <v>0</v>
      </c>
      <c r="AQ32" s="421">
        <v>0</v>
      </c>
      <c r="AR32" s="421">
        <v>0</v>
      </c>
      <c r="AS32" s="421">
        <v>0</v>
      </c>
      <c r="AT32" s="28">
        <f t="shared" si="238"/>
        <v>0</v>
      </c>
      <c r="AU32" s="421"/>
      <c r="AV32" s="421"/>
      <c r="AW32" s="421"/>
      <c r="AX32" s="421">
        <v>0</v>
      </c>
      <c r="AY32" s="28">
        <f t="shared" ref="AY32:AY42" si="252">AX32</f>
        <v>0</v>
      </c>
      <c r="AZ32" s="421">
        <v>0</v>
      </c>
      <c r="BA32" s="421">
        <v>0</v>
      </c>
      <c r="BB32" s="421">
        <v>0</v>
      </c>
      <c r="BC32" s="421">
        <v>0</v>
      </c>
      <c r="BD32" s="28">
        <f t="shared" ref="BD32:BD42" si="253">BC32</f>
        <v>0</v>
      </c>
      <c r="BE32" s="421">
        <v>0</v>
      </c>
      <c r="BF32" s="421">
        <v>0</v>
      </c>
      <c r="BG32" s="421">
        <v>0</v>
      </c>
      <c r="BH32" s="421">
        <v>0</v>
      </c>
      <c r="BI32" s="28">
        <f t="shared" ref="BI32:BI42" si="254">BH32</f>
        <v>0</v>
      </c>
      <c r="BJ32" s="421">
        <v>0</v>
      </c>
      <c r="BK32" s="421">
        <v>0</v>
      </c>
      <c r="BL32" s="421">
        <v>0</v>
      </c>
      <c r="BM32" s="421">
        <v>0</v>
      </c>
      <c r="BN32" s="28">
        <f t="shared" ref="BN32:BN42" si="255">BM32</f>
        <v>0</v>
      </c>
      <c r="BO32" s="421">
        <v>0</v>
      </c>
      <c r="BP32" s="421">
        <v>0</v>
      </c>
      <c r="BQ32" s="421">
        <v>0</v>
      </c>
      <c r="BR32" s="421">
        <v>0</v>
      </c>
      <c r="BS32" s="28">
        <f t="shared" ref="BS32:BS42" si="256">BR32</f>
        <v>0</v>
      </c>
      <c r="BT32" s="421">
        <v>0</v>
      </c>
      <c r="BU32" s="421">
        <v>0</v>
      </c>
      <c r="BV32" s="421">
        <v>0</v>
      </c>
      <c r="BW32" s="421">
        <v>0</v>
      </c>
      <c r="BX32" s="28">
        <f t="shared" ref="BX32:BX42" si="257">BW32</f>
        <v>0</v>
      </c>
      <c r="BY32" s="421">
        <v>0</v>
      </c>
      <c r="BZ32" s="421">
        <v>0</v>
      </c>
      <c r="CA32" s="421">
        <v>0</v>
      </c>
      <c r="CB32" s="421">
        <v>0</v>
      </c>
      <c r="CC32" s="28">
        <f t="shared" si="245"/>
        <v>0</v>
      </c>
      <c r="CD32" s="421">
        <v>0</v>
      </c>
      <c r="CE32" s="421">
        <v>0</v>
      </c>
      <c r="CF32" s="68">
        <f>CF59</f>
        <v>0</v>
      </c>
      <c r="CG32" s="68">
        <f>CG59</f>
        <v>0</v>
      </c>
      <c r="CH32" s="28">
        <f t="shared" si="246"/>
        <v>0</v>
      </c>
      <c r="CI32" s="68">
        <f>CI59</f>
        <v>0</v>
      </c>
      <c r="CJ32" s="68">
        <f>CJ59</f>
        <v>0</v>
      </c>
      <c r="CK32" s="68">
        <f>CK59</f>
        <v>0</v>
      </c>
      <c r="CL32" s="68">
        <f>CL59</f>
        <v>0</v>
      </c>
      <c r="CM32" s="28">
        <f t="shared" si="247"/>
        <v>0</v>
      </c>
      <c r="CN32" s="68">
        <f>CN59</f>
        <v>0</v>
      </c>
      <c r="CO32" s="68">
        <f>CO59</f>
        <v>0</v>
      </c>
      <c r="CP32" s="68">
        <f>CP59</f>
        <v>0</v>
      </c>
      <c r="CQ32" s="68">
        <f>CQ59</f>
        <v>0</v>
      </c>
      <c r="CR32" s="28">
        <f t="shared" si="248"/>
        <v>0</v>
      </c>
      <c r="CS32" s="68">
        <f>CS59</f>
        <v>0</v>
      </c>
      <c r="CT32" s="68">
        <f>CT59</f>
        <v>0</v>
      </c>
      <c r="CU32" s="68">
        <f>CU59</f>
        <v>0</v>
      </c>
      <c r="CV32" s="68">
        <f>CV59</f>
        <v>0</v>
      </c>
      <c r="CW32" s="28">
        <f t="shared" si="249"/>
        <v>0</v>
      </c>
      <c r="CX32" s="68">
        <f>CX59</f>
        <v>0</v>
      </c>
      <c r="CY32" s="68">
        <f>CY59</f>
        <v>0</v>
      </c>
      <c r="CZ32" s="68">
        <f>CZ59</f>
        <v>0</v>
      </c>
      <c r="DA32" s="68">
        <f>DA59</f>
        <v>0</v>
      </c>
      <c r="DB32" s="28">
        <f t="shared" si="250"/>
        <v>0</v>
      </c>
    </row>
    <row r="33" spans="1:106" ht="11.5" customHeight="1" x14ac:dyDescent="0.35">
      <c r="A33" s="19" t="s">
        <v>169</v>
      </c>
      <c r="B33" s="403"/>
      <c r="C33" s="403"/>
      <c r="D33" s="403"/>
      <c r="E33" s="403"/>
      <c r="F33" s="28">
        <f t="shared" si="230"/>
        <v>0</v>
      </c>
      <c r="G33" s="403"/>
      <c r="H33" s="403"/>
      <c r="I33" s="403"/>
      <c r="J33" s="403"/>
      <c r="K33" s="28">
        <f t="shared" si="231"/>
        <v>0</v>
      </c>
      <c r="L33" s="403"/>
      <c r="M33" s="403"/>
      <c r="N33" s="403"/>
      <c r="O33" s="403"/>
      <c r="P33" s="28">
        <f t="shared" si="232"/>
        <v>0</v>
      </c>
      <c r="Q33" s="403"/>
      <c r="R33" s="403"/>
      <c r="S33" s="403"/>
      <c r="T33" s="403"/>
      <c r="U33" s="28">
        <f t="shared" si="233"/>
        <v>0</v>
      </c>
      <c r="V33" s="403"/>
      <c r="W33" s="403"/>
      <c r="X33" s="403"/>
      <c r="Y33" s="403"/>
      <c r="Z33" s="28">
        <f t="shared" si="234"/>
        <v>0</v>
      </c>
      <c r="AA33" s="403"/>
      <c r="AB33" s="403"/>
      <c r="AC33" s="403"/>
      <c r="AD33" s="403"/>
      <c r="AE33" s="28">
        <f t="shared" si="235"/>
        <v>0</v>
      </c>
      <c r="AF33" s="403"/>
      <c r="AG33" s="403"/>
      <c r="AH33" s="403"/>
      <c r="AI33" s="403"/>
      <c r="AJ33" s="28">
        <f t="shared" si="236"/>
        <v>0</v>
      </c>
      <c r="AK33" s="403">
        <v>55436</v>
      </c>
      <c r="AL33" s="403">
        <v>54889</v>
      </c>
      <c r="AM33" s="403">
        <v>54068</v>
      </c>
      <c r="AN33" s="403">
        <v>40602</v>
      </c>
      <c r="AO33" s="28">
        <f t="shared" si="237"/>
        <v>40602</v>
      </c>
      <c r="AP33" s="403">
        <v>44654</v>
      </c>
      <c r="AQ33" s="403">
        <v>46999</v>
      </c>
      <c r="AR33" s="403">
        <v>54365</v>
      </c>
      <c r="AS33" s="403">
        <v>49217</v>
      </c>
      <c r="AT33" s="28">
        <f t="shared" si="238"/>
        <v>49217</v>
      </c>
      <c r="AU33" s="403">
        <v>49517</v>
      </c>
      <c r="AV33" s="403">
        <v>55171</v>
      </c>
      <c r="AW33" s="403">
        <v>63386</v>
      </c>
      <c r="AX33" s="403">
        <f>38540</f>
        <v>38540</v>
      </c>
      <c r="AY33" s="28">
        <f t="shared" si="252"/>
        <v>38540</v>
      </c>
      <c r="AZ33" s="403">
        <v>54281</v>
      </c>
      <c r="BA33" s="403">
        <v>62684</v>
      </c>
      <c r="BB33" s="403">
        <f>92811</f>
        <v>92811</v>
      </c>
      <c r="BC33" s="403">
        <v>43910</v>
      </c>
      <c r="BD33" s="28">
        <f t="shared" si="253"/>
        <v>43910</v>
      </c>
      <c r="BE33" s="403">
        <v>60296</v>
      </c>
      <c r="BF33" s="403">
        <v>91549</v>
      </c>
      <c r="BG33" s="403">
        <v>90214</v>
      </c>
      <c r="BH33" s="403">
        <v>87488</v>
      </c>
      <c r="BI33" s="28">
        <f t="shared" si="254"/>
        <v>87488</v>
      </c>
      <c r="BJ33" s="403">
        <v>83823</v>
      </c>
      <c r="BK33" s="403">
        <v>113748</v>
      </c>
      <c r="BL33" s="403">
        <v>104282</v>
      </c>
      <c r="BM33" s="403">
        <v>114591</v>
      </c>
      <c r="BN33" s="28">
        <f t="shared" si="255"/>
        <v>114591</v>
      </c>
      <c r="BO33" s="403">
        <v>121055</v>
      </c>
      <c r="BP33" s="403">
        <v>118958</v>
      </c>
      <c r="BQ33" s="403">
        <v>144821</v>
      </c>
      <c r="BR33" s="403">
        <v>171904</v>
      </c>
      <c r="BS33" s="28">
        <f t="shared" si="256"/>
        <v>171904</v>
      </c>
      <c r="BT33" s="403">
        <v>172207</v>
      </c>
      <c r="BU33" s="403">
        <v>141397</v>
      </c>
      <c r="BV33" s="403">
        <v>182227</v>
      </c>
      <c r="BW33" s="403">
        <v>187317</v>
      </c>
      <c r="BX33" s="28">
        <f t="shared" si="257"/>
        <v>187317</v>
      </c>
      <c r="BY33" s="403">
        <v>256301</v>
      </c>
      <c r="BZ33" s="403">
        <v>286650</v>
      </c>
      <c r="CA33" s="403">
        <v>283823</v>
      </c>
      <c r="CB33" s="403">
        <v>278476</v>
      </c>
      <c r="CC33" s="28">
        <f t="shared" si="245"/>
        <v>278476</v>
      </c>
      <c r="CD33" s="403">
        <v>339656</v>
      </c>
      <c r="CE33" s="403">
        <v>351510</v>
      </c>
      <c r="CF33" s="68">
        <f>CF117</f>
        <v>370713.7317211206</v>
      </c>
      <c r="CG33" s="68">
        <f>CG117</f>
        <v>392105.07614650694</v>
      </c>
      <c r="CH33" s="28">
        <f t="shared" si="246"/>
        <v>392105.07614650694</v>
      </c>
      <c r="CI33" s="68">
        <f>CI117</f>
        <v>407486.32352605503</v>
      </c>
      <c r="CJ33" s="68">
        <f>CJ117</f>
        <v>433110.57868649467</v>
      </c>
      <c r="CK33" s="68">
        <f>CK117</f>
        <v>456359.8052427902</v>
      </c>
      <c r="CL33" s="68">
        <f>CL117</f>
        <v>471198.06020761881</v>
      </c>
      <c r="CM33" s="28">
        <f t="shared" si="247"/>
        <v>471198.06020761881</v>
      </c>
      <c r="CN33" s="68">
        <f>CN117</f>
        <v>487727.41265193961</v>
      </c>
      <c r="CO33" s="68">
        <f>CO117</f>
        <v>500432.60038921377</v>
      </c>
      <c r="CP33" s="68">
        <f>CP117</f>
        <v>514354.52877776255</v>
      </c>
      <c r="CQ33" s="68">
        <f>CQ117</f>
        <v>531744.06906782964</v>
      </c>
      <c r="CR33" s="28">
        <f t="shared" si="248"/>
        <v>531744.06906782964</v>
      </c>
      <c r="CS33" s="68">
        <f>CS117</f>
        <v>546142.63657724764</v>
      </c>
      <c r="CT33" s="68">
        <f>CT117</f>
        <v>559828.37112919567</v>
      </c>
      <c r="CU33" s="68">
        <f>CU117</f>
        <v>572680.37794234662</v>
      </c>
      <c r="CV33" s="68">
        <f>CV117</f>
        <v>584608.12644397293</v>
      </c>
      <c r="CW33" s="28">
        <f t="shared" si="249"/>
        <v>584608.12644397293</v>
      </c>
      <c r="CX33" s="68">
        <f>CX117</f>
        <v>595179.53487688769</v>
      </c>
      <c r="CY33" s="68">
        <f>CY117</f>
        <v>605535.38331589894</v>
      </c>
      <c r="CZ33" s="68">
        <f>CZ117</f>
        <v>615457.7945295563</v>
      </c>
      <c r="DA33" s="68">
        <f>DA117</f>
        <v>624798.77270456369</v>
      </c>
      <c r="DB33" s="28">
        <f t="shared" si="250"/>
        <v>624798.77270456369</v>
      </c>
    </row>
    <row r="34" spans="1:106" ht="11.5" customHeight="1" x14ac:dyDescent="0.35">
      <c r="A34" s="19" t="s">
        <v>170</v>
      </c>
      <c r="B34" s="403"/>
      <c r="C34" s="403"/>
      <c r="D34" s="403"/>
      <c r="E34" s="403"/>
      <c r="F34" s="28">
        <f t="shared" si="230"/>
        <v>0</v>
      </c>
      <c r="G34" s="403"/>
      <c r="H34" s="403"/>
      <c r="I34" s="403"/>
      <c r="J34" s="403"/>
      <c r="K34" s="28">
        <f t="shared" si="231"/>
        <v>0</v>
      </c>
      <c r="L34" s="403"/>
      <c r="M34" s="403"/>
      <c r="N34" s="403"/>
      <c r="O34" s="403"/>
      <c r="P34" s="28">
        <f t="shared" si="232"/>
        <v>0</v>
      </c>
      <c r="Q34" s="403"/>
      <c r="R34" s="403"/>
      <c r="S34" s="403"/>
      <c r="T34" s="403"/>
      <c r="U34" s="28">
        <f t="shared" si="233"/>
        <v>0</v>
      </c>
      <c r="V34" s="403"/>
      <c r="W34" s="403"/>
      <c r="X34" s="403"/>
      <c r="Y34" s="403"/>
      <c r="Z34" s="28">
        <f t="shared" si="234"/>
        <v>0</v>
      </c>
      <c r="AA34" s="403"/>
      <c r="AB34" s="403"/>
      <c r="AC34" s="403"/>
      <c r="AD34" s="403"/>
      <c r="AE34" s="28">
        <f t="shared" si="235"/>
        <v>0</v>
      </c>
      <c r="AF34" s="403"/>
      <c r="AG34" s="403"/>
      <c r="AH34" s="403"/>
      <c r="AI34" s="403"/>
      <c r="AJ34" s="28">
        <f t="shared" si="236"/>
        <v>0</v>
      </c>
      <c r="AK34" s="403">
        <v>7704</v>
      </c>
      <c r="AL34" s="403">
        <v>10303</v>
      </c>
      <c r="AM34" s="403">
        <v>11555</v>
      </c>
      <c r="AN34" s="403">
        <v>8857</v>
      </c>
      <c r="AO34" s="28">
        <f t="shared" si="237"/>
        <v>8857</v>
      </c>
      <c r="AP34" s="403">
        <v>8766</v>
      </c>
      <c r="AQ34" s="403">
        <v>10713</v>
      </c>
      <c r="AR34" s="403">
        <v>12185</v>
      </c>
      <c r="AS34" s="403">
        <v>9196</v>
      </c>
      <c r="AT34" s="28">
        <f t="shared" si="238"/>
        <v>9196</v>
      </c>
      <c r="AU34" s="403">
        <v>9075</v>
      </c>
      <c r="AV34" s="403">
        <v>11123</v>
      </c>
      <c r="AW34" s="403">
        <v>12989</v>
      </c>
      <c r="AX34" s="403">
        <f>10705</f>
        <v>10705</v>
      </c>
      <c r="AY34" s="28">
        <f t="shared" si="252"/>
        <v>10705</v>
      </c>
      <c r="AZ34" s="403">
        <v>11709</v>
      </c>
      <c r="BA34" s="403">
        <v>14812</v>
      </c>
      <c r="BB34" s="403">
        <f>15530</f>
        <v>15530</v>
      </c>
      <c r="BC34" s="403">
        <v>11444</v>
      </c>
      <c r="BD34" s="28">
        <f t="shared" si="253"/>
        <v>11444</v>
      </c>
      <c r="BE34" s="403">
        <v>13813</v>
      </c>
      <c r="BF34" s="403">
        <v>18538</v>
      </c>
      <c r="BG34" s="403">
        <v>17006</v>
      </c>
      <c r="BH34" s="403">
        <v>16567</v>
      </c>
      <c r="BI34" s="28">
        <f t="shared" si="254"/>
        <v>16567</v>
      </c>
      <c r="BJ34" s="403">
        <v>16264</v>
      </c>
      <c r="BK34" s="403">
        <v>20929</v>
      </c>
      <c r="BL34" s="403">
        <v>23709</v>
      </c>
      <c r="BM34" s="403">
        <v>18487</v>
      </c>
      <c r="BN34" s="28">
        <f t="shared" si="255"/>
        <v>18487</v>
      </c>
      <c r="BO34" s="403">
        <v>22653</v>
      </c>
      <c r="BP34" s="403">
        <v>26462</v>
      </c>
      <c r="BQ34" s="403">
        <v>29799</v>
      </c>
      <c r="BR34" s="403">
        <v>22734</v>
      </c>
      <c r="BS34" s="28">
        <f t="shared" si="256"/>
        <v>22734</v>
      </c>
      <c r="BT34" s="403">
        <v>27739</v>
      </c>
      <c r="BU34" s="403">
        <v>35591</v>
      </c>
      <c r="BV34" s="403">
        <v>49938</v>
      </c>
      <c r="BW34" s="403">
        <v>32592</v>
      </c>
      <c r="BX34" s="28">
        <f t="shared" si="257"/>
        <v>32592</v>
      </c>
      <c r="BY34" s="403">
        <v>38661</v>
      </c>
      <c r="BZ34" s="403">
        <v>49007</v>
      </c>
      <c r="CA34" s="403">
        <v>56389</v>
      </c>
      <c r="CB34" s="403">
        <v>43999</v>
      </c>
      <c r="CC34" s="28">
        <f t="shared" si="245"/>
        <v>43999</v>
      </c>
      <c r="CD34" s="403">
        <v>54666</v>
      </c>
      <c r="CE34" s="403">
        <v>72162</v>
      </c>
      <c r="CF34" s="85">
        <f>CE34*CF12/CE12</f>
        <v>73388.173651473204</v>
      </c>
      <c r="CG34" s="68">
        <f>CF34*CG12/CF12</f>
        <v>72703.376451188276</v>
      </c>
      <c r="CH34" s="28">
        <f t="shared" si="246"/>
        <v>72703.376451188276</v>
      </c>
      <c r="CI34" s="85">
        <f>CH34*CI12/CH12</f>
        <v>79549.857555865136</v>
      </c>
      <c r="CJ34" s="85">
        <f>CI34*CJ12/CI12</f>
        <v>81357.069707102331</v>
      </c>
      <c r="CK34" s="85">
        <f>CJ34*CK12/CJ12</f>
        <v>78359.783456745979</v>
      </c>
      <c r="CL34" s="68">
        <f>CK34*CL12/CK12</f>
        <v>76878.010133029486</v>
      </c>
      <c r="CM34" s="28">
        <f t="shared" si="247"/>
        <v>76878.010133029486</v>
      </c>
      <c r="CN34" s="85">
        <f>CM34*CN12/CM12</f>
        <v>83869.843762914999</v>
      </c>
      <c r="CO34" s="85">
        <f>CN34*CO12/CN12</f>
        <v>85858.975216722698</v>
      </c>
      <c r="CP34" s="85">
        <f>CO34*CP12/CO12</f>
        <v>82830.905863060325</v>
      </c>
      <c r="CQ34" s="68">
        <f>CP34*CQ12/CP12</f>
        <v>81263.355478840123</v>
      </c>
      <c r="CR34" s="28">
        <f t="shared" si="248"/>
        <v>81263.355478840123</v>
      </c>
      <c r="CS34" s="85">
        <f>CR34*CS12/CR12</f>
        <v>87570.36010416667</v>
      </c>
      <c r="CT34" s="85">
        <f>CS34*CT12/CS12</f>
        <v>89026.147322759469</v>
      </c>
      <c r="CU34" s="85">
        <f>CT34*CU12/CT12</f>
        <v>85485.666336169641</v>
      </c>
      <c r="CV34" s="68">
        <f>CU34*CV12/CU12</f>
        <v>83610.163760934825</v>
      </c>
      <c r="CW34" s="28">
        <f t="shared" si="249"/>
        <v>83610.163760934825</v>
      </c>
      <c r="CX34" s="85">
        <f>CW34*CX12/CW12</f>
        <v>90011.135660925676</v>
      </c>
      <c r="CY34" s="85">
        <f>CX34*CY12/CX12</f>
        <v>90000.443351952665</v>
      </c>
      <c r="CZ34" s="85">
        <f>CY34*CZ12/CY12</f>
        <v>83585.372272512235</v>
      </c>
      <c r="DA34" s="68">
        <f>CZ34*DA12/CZ12</f>
        <v>78034.458989459847</v>
      </c>
      <c r="DB34" s="28">
        <f t="shared" si="250"/>
        <v>78034.458989459847</v>
      </c>
    </row>
    <row r="35" spans="1:106" ht="11.5" customHeight="1" x14ac:dyDescent="0.35">
      <c r="A35" s="19" t="s">
        <v>175</v>
      </c>
      <c r="B35" s="403"/>
      <c r="C35" s="403"/>
      <c r="D35" s="403"/>
      <c r="E35" s="403"/>
      <c r="F35" s="28">
        <f t="shared" si="230"/>
        <v>0</v>
      </c>
      <c r="G35" s="403"/>
      <c r="H35" s="403"/>
      <c r="I35" s="403"/>
      <c r="J35" s="403"/>
      <c r="K35" s="28">
        <f t="shared" si="231"/>
        <v>0</v>
      </c>
      <c r="L35" s="403"/>
      <c r="M35" s="403"/>
      <c r="N35" s="403"/>
      <c r="O35" s="403"/>
      <c r="P35" s="28">
        <f t="shared" si="232"/>
        <v>0</v>
      </c>
      <c r="Q35" s="403"/>
      <c r="R35" s="403"/>
      <c r="S35" s="403"/>
      <c r="T35" s="403"/>
      <c r="U35" s="28">
        <f t="shared" si="233"/>
        <v>0</v>
      </c>
      <c r="V35" s="403"/>
      <c r="W35" s="403"/>
      <c r="X35" s="403"/>
      <c r="Y35" s="403"/>
      <c r="Z35" s="28">
        <f t="shared" si="234"/>
        <v>0</v>
      </c>
      <c r="AA35" s="403"/>
      <c r="AB35" s="403"/>
      <c r="AC35" s="403"/>
      <c r="AD35" s="403"/>
      <c r="AE35" s="28">
        <f t="shared" si="235"/>
        <v>0</v>
      </c>
      <c r="AF35" s="403"/>
      <c r="AG35" s="403"/>
      <c r="AH35" s="403"/>
      <c r="AI35" s="403"/>
      <c r="AJ35" s="28">
        <f t="shared" si="236"/>
        <v>0</v>
      </c>
      <c r="AK35" s="403">
        <v>228692</v>
      </c>
      <c r="AL35" s="403">
        <v>236764</v>
      </c>
      <c r="AM35" s="403">
        <v>268322</v>
      </c>
      <c r="AN35" s="403">
        <v>280472</v>
      </c>
      <c r="AO35" s="28">
        <f t="shared" si="237"/>
        <v>280472</v>
      </c>
      <c r="AP35" s="403">
        <v>198187</v>
      </c>
      <c r="AQ35" s="403">
        <v>197420</v>
      </c>
      <c r="AR35" s="403">
        <v>164703</v>
      </c>
      <c r="AS35" s="403">
        <v>153254</v>
      </c>
      <c r="AT35" s="28">
        <f t="shared" si="238"/>
        <v>153254</v>
      </c>
      <c r="AU35" s="403">
        <v>110887</v>
      </c>
      <c r="AV35" s="403">
        <v>126413</v>
      </c>
      <c r="AW35" s="403">
        <v>188111</v>
      </c>
      <c r="AX35" s="403">
        <f>182793</f>
        <v>182793</v>
      </c>
      <c r="AY35" s="28">
        <f t="shared" si="252"/>
        <v>182793</v>
      </c>
      <c r="AZ35" s="403">
        <v>113611</v>
      </c>
      <c r="BA35" s="403">
        <v>193921</v>
      </c>
      <c r="BB35" s="403">
        <f>289238</f>
        <v>289238</v>
      </c>
      <c r="BC35" s="403">
        <v>279670</v>
      </c>
      <c r="BD35" s="28">
        <f t="shared" si="253"/>
        <v>279670</v>
      </c>
      <c r="BE35" s="403">
        <v>336426</v>
      </c>
      <c r="BF35" s="403">
        <v>358402</v>
      </c>
      <c r="BG35" s="403">
        <v>403842</v>
      </c>
      <c r="BH35" s="403">
        <v>515238</v>
      </c>
      <c r="BI35" s="28">
        <f t="shared" si="254"/>
        <v>515238</v>
      </c>
      <c r="BJ35" s="403">
        <v>806999</v>
      </c>
      <c r="BK35" s="403">
        <v>668553</v>
      </c>
      <c r="BL35" s="403">
        <v>489825</v>
      </c>
      <c r="BM35" s="403">
        <v>342626</v>
      </c>
      <c r="BN35" s="28">
        <f t="shared" si="255"/>
        <v>342626</v>
      </c>
      <c r="BO35" s="403">
        <v>96307</v>
      </c>
      <c r="BP35" s="403">
        <v>63829</v>
      </c>
      <c r="BQ35" s="403">
        <v>54193</v>
      </c>
      <c r="BR35" s="403">
        <v>97208</v>
      </c>
      <c r="BS35" s="28">
        <f t="shared" si="256"/>
        <v>97208</v>
      </c>
      <c r="BT35" s="403">
        <v>118652</v>
      </c>
      <c r="BU35" s="403">
        <v>150036</v>
      </c>
      <c r="BV35" s="403">
        <v>122895</v>
      </c>
      <c r="BW35" s="403">
        <v>184216</v>
      </c>
      <c r="BX35" s="28">
        <f t="shared" si="257"/>
        <v>184216</v>
      </c>
      <c r="BY35" s="403">
        <v>238841</v>
      </c>
      <c r="BZ35" s="403">
        <v>253521</v>
      </c>
      <c r="CA35" s="403">
        <v>273630</v>
      </c>
      <c r="CB35" s="403">
        <v>333123</v>
      </c>
      <c r="CC35" s="28">
        <f t="shared" si="245"/>
        <v>333123</v>
      </c>
      <c r="CD35" s="403">
        <f>351671</f>
        <v>351671</v>
      </c>
      <c r="CE35" s="403">
        <v>347634</v>
      </c>
      <c r="CF35" s="68">
        <f>CF114</f>
        <v>366059.40780930727</v>
      </c>
      <c r="CG35" s="68">
        <f>CG114</f>
        <v>390821.6747929905</v>
      </c>
      <c r="CH35" s="28">
        <f t="shared" si="246"/>
        <v>390821.6747929905</v>
      </c>
      <c r="CI35" s="68">
        <f>CI114</f>
        <v>407571.1537193617</v>
      </c>
      <c r="CJ35" s="68">
        <f>CJ114</f>
        <v>439421.68673433224</v>
      </c>
      <c r="CK35" s="68">
        <f>CK114</f>
        <v>448750.47406174015</v>
      </c>
      <c r="CL35" s="68">
        <f>CL114</f>
        <v>458004.42377793713</v>
      </c>
      <c r="CM35" s="28">
        <f t="shared" si="247"/>
        <v>458004.42377793713</v>
      </c>
      <c r="CN35" s="68">
        <f>CN114</f>
        <v>463434.10105932271</v>
      </c>
      <c r="CO35" s="68">
        <f>CO114</f>
        <v>468035.18868498621</v>
      </c>
      <c r="CP35" s="68">
        <f>CP114</f>
        <v>471999.34146067582</v>
      </c>
      <c r="CQ35" s="68">
        <f>CQ114</f>
        <v>476246.36722354096</v>
      </c>
      <c r="CR35" s="28">
        <f t="shared" si="248"/>
        <v>476246.36722354096</v>
      </c>
      <c r="CS35" s="68">
        <f>CS114</f>
        <v>485007.35650891619</v>
      </c>
      <c r="CT35" s="68">
        <f>CT114</f>
        <v>492483.62230716419</v>
      </c>
      <c r="CU35" s="68">
        <f>CU114</f>
        <v>498504.77388413361</v>
      </c>
      <c r="CV35" s="68">
        <f>CV114</f>
        <v>503745.73849602119</v>
      </c>
      <c r="CW35" s="28">
        <f t="shared" si="249"/>
        <v>503745.73849602119</v>
      </c>
      <c r="CX35" s="68">
        <f>CX114</f>
        <v>509672.1767372801</v>
      </c>
      <c r="CY35" s="68">
        <f>CY114</f>
        <v>515427.23841334565</v>
      </c>
      <c r="CZ35" s="68">
        <f>CZ114</f>
        <v>520407.74740337621</v>
      </c>
      <c r="DA35" s="68">
        <f>DA114</f>
        <v>525045.16775572766</v>
      </c>
      <c r="DB35" s="28">
        <f t="shared" si="250"/>
        <v>525045.16775572766</v>
      </c>
    </row>
    <row r="36" spans="1:106" ht="11.5" customHeight="1" x14ac:dyDescent="0.35">
      <c r="A36" s="19" t="s">
        <v>241</v>
      </c>
      <c r="B36" s="403"/>
      <c r="C36" s="403"/>
      <c r="D36" s="403"/>
      <c r="E36" s="403"/>
      <c r="F36" s="28">
        <f t="shared" si="230"/>
        <v>0</v>
      </c>
      <c r="G36" s="403"/>
      <c r="H36" s="403"/>
      <c r="I36" s="403"/>
      <c r="J36" s="403"/>
      <c r="K36" s="28">
        <f t="shared" si="231"/>
        <v>0</v>
      </c>
      <c r="L36" s="403"/>
      <c r="M36" s="403"/>
      <c r="N36" s="403"/>
      <c r="O36" s="403"/>
      <c r="P36" s="28">
        <f t="shared" si="232"/>
        <v>0</v>
      </c>
      <c r="Q36" s="403"/>
      <c r="R36" s="403"/>
      <c r="S36" s="403"/>
      <c r="T36" s="403"/>
      <c r="U36" s="28">
        <f t="shared" si="233"/>
        <v>0</v>
      </c>
      <c r="V36" s="403"/>
      <c r="W36" s="403"/>
      <c r="X36" s="403"/>
      <c r="Y36" s="403"/>
      <c r="Z36" s="28">
        <f t="shared" si="234"/>
        <v>0</v>
      </c>
      <c r="AA36" s="403"/>
      <c r="AB36" s="403"/>
      <c r="AC36" s="403"/>
      <c r="AD36" s="403"/>
      <c r="AE36" s="28">
        <f t="shared" si="235"/>
        <v>0</v>
      </c>
      <c r="AF36" s="403"/>
      <c r="AG36" s="403"/>
      <c r="AH36" s="403"/>
      <c r="AI36" s="403"/>
      <c r="AJ36" s="28">
        <f t="shared" si="236"/>
        <v>0</v>
      </c>
      <c r="AK36" s="403">
        <v>78900</v>
      </c>
      <c r="AL36" s="403">
        <v>85638</v>
      </c>
      <c r="AM36" s="403">
        <v>105648</v>
      </c>
      <c r="AN36" s="403">
        <v>89574</v>
      </c>
      <c r="AO36" s="28">
        <f t="shared" si="237"/>
        <v>89574</v>
      </c>
      <c r="AP36" s="403">
        <v>74519</v>
      </c>
      <c r="AQ36" s="403">
        <v>61710</v>
      </c>
      <c r="AR36" s="403">
        <v>74105</v>
      </c>
      <c r="AS36" s="403">
        <v>65985</v>
      </c>
      <c r="AT36" s="28">
        <f t="shared" si="238"/>
        <v>65985</v>
      </c>
      <c r="AU36" s="403">
        <v>69857</v>
      </c>
      <c r="AV36" s="403">
        <v>68947</v>
      </c>
      <c r="AW36" s="403">
        <v>116528</v>
      </c>
      <c r="AX36" s="403">
        <f>76784+57370</f>
        <v>134154</v>
      </c>
      <c r="AY36" s="28">
        <f t="shared" si="252"/>
        <v>134154</v>
      </c>
      <c r="AZ36" s="403">
        <f>74798+72269</f>
        <v>147067</v>
      </c>
      <c r="BA36" s="403">
        <f>55922+86565</f>
        <v>142487</v>
      </c>
      <c r="BB36" s="403">
        <f>119689+90466</f>
        <v>210155</v>
      </c>
      <c r="BC36" s="403">
        <f>101121+170772</f>
        <v>271893</v>
      </c>
      <c r="BD36" s="28">
        <f t="shared" si="253"/>
        <v>271893</v>
      </c>
      <c r="BE36" s="403">
        <f>140502+266241</f>
        <v>406743</v>
      </c>
      <c r="BF36" s="403">
        <f>180089+217357</f>
        <v>397446</v>
      </c>
      <c r="BG36" s="403">
        <f>140604+294980</f>
        <v>435584</v>
      </c>
      <c r="BH36" s="403">
        <f>321259+374570</f>
        <v>695829</v>
      </c>
      <c r="BI36" s="28">
        <f t="shared" si="254"/>
        <v>695829</v>
      </c>
      <c r="BJ36" s="403">
        <f>315359+367692</f>
        <v>683051</v>
      </c>
      <c r="BK36" s="403">
        <f>316154+355650</f>
        <v>671804</v>
      </c>
      <c r="BL36" s="403">
        <f>299651+439710</f>
        <v>739361</v>
      </c>
      <c r="BM36" s="403">
        <f>346258+429912</f>
        <v>776170</v>
      </c>
      <c r="BN36" s="28">
        <f t="shared" si="255"/>
        <v>776170</v>
      </c>
      <c r="BO36" s="403">
        <f>350278+567132</f>
        <v>917410</v>
      </c>
      <c r="BP36" s="403">
        <f>396647+507425</f>
        <v>904072</v>
      </c>
      <c r="BQ36" s="403">
        <f>431398+509198</f>
        <v>940596</v>
      </c>
      <c r="BR36" s="403">
        <f>506369+423231</f>
        <v>929600</v>
      </c>
      <c r="BS36" s="28">
        <f t="shared" si="256"/>
        <v>929600</v>
      </c>
      <c r="BT36" s="403">
        <f>562486+497891</f>
        <v>1060377</v>
      </c>
      <c r="BU36" s="403">
        <f>599894+490050</f>
        <v>1089944</v>
      </c>
      <c r="BV36" s="403">
        <f>642080+447808</f>
        <v>1089888</v>
      </c>
      <c r="BW36" s="403">
        <f>521618+843900</f>
        <v>1365518</v>
      </c>
      <c r="BX36" s="28">
        <f t="shared" si="257"/>
        <v>1365518</v>
      </c>
      <c r="BY36" s="403">
        <f>574539+828495</f>
        <v>1403034</v>
      </c>
      <c r="BZ36" s="403">
        <f>627468+841734</f>
        <v>1469202</v>
      </c>
      <c r="CA36" s="403">
        <f>675251+910977</f>
        <v>1586228</v>
      </c>
      <c r="CB36" s="403">
        <f>717439+864061</f>
        <v>1581500</v>
      </c>
      <c r="CC36" s="28">
        <f t="shared" si="245"/>
        <v>1581500</v>
      </c>
      <c r="CD36" s="403">
        <f>764029+993296</f>
        <v>1757325</v>
      </c>
      <c r="CE36" s="403">
        <f>840714+916852</f>
        <v>1757566</v>
      </c>
      <c r="CF36" s="68">
        <f>CF111</f>
        <v>1783796.5447662103</v>
      </c>
      <c r="CG36" s="68">
        <f>CG111</f>
        <v>1767750.9761324215</v>
      </c>
      <c r="CH36" s="28">
        <f t="shared" si="246"/>
        <v>1767750.9761324215</v>
      </c>
      <c r="CI36" s="68">
        <f>CI111</f>
        <v>1927849.1085044581</v>
      </c>
      <c r="CJ36" s="68">
        <f>CJ111</f>
        <v>1970330.670623994</v>
      </c>
      <c r="CK36" s="68">
        <f>CK111</f>
        <v>1900588.9916630359</v>
      </c>
      <c r="CL36" s="68">
        <f>CL111</f>
        <v>1867215.8258471014</v>
      </c>
      <c r="CM36" s="28">
        <f t="shared" si="247"/>
        <v>1867215.8258471014</v>
      </c>
      <c r="CN36" s="68">
        <f>CN111</f>
        <v>2029679.5662043248</v>
      </c>
      <c r="CO36" s="68">
        <f>CO111</f>
        <v>2075686.4398198286</v>
      </c>
      <c r="CP36" s="68">
        <f>CP111</f>
        <v>2005947.9001805612</v>
      </c>
      <c r="CQ36" s="68">
        <f>CQ111</f>
        <v>1970703.5717400291</v>
      </c>
      <c r="CR36" s="28">
        <f t="shared" si="248"/>
        <v>1970703.5717400291</v>
      </c>
      <c r="CS36" s="68">
        <f>CS111</f>
        <v>2116806.9153631697</v>
      </c>
      <c r="CT36" s="68">
        <f>CT111</f>
        <v>2150223.1214749902</v>
      </c>
      <c r="CU36" s="68">
        <f>CU111</f>
        <v>2068656.158619887</v>
      </c>
      <c r="CV36" s="68">
        <f>CV111</f>
        <v>2026229.6265692175</v>
      </c>
      <c r="CW36" s="28">
        <f t="shared" si="249"/>
        <v>2026229.6265692175</v>
      </c>
      <c r="CX36" s="68">
        <f>CX111</f>
        <v>2174421.5971635752</v>
      </c>
      <c r="CY36" s="68">
        <f>CY111</f>
        <v>2171098.9418345448</v>
      </c>
      <c r="CZ36" s="68">
        <f>CZ111</f>
        <v>2017839.3543725307</v>
      </c>
      <c r="DA36" s="68">
        <f>DA111</f>
        <v>1883459.8939885399</v>
      </c>
      <c r="DB36" s="28">
        <f t="shared" si="250"/>
        <v>1883459.8939885399</v>
      </c>
    </row>
    <row r="37" spans="1:106" ht="11.5" customHeight="1" x14ac:dyDescent="0.35">
      <c r="A37" s="19" t="s">
        <v>171</v>
      </c>
      <c r="B37" s="421"/>
      <c r="C37" s="421"/>
      <c r="D37" s="421"/>
      <c r="E37" s="421"/>
      <c r="F37" s="28">
        <f t="shared" si="230"/>
        <v>0</v>
      </c>
      <c r="G37" s="421"/>
      <c r="H37" s="421"/>
      <c r="I37" s="421"/>
      <c r="J37" s="421"/>
      <c r="K37" s="28">
        <f t="shared" si="231"/>
        <v>0</v>
      </c>
      <c r="L37" s="421"/>
      <c r="M37" s="421"/>
      <c r="N37" s="421"/>
      <c r="O37" s="421"/>
      <c r="P37" s="28">
        <f t="shared" si="232"/>
        <v>0</v>
      </c>
      <c r="Q37" s="421"/>
      <c r="R37" s="421"/>
      <c r="S37" s="421"/>
      <c r="T37" s="421"/>
      <c r="U37" s="28">
        <f t="shared" si="233"/>
        <v>0</v>
      </c>
      <c r="V37" s="421"/>
      <c r="W37" s="421"/>
      <c r="X37" s="421"/>
      <c r="Y37" s="421"/>
      <c r="Z37" s="28">
        <f t="shared" si="234"/>
        <v>0</v>
      </c>
      <c r="AA37" s="421"/>
      <c r="AB37" s="421"/>
      <c r="AC37" s="421"/>
      <c r="AD37" s="421"/>
      <c r="AE37" s="28">
        <f t="shared" si="235"/>
        <v>0</v>
      </c>
      <c r="AF37" s="421"/>
      <c r="AG37" s="421"/>
      <c r="AH37" s="421"/>
      <c r="AI37" s="421"/>
      <c r="AJ37" s="28">
        <f t="shared" si="236"/>
        <v>0</v>
      </c>
      <c r="AK37" s="421">
        <v>5848</v>
      </c>
      <c r="AL37" s="421">
        <v>7220</v>
      </c>
      <c r="AM37" s="421">
        <v>7488</v>
      </c>
      <c r="AN37" s="421">
        <v>6357</v>
      </c>
      <c r="AO37" s="28">
        <f t="shared" si="237"/>
        <v>6357</v>
      </c>
      <c r="AP37" s="421">
        <v>7140</v>
      </c>
      <c r="AQ37" s="421">
        <v>7668</v>
      </c>
      <c r="AR37" s="421">
        <v>7777</v>
      </c>
      <c r="AS37" s="421">
        <v>7193</v>
      </c>
      <c r="AT37" s="28">
        <f t="shared" si="238"/>
        <v>7193</v>
      </c>
      <c r="AU37" s="421">
        <v>8462</v>
      </c>
      <c r="AV37" s="421">
        <v>9059</v>
      </c>
      <c r="AW37" s="421">
        <v>10123</v>
      </c>
      <c r="AX37" s="421">
        <f>8810</f>
        <v>8810</v>
      </c>
      <c r="AY37" s="28">
        <f t="shared" si="252"/>
        <v>8810</v>
      </c>
      <c r="AZ37" s="421">
        <v>8131</v>
      </c>
      <c r="BA37" s="421">
        <v>6957</v>
      </c>
      <c r="BB37" s="421">
        <v>9230</v>
      </c>
      <c r="BC37" s="421">
        <v>9201</v>
      </c>
      <c r="BD37" s="28">
        <f t="shared" si="253"/>
        <v>9201</v>
      </c>
      <c r="BE37" s="421">
        <v>9385</v>
      </c>
      <c r="BF37" s="421">
        <v>8745</v>
      </c>
      <c r="BG37" s="421">
        <v>9271</v>
      </c>
      <c r="BH37" s="421">
        <v>8366</v>
      </c>
      <c r="BI37" s="28">
        <f t="shared" si="254"/>
        <v>8366</v>
      </c>
      <c r="BJ37" s="421">
        <v>10182</v>
      </c>
      <c r="BK37" s="421">
        <v>12518</v>
      </c>
      <c r="BL37" s="421">
        <v>12142</v>
      </c>
      <c r="BM37" s="421">
        <v>14840</v>
      </c>
      <c r="BN37" s="28">
        <f t="shared" si="255"/>
        <v>14840</v>
      </c>
      <c r="BO37" s="421">
        <v>14924</v>
      </c>
      <c r="BP37" s="421">
        <v>14002</v>
      </c>
      <c r="BQ37" s="421">
        <v>16903</v>
      </c>
      <c r="BR37" s="421">
        <v>19051</v>
      </c>
      <c r="BS37" s="28">
        <f t="shared" si="256"/>
        <v>19051</v>
      </c>
      <c r="BT37" s="421">
        <v>17695</v>
      </c>
      <c r="BU37" s="421">
        <v>19541</v>
      </c>
      <c r="BV37" s="421">
        <v>20725</v>
      </c>
      <c r="BW37" s="421">
        <v>27898</v>
      </c>
      <c r="BX37" s="28">
        <f t="shared" si="257"/>
        <v>27898</v>
      </c>
      <c r="BY37" s="421">
        <v>24510</v>
      </c>
      <c r="BZ37" s="421">
        <v>30682</v>
      </c>
      <c r="CA37" s="421">
        <v>39048</v>
      </c>
      <c r="CB37" s="421">
        <v>42103</v>
      </c>
      <c r="CC37" s="28">
        <f t="shared" si="245"/>
        <v>42103</v>
      </c>
      <c r="CD37" s="421">
        <v>40189</v>
      </c>
      <c r="CE37" s="421">
        <v>45828</v>
      </c>
      <c r="CF37" s="68">
        <f>CF128</f>
        <v>48256.990228472852</v>
      </c>
      <c r="CG37" s="68">
        <f>CG128</f>
        <v>51521.357843056678</v>
      </c>
      <c r="CH37" s="28">
        <f t="shared" si="246"/>
        <v>51521.357843056678</v>
      </c>
      <c r="CI37" s="68">
        <f>CI128</f>
        <v>53729.41321231785</v>
      </c>
      <c r="CJ37" s="68">
        <f>CJ128</f>
        <v>57928.214903205597</v>
      </c>
      <c r="CK37" s="68">
        <f>CK128</f>
        <v>59158.013097974952</v>
      </c>
      <c r="CL37" s="68">
        <f>CL128</f>
        <v>60377.945577519175</v>
      </c>
      <c r="CM37" s="28">
        <f t="shared" si="247"/>
        <v>60377.945577519175</v>
      </c>
      <c r="CN37" s="68">
        <f>CN128</f>
        <v>61093.730714908896</v>
      </c>
      <c r="CO37" s="68">
        <f>CO128</f>
        <v>61700.284284780959</v>
      </c>
      <c r="CP37" s="68">
        <f>CP128</f>
        <v>62222.871814781778</v>
      </c>
      <c r="CQ37" s="68">
        <f>CQ128</f>
        <v>62782.750010414493</v>
      </c>
      <c r="CR37" s="28">
        <f t="shared" si="248"/>
        <v>62782.750010414493</v>
      </c>
      <c r="CS37" s="68">
        <f>CS128</f>
        <v>63937.696353321619</v>
      </c>
      <c r="CT37" s="68">
        <f>CT128</f>
        <v>64923.279780150151</v>
      </c>
      <c r="CU37" s="68">
        <f>CU128</f>
        <v>65717.037969709723</v>
      </c>
      <c r="CV37" s="68">
        <f>CV128</f>
        <v>66407.945436279697</v>
      </c>
      <c r="CW37" s="28">
        <f t="shared" si="249"/>
        <v>66407.945436279697</v>
      </c>
      <c r="CX37" s="68">
        <f>CX128</f>
        <v>67189.217727598763</v>
      </c>
      <c r="CY37" s="68">
        <f>CY128</f>
        <v>67947.897737294974</v>
      </c>
      <c r="CZ37" s="68">
        <f>CZ128</f>
        <v>68604.469781442327</v>
      </c>
      <c r="DA37" s="68">
        <f>DA128</f>
        <v>69215.813032987237</v>
      </c>
      <c r="DB37" s="28">
        <f t="shared" si="250"/>
        <v>69215.813032987237</v>
      </c>
    </row>
    <row r="38" spans="1:106" ht="11.5" customHeight="1" x14ac:dyDescent="0.35">
      <c r="A38" s="19" t="s">
        <v>172</v>
      </c>
      <c r="B38" s="421"/>
      <c r="C38" s="421"/>
      <c r="D38" s="421"/>
      <c r="E38" s="421"/>
      <c r="F38" s="28">
        <f t="shared" si="230"/>
        <v>0</v>
      </c>
      <c r="G38" s="421"/>
      <c r="H38" s="421"/>
      <c r="I38" s="421"/>
      <c r="J38" s="421"/>
      <c r="K38" s="28">
        <f t="shared" si="231"/>
        <v>0</v>
      </c>
      <c r="L38" s="421"/>
      <c r="M38" s="421"/>
      <c r="N38" s="421"/>
      <c r="O38" s="421"/>
      <c r="P38" s="28">
        <f t="shared" si="232"/>
        <v>0</v>
      </c>
      <c r="Q38" s="421"/>
      <c r="R38" s="421"/>
      <c r="S38" s="421"/>
      <c r="T38" s="421"/>
      <c r="U38" s="28">
        <f t="shared" si="233"/>
        <v>0</v>
      </c>
      <c r="V38" s="421"/>
      <c r="W38" s="421"/>
      <c r="X38" s="421"/>
      <c r="Y38" s="421"/>
      <c r="Z38" s="28">
        <f t="shared" si="234"/>
        <v>0</v>
      </c>
      <c r="AA38" s="421"/>
      <c r="AB38" s="421"/>
      <c r="AC38" s="421"/>
      <c r="AD38" s="421"/>
      <c r="AE38" s="28">
        <f t="shared" si="235"/>
        <v>0</v>
      </c>
      <c r="AF38" s="421"/>
      <c r="AG38" s="421"/>
      <c r="AH38" s="421"/>
      <c r="AI38" s="421"/>
      <c r="AJ38" s="28">
        <f t="shared" si="236"/>
        <v>0</v>
      </c>
      <c r="AK38" s="421">
        <v>24183</v>
      </c>
      <c r="AL38" s="421">
        <v>21046</v>
      </c>
      <c r="AM38" s="421">
        <v>24064</v>
      </c>
      <c r="AN38" s="421">
        <v>20038</v>
      </c>
      <c r="AO38" s="28">
        <f t="shared" si="237"/>
        <v>20038</v>
      </c>
      <c r="AP38" s="421">
        <v>19689</v>
      </c>
      <c r="AQ38" s="421">
        <v>20958</v>
      </c>
      <c r="AR38" s="421">
        <v>21662</v>
      </c>
      <c r="AS38" s="421">
        <v>20691</v>
      </c>
      <c r="AT38" s="28">
        <f t="shared" si="238"/>
        <v>20691</v>
      </c>
      <c r="AU38" s="421">
        <v>20968</v>
      </c>
      <c r="AV38" s="421">
        <v>21787</v>
      </c>
      <c r="AW38" s="421">
        <v>20054</v>
      </c>
      <c r="AX38" s="421">
        <f>9018+12527</f>
        <v>21545</v>
      </c>
      <c r="AY38" s="28">
        <f t="shared" si="252"/>
        <v>21545</v>
      </c>
      <c r="AZ38" s="421">
        <f>10985+11900</f>
        <v>22885</v>
      </c>
      <c r="BA38" s="421">
        <f>10814+11715</f>
        <v>22529</v>
      </c>
      <c r="BB38" s="421">
        <f>8586+16026</f>
        <v>24612</v>
      </c>
      <c r="BC38" s="421">
        <f>11824+12809</f>
        <v>24633</v>
      </c>
      <c r="BD38" s="28">
        <f t="shared" si="253"/>
        <v>24633</v>
      </c>
      <c r="BE38" s="421">
        <f>15899+11847</f>
        <v>27746</v>
      </c>
      <c r="BF38" s="421">
        <f>15476+16766</f>
        <v>32242</v>
      </c>
      <c r="BG38" s="421">
        <f>15962+17294</f>
        <v>33256</v>
      </c>
      <c r="BH38" s="421">
        <f>15691+16999</f>
        <v>32690</v>
      </c>
      <c r="BI38" s="28">
        <f t="shared" si="254"/>
        <v>32690</v>
      </c>
      <c r="BJ38" s="421">
        <f>18293+19817</f>
        <v>38110</v>
      </c>
      <c r="BK38" s="421">
        <f>22265+20553</f>
        <v>42818</v>
      </c>
      <c r="BL38" s="421">
        <f>22198+24048</f>
        <v>46246</v>
      </c>
      <c r="BM38" s="421">
        <f>22126+23969</f>
        <v>46095</v>
      </c>
      <c r="BN38" s="28">
        <f t="shared" si="255"/>
        <v>46095</v>
      </c>
      <c r="BO38" s="421">
        <f>23751+25731</f>
        <v>49482</v>
      </c>
      <c r="BP38" s="421">
        <f>26052+28223</f>
        <v>54275</v>
      </c>
      <c r="BQ38" s="421">
        <f>42769+13172</f>
        <v>55941</v>
      </c>
      <c r="BR38" s="421">
        <f>26723+28950</f>
        <v>55673</v>
      </c>
      <c r="BS38" s="28">
        <f t="shared" si="256"/>
        <v>55673</v>
      </c>
      <c r="BT38" s="421">
        <f>16238+45513</f>
        <v>61751</v>
      </c>
      <c r="BU38" s="421">
        <f>29358+31804</f>
        <v>61162</v>
      </c>
      <c r="BV38" s="421">
        <f>30080+32587</f>
        <v>62667</v>
      </c>
      <c r="BW38" s="421">
        <f>27843+30164</f>
        <v>58007</v>
      </c>
      <c r="BX38" s="28">
        <f t="shared" si="257"/>
        <v>58007</v>
      </c>
      <c r="BY38" s="421">
        <f>36536+39581</f>
        <v>76117</v>
      </c>
      <c r="BZ38" s="421">
        <f>82147</f>
        <v>82147</v>
      </c>
      <c r="CA38" s="421">
        <f>9258+72346</f>
        <v>81604</v>
      </c>
      <c r="CB38" s="421">
        <f>10146+71175</f>
        <v>81321</v>
      </c>
      <c r="CC38" s="28">
        <f t="shared" si="245"/>
        <v>81321</v>
      </c>
      <c r="CD38" s="421">
        <f>14430+75119</f>
        <v>89549</v>
      </c>
      <c r="CE38" s="421">
        <f>80949+14873</f>
        <v>95822</v>
      </c>
      <c r="CF38" s="423">
        <f>CE38-IS!CF40</f>
        <v>94791.63524454867</v>
      </c>
      <c r="CG38" s="423">
        <f>CF38-IS!CG40</f>
        <v>94612.049016751378</v>
      </c>
      <c r="CH38" s="28">
        <f t="shared" si="246"/>
        <v>94612.049016751378</v>
      </c>
      <c r="CI38" s="423">
        <f>CH38-IS!CI40</f>
        <v>97047.610303695808</v>
      </c>
      <c r="CJ38" s="423">
        <f>CI38-IS!CJ40</f>
        <v>100011.10192262148</v>
      </c>
      <c r="CK38" s="423">
        <f>CJ38-IS!CK40</f>
        <v>102541.15111071302</v>
      </c>
      <c r="CL38" s="423">
        <f>CK38-IS!CL40</f>
        <v>103626.06646209414</v>
      </c>
      <c r="CM38" s="28">
        <f t="shared" si="247"/>
        <v>103626.06646209414</v>
      </c>
      <c r="CN38" s="423">
        <f>CM38-IS!CN40</f>
        <v>104995.35581286038</v>
      </c>
      <c r="CO38" s="423">
        <f>CN38-IS!CO40</f>
        <v>105582.03090062531</v>
      </c>
      <c r="CP38" s="423">
        <f>CO38-IS!CP40</f>
        <v>106145.44280711733</v>
      </c>
      <c r="CQ38" s="423">
        <f>CP38-IS!CQ40</f>
        <v>107157.07952361036</v>
      </c>
      <c r="CR38" s="28">
        <f t="shared" si="248"/>
        <v>107157.07952361036</v>
      </c>
      <c r="CS38" s="423">
        <f>CR38-IS!CS40</f>
        <v>107935.7714057674</v>
      </c>
      <c r="CT38" s="423">
        <f>CS38-IS!CT40</f>
        <v>108524.59575738812</v>
      </c>
      <c r="CU38" s="423">
        <f>CT38-IS!CU40</f>
        <v>108980.40446723002</v>
      </c>
      <c r="CV38" s="423">
        <f>CU38-IS!CV40</f>
        <v>109339.94395274104</v>
      </c>
      <c r="CW38" s="28">
        <f t="shared" si="249"/>
        <v>109339.94395274104</v>
      </c>
      <c r="CX38" s="423">
        <f>CW38-IS!CX40</f>
        <v>109608.85477751697</v>
      </c>
      <c r="CY38" s="423">
        <f>CX38-IS!CY40</f>
        <v>109793.75302065985</v>
      </c>
      <c r="CZ38" s="423">
        <f>CY38-IS!CZ40</f>
        <v>109921.54150235161</v>
      </c>
      <c r="DA38" s="423">
        <f>CZ38-IS!DA40</f>
        <v>110008.98443383181</v>
      </c>
      <c r="DB38" s="28">
        <f t="shared" si="250"/>
        <v>110008.98443383181</v>
      </c>
    </row>
    <row r="39" spans="1:106" ht="11.5" customHeight="1" x14ac:dyDescent="0.35">
      <c r="A39" s="19" t="s">
        <v>173</v>
      </c>
      <c r="B39" s="421"/>
      <c r="C39" s="421"/>
      <c r="D39" s="421"/>
      <c r="E39" s="421"/>
      <c r="F39" s="28">
        <f t="shared" si="230"/>
        <v>0</v>
      </c>
      <c r="G39" s="421"/>
      <c r="H39" s="421"/>
      <c r="I39" s="421"/>
      <c r="J39" s="421"/>
      <c r="K39" s="28">
        <f t="shared" si="231"/>
        <v>0</v>
      </c>
      <c r="L39" s="421"/>
      <c r="M39" s="421"/>
      <c r="N39" s="421"/>
      <c r="O39" s="421"/>
      <c r="P39" s="28">
        <f t="shared" si="232"/>
        <v>0</v>
      </c>
      <c r="Q39" s="421"/>
      <c r="R39" s="421"/>
      <c r="S39" s="421"/>
      <c r="T39" s="421"/>
      <c r="U39" s="28">
        <f t="shared" si="233"/>
        <v>0</v>
      </c>
      <c r="V39" s="421"/>
      <c r="W39" s="421"/>
      <c r="X39" s="421"/>
      <c r="Y39" s="421"/>
      <c r="Z39" s="28">
        <f t="shared" si="234"/>
        <v>0</v>
      </c>
      <c r="AA39" s="421"/>
      <c r="AB39" s="421"/>
      <c r="AC39" s="421"/>
      <c r="AD39" s="421"/>
      <c r="AE39" s="28">
        <f t="shared" si="235"/>
        <v>0</v>
      </c>
      <c r="AF39" s="421"/>
      <c r="AG39" s="421"/>
      <c r="AH39" s="421"/>
      <c r="AI39" s="421"/>
      <c r="AJ39" s="28">
        <f t="shared" si="236"/>
        <v>0</v>
      </c>
      <c r="AK39" s="421">
        <v>202136</v>
      </c>
      <c r="AL39" s="421">
        <v>183740</v>
      </c>
      <c r="AM39" s="421">
        <v>168740</v>
      </c>
      <c r="AN39" s="421">
        <v>242057</v>
      </c>
      <c r="AO39" s="28">
        <f t="shared" si="237"/>
        <v>242057</v>
      </c>
      <c r="AP39" s="421">
        <v>203740</v>
      </c>
      <c r="AQ39" s="421">
        <v>188740</v>
      </c>
      <c r="AR39" s="421">
        <v>101058</v>
      </c>
      <c r="AS39" s="421">
        <v>134369</v>
      </c>
      <c r="AT39" s="28">
        <f t="shared" si="238"/>
        <v>134369</v>
      </c>
      <c r="AU39" s="421">
        <v>134369</v>
      </c>
      <c r="AV39" s="421">
        <v>134369</v>
      </c>
      <c r="AW39" s="421">
        <v>134369</v>
      </c>
      <c r="AX39" s="421">
        <f>170000</f>
        <v>170000</v>
      </c>
      <c r="AY39" s="28">
        <f t="shared" si="252"/>
        <v>170000</v>
      </c>
      <c r="AZ39" s="421">
        <v>170000</v>
      </c>
      <c r="BA39" s="421">
        <v>170000</v>
      </c>
      <c r="BB39" s="421">
        <v>170000</v>
      </c>
      <c r="BC39" s="421">
        <v>38193</v>
      </c>
      <c r="BD39" s="28">
        <f t="shared" si="253"/>
        <v>38193</v>
      </c>
      <c r="BE39" s="421">
        <v>38193</v>
      </c>
      <c r="BF39" s="421">
        <v>115000</v>
      </c>
      <c r="BG39" s="421">
        <v>0</v>
      </c>
      <c r="BH39" s="421">
        <v>71191</v>
      </c>
      <c r="BI39" s="28">
        <f t="shared" si="254"/>
        <v>71191</v>
      </c>
      <c r="BJ39" s="421">
        <v>71191</v>
      </c>
      <c r="BK39" s="421">
        <v>150000</v>
      </c>
      <c r="BL39" s="421">
        <v>0</v>
      </c>
      <c r="BM39" s="421">
        <v>78348</v>
      </c>
      <c r="BN39" s="28">
        <f t="shared" si="255"/>
        <v>78348</v>
      </c>
      <c r="BO39" s="421">
        <v>18348</v>
      </c>
      <c r="BP39" s="421">
        <v>0</v>
      </c>
      <c r="BQ39" s="421">
        <v>150000</v>
      </c>
      <c r="BR39" s="421">
        <v>118537</v>
      </c>
      <c r="BS39" s="28">
        <f t="shared" si="256"/>
        <v>118537</v>
      </c>
      <c r="BT39" s="421">
        <v>118537</v>
      </c>
      <c r="BU39" s="421">
        <v>265000</v>
      </c>
      <c r="BV39" s="421">
        <v>0</v>
      </c>
      <c r="BW39" s="421">
        <v>54338</v>
      </c>
      <c r="BX39" s="28">
        <f t="shared" si="257"/>
        <v>54338</v>
      </c>
      <c r="BY39" s="421">
        <v>54338</v>
      </c>
      <c r="BZ39" s="421">
        <v>0</v>
      </c>
      <c r="CA39" s="421">
        <v>200000</v>
      </c>
      <c r="CB39" s="421">
        <v>0</v>
      </c>
      <c r="CC39" s="28">
        <f t="shared" si="245"/>
        <v>0</v>
      </c>
      <c r="CD39" s="421">
        <v>140000</v>
      </c>
      <c r="CE39" s="421">
        <v>30000</v>
      </c>
      <c r="CF39" s="68">
        <v>0</v>
      </c>
      <c r="CG39" s="68">
        <v>0</v>
      </c>
      <c r="CH39" s="28">
        <f t="shared" si="246"/>
        <v>0</v>
      </c>
      <c r="CI39" s="68">
        <f ca="1">IS!CI55</f>
        <v>252562.98815478207</v>
      </c>
      <c r="CJ39" s="68">
        <v>0</v>
      </c>
      <c r="CK39" s="68">
        <v>0</v>
      </c>
      <c r="CL39" s="68">
        <v>0</v>
      </c>
      <c r="CM39" s="28">
        <f t="shared" si="247"/>
        <v>0</v>
      </c>
      <c r="CN39" s="68">
        <f ca="1">IS!CN55</f>
        <v>358063.1616532976</v>
      </c>
      <c r="CO39" s="68">
        <v>0</v>
      </c>
      <c r="CP39" s="68">
        <v>0</v>
      </c>
      <c r="CQ39" s="68">
        <v>0</v>
      </c>
      <c r="CR39" s="28">
        <f t="shared" si="248"/>
        <v>0</v>
      </c>
      <c r="CS39" s="68">
        <f ca="1">IS!CS55</f>
        <v>414402.42626137892</v>
      </c>
      <c r="CT39" s="68">
        <v>0</v>
      </c>
      <c r="CU39" s="68">
        <v>0</v>
      </c>
      <c r="CV39" s="68">
        <v>0</v>
      </c>
      <c r="CW39" s="28">
        <f t="shared" si="249"/>
        <v>0</v>
      </c>
      <c r="CX39" s="68">
        <f ca="1">IS!CX55</f>
        <v>431816.23419271538</v>
      </c>
      <c r="CY39" s="68">
        <v>0</v>
      </c>
      <c r="CZ39" s="68">
        <v>0</v>
      </c>
      <c r="DA39" s="68">
        <v>0</v>
      </c>
      <c r="DB39" s="28">
        <f t="shared" si="250"/>
        <v>0</v>
      </c>
    </row>
    <row r="40" spans="1:106" ht="11.5" customHeight="1" x14ac:dyDescent="0.35">
      <c r="A40" s="19" t="s">
        <v>174</v>
      </c>
      <c r="B40" s="403"/>
      <c r="C40" s="403"/>
      <c r="D40" s="403"/>
      <c r="E40" s="403"/>
      <c r="F40" s="28">
        <f t="shared" si="230"/>
        <v>0</v>
      </c>
      <c r="G40" s="403"/>
      <c r="H40" s="403"/>
      <c r="I40" s="403"/>
      <c r="J40" s="403"/>
      <c r="K40" s="28">
        <f t="shared" si="231"/>
        <v>0</v>
      </c>
      <c r="L40" s="403"/>
      <c r="M40" s="403"/>
      <c r="N40" s="403"/>
      <c r="O40" s="403"/>
      <c r="P40" s="28">
        <f t="shared" si="232"/>
        <v>0</v>
      </c>
      <c r="Q40" s="403"/>
      <c r="R40" s="403"/>
      <c r="S40" s="403"/>
      <c r="T40" s="403"/>
      <c r="U40" s="28">
        <f t="shared" si="233"/>
        <v>0</v>
      </c>
      <c r="V40" s="403"/>
      <c r="W40" s="403"/>
      <c r="X40" s="403"/>
      <c r="Y40" s="403"/>
      <c r="Z40" s="28">
        <f t="shared" si="234"/>
        <v>0</v>
      </c>
      <c r="AA40" s="403"/>
      <c r="AB40" s="403"/>
      <c r="AC40" s="403"/>
      <c r="AD40" s="403"/>
      <c r="AE40" s="28">
        <f t="shared" si="235"/>
        <v>0</v>
      </c>
      <c r="AF40" s="403"/>
      <c r="AG40" s="403"/>
      <c r="AH40" s="403"/>
      <c r="AI40" s="403"/>
      <c r="AJ40" s="28">
        <f t="shared" si="236"/>
        <v>0</v>
      </c>
      <c r="AK40" s="403">
        <v>28789</v>
      </c>
      <c r="AL40" s="403">
        <v>29982</v>
      </c>
      <c r="AM40" s="403">
        <v>30411</v>
      </c>
      <c r="AN40" s="403">
        <v>25764</v>
      </c>
      <c r="AO40" s="28">
        <f t="shared" si="237"/>
        <v>25764</v>
      </c>
      <c r="AP40" s="403">
        <v>26668</v>
      </c>
      <c r="AQ40" s="403">
        <v>29013</v>
      </c>
      <c r="AR40" s="403">
        <v>31938</v>
      </c>
      <c r="AS40" s="403">
        <v>36736</v>
      </c>
      <c r="AT40" s="28">
        <f t="shared" si="238"/>
        <v>36736</v>
      </c>
      <c r="AU40" s="403">
        <v>31855</v>
      </c>
      <c r="AV40" s="403">
        <v>29677</v>
      </c>
      <c r="AW40" s="403">
        <v>30073</v>
      </c>
      <c r="AX40" s="403">
        <f>15490+13321+6759</f>
        <v>35570</v>
      </c>
      <c r="AY40" s="28">
        <f t="shared" si="252"/>
        <v>35570</v>
      </c>
      <c r="AZ40" s="403">
        <f>12700+7309+13321+1796</f>
        <v>35126</v>
      </c>
      <c r="BA40" s="403">
        <f>9804+8360+18835+1902</f>
        <v>38901</v>
      </c>
      <c r="BB40" s="403">
        <f>9909+19035+8358</f>
        <v>37302</v>
      </c>
      <c r="BC40" s="403">
        <f>14696+12638+9174+642</f>
        <v>37150</v>
      </c>
      <c r="BD40" s="28">
        <f t="shared" si="253"/>
        <v>37150</v>
      </c>
      <c r="BE40" s="403">
        <f>14496+12466+9475+656</f>
        <v>37093</v>
      </c>
      <c r="BF40" s="403">
        <f>13229+11086+10377+696</f>
        <v>35388</v>
      </c>
      <c r="BG40" s="403">
        <f>12286+10089+11427+794</f>
        <v>34596</v>
      </c>
      <c r="BH40" s="403">
        <f>11780+9299+13220+755</f>
        <v>35054</v>
      </c>
      <c r="BI40" s="28">
        <f t="shared" si="254"/>
        <v>35054</v>
      </c>
      <c r="BJ40" s="403">
        <f>11414+8804+15037+777</f>
        <v>36032</v>
      </c>
      <c r="BK40" s="403">
        <f>11492+8607+16723+807</f>
        <v>37629</v>
      </c>
      <c r="BL40" s="403">
        <f>10266+7656+18755+750</f>
        <v>37427</v>
      </c>
      <c r="BM40" s="403">
        <f>10189+8679+21389+893</f>
        <v>41150</v>
      </c>
      <c r="BN40" s="28">
        <f t="shared" si="255"/>
        <v>41150</v>
      </c>
      <c r="BO40" s="403">
        <f>10716+9016+23738+929</f>
        <v>44399</v>
      </c>
      <c r="BP40" s="403">
        <f>11097+9904+27158+932</f>
        <v>49091</v>
      </c>
      <c r="BQ40" s="403">
        <f>10925+9412+30803+750</f>
        <v>51890</v>
      </c>
      <c r="BR40" s="403">
        <f>11390+12048+38880+766</f>
        <v>63084</v>
      </c>
      <c r="BS40" s="28">
        <f t="shared" si="256"/>
        <v>63084</v>
      </c>
      <c r="BT40" s="403">
        <f>13291+15285+43195+695</f>
        <v>72466</v>
      </c>
      <c r="BU40" s="403">
        <f>12885+14816+48724+730</f>
        <v>77155</v>
      </c>
      <c r="BV40" s="403">
        <f>12641+14537+54775+755</f>
        <v>82708</v>
      </c>
      <c r="BW40" s="403">
        <f>13493+13769+60743+756</f>
        <v>88761</v>
      </c>
      <c r="BX40" s="28">
        <f t="shared" si="257"/>
        <v>88761</v>
      </c>
      <c r="BY40" s="403">
        <f>13600+16877+67925+769</f>
        <v>99171</v>
      </c>
      <c r="BZ40" s="403">
        <f>13623+21401+76096+833</f>
        <v>111953</v>
      </c>
      <c r="CA40" s="403">
        <f>13826+24107+82797+835</f>
        <v>121565</v>
      </c>
      <c r="CB40" s="403">
        <f>12388+91000+28640+896</f>
        <v>132924</v>
      </c>
      <c r="CC40" s="28">
        <f t="shared" si="245"/>
        <v>132924</v>
      </c>
      <c r="CD40" s="403">
        <f>13254+99586+35524+895</f>
        <v>149259</v>
      </c>
      <c r="CE40" s="403">
        <f>12631+41411+105495+886</f>
        <v>160423</v>
      </c>
      <c r="CF40" s="85">
        <f t="shared" ref="CF40:CG41" si="258">CE40</f>
        <v>160423</v>
      </c>
      <c r="CG40" s="85">
        <f t="shared" si="258"/>
        <v>160423</v>
      </c>
      <c r="CH40" s="28">
        <f t="shared" si="246"/>
        <v>160423</v>
      </c>
      <c r="CI40" s="85">
        <f t="shared" ref="CI40:CL41" si="259">CH40</f>
        <v>160423</v>
      </c>
      <c r="CJ40" s="85">
        <f t="shared" si="259"/>
        <v>160423</v>
      </c>
      <c r="CK40" s="85">
        <f t="shared" si="259"/>
        <v>160423</v>
      </c>
      <c r="CL40" s="85">
        <f t="shared" si="259"/>
        <v>160423</v>
      </c>
      <c r="CM40" s="28">
        <f t="shared" si="247"/>
        <v>160423</v>
      </c>
      <c r="CN40" s="85">
        <f t="shared" ref="CN40:CQ41" si="260">CM40</f>
        <v>160423</v>
      </c>
      <c r="CO40" s="85">
        <f t="shared" si="260"/>
        <v>160423</v>
      </c>
      <c r="CP40" s="85">
        <f t="shared" si="260"/>
        <v>160423</v>
      </c>
      <c r="CQ40" s="85">
        <f t="shared" si="260"/>
        <v>160423</v>
      </c>
      <c r="CR40" s="28">
        <f t="shared" si="248"/>
        <v>160423</v>
      </c>
      <c r="CS40" s="85">
        <f t="shared" ref="CS40:CV41" si="261">CR40</f>
        <v>160423</v>
      </c>
      <c r="CT40" s="85">
        <f t="shared" si="261"/>
        <v>160423</v>
      </c>
      <c r="CU40" s="85">
        <f t="shared" si="261"/>
        <v>160423</v>
      </c>
      <c r="CV40" s="85">
        <f t="shared" si="261"/>
        <v>160423</v>
      </c>
      <c r="CW40" s="28">
        <f t="shared" si="249"/>
        <v>160423</v>
      </c>
      <c r="CX40" s="85">
        <f t="shared" ref="CX40:DA41" si="262">CW40</f>
        <v>160423</v>
      </c>
      <c r="CY40" s="85">
        <f t="shared" si="262"/>
        <v>160423</v>
      </c>
      <c r="CZ40" s="85">
        <f t="shared" si="262"/>
        <v>160423</v>
      </c>
      <c r="DA40" s="85">
        <f t="shared" si="262"/>
        <v>160423</v>
      </c>
      <c r="DB40" s="28">
        <f t="shared" si="250"/>
        <v>160423</v>
      </c>
    </row>
    <row r="41" spans="1:106" ht="11.5" customHeight="1" x14ac:dyDescent="0.35">
      <c r="A41" s="70" t="s">
        <v>183</v>
      </c>
      <c r="B41" s="449"/>
      <c r="C41" s="449"/>
      <c r="D41" s="449"/>
      <c r="E41" s="449"/>
      <c r="F41" s="71">
        <f t="shared" si="230"/>
        <v>0</v>
      </c>
      <c r="G41" s="449"/>
      <c r="H41" s="449"/>
      <c r="I41" s="449"/>
      <c r="J41" s="449"/>
      <c r="K41" s="71">
        <f t="shared" si="231"/>
        <v>0</v>
      </c>
      <c r="L41" s="449"/>
      <c r="M41" s="449"/>
      <c r="N41" s="449"/>
      <c r="O41" s="449"/>
      <c r="P41" s="71">
        <f t="shared" si="232"/>
        <v>0</v>
      </c>
      <c r="Q41" s="449"/>
      <c r="R41" s="449"/>
      <c r="S41" s="449"/>
      <c r="T41" s="449"/>
      <c r="U41" s="71">
        <f t="shared" si="233"/>
        <v>0</v>
      </c>
      <c r="V41" s="449"/>
      <c r="W41" s="449"/>
      <c r="X41" s="449"/>
      <c r="Y41" s="449"/>
      <c r="Z41" s="71">
        <f t="shared" si="234"/>
        <v>0</v>
      </c>
      <c r="AA41" s="449"/>
      <c r="AB41" s="449"/>
      <c r="AC41" s="449"/>
      <c r="AD41" s="449"/>
      <c r="AE41" s="71">
        <f t="shared" si="235"/>
        <v>0</v>
      </c>
      <c r="AF41" s="449"/>
      <c r="AG41" s="449"/>
      <c r="AH41" s="449"/>
      <c r="AI41" s="449"/>
      <c r="AJ41" s="71">
        <f t="shared" si="236"/>
        <v>0</v>
      </c>
      <c r="AK41" s="449">
        <v>7953</v>
      </c>
      <c r="AL41" s="449">
        <v>4897</v>
      </c>
      <c r="AM41" s="449">
        <v>4818</v>
      </c>
      <c r="AN41" s="449">
        <v>3951</v>
      </c>
      <c r="AO41" s="71">
        <f t="shared" si="237"/>
        <v>3951</v>
      </c>
      <c r="AP41" s="449">
        <v>2959</v>
      </c>
      <c r="AQ41" s="449">
        <v>62526</v>
      </c>
      <c r="AR41" s="449">
        <v>124335</v>
      </c>
      <c r="AS41" s="449">
        <v>12738</v>
      </c>
      <c r="AT41" s="71">
        <f t="shared" si="238"/>
        <v>12738</v>
      </c>
      <c r="AU41" s="449">
        <v>13357</v>
      </c>
      <c r="AV41" s="449">
        <v>15805</v>
      </c>
      <c r="AW41" s="449">
        <v>14061</v>
      </c>
      <c r="AX41" s="449">
        <f>2841</f>
        <v>2841</v>
      </c>
      <c r="AY41" s="71">
        <f t="shared" si="252"/>
        <v>2841</v>
      </c>
      <c r="AZ41" s="449">
        <v>2465</v>
      </c>
      <c r="BA41" s="449">
        <v>1314</v>
      </c>
      <c r="BB41" s="449">
        <v>1877</v>
      </c>
      <c r="BC41" s="449">
        <v>2007</v>
      </c>
      <c r="BD41" s="71">
        <f t="shared" si="253"/>
        <v>2007</v>
      </c>
      <c r="BE41" s="449">
        <v>13356</v>
      </c>
      <c r="BF41" s="449">
        <v>12838</v>
      </c>
      <c r="BG41" s="449">
        <v>5274</v>
      </c>
      <c r="BH41" s="449">
        <v>5943</v>
      </c>
      <c r="BI41" s="71">
        <f t="shared" si="254"/>
        <v>5943</v>
      </c>
      <c r="BJ41" s="449">
        <v>5253</v>
      </c>
      <c r="BK41" s="449">
        <v>4414</v>
      </c>
      <c r="BL41" s="449">
        <v>3507</v>
      </c>
      <c r="BM41" s="449">
        <v>7388</v>
      </c>
      <c r="BN41" s="71">
        <f t="shared" si="255"/>
        <v>7388</v>
      </c>
      <c r="BO41" s="449">
        <v>5088</v>
      </c>
      <c r="BP41" s="449">
        <v>3867</v>
      </c>
      <c r="BQ41" s="449">
        <v>4586</v>
      </c>
      <c r="BR41" s="449">
        <v>3900</v>
      </c>
      <c r="BS41" s="71">
        <f t="shared" si="256"/>
        <v>3900</v>
      </c>
      <c r="BT41" s="449">
        <v>2721</v>
      </c>
      <c r="BU41" s="449">
        <v>10137</v>
      </c>
      <c r="BV41" s="449">
        <v>10399</v>
      </c>
      <c r="BW41" s="449">
        <f>12294+32433</f>
        <v>44727</v>
      </c>
      <c r="BX41" s="71">
        <f t="shared" si="257"/>
        <v>44727</v>
      </c>
      <c r="BY41" s="449">
        <f>1558+34142</f>
        <v>35700</v>
      </c>
      <c r="BZ41" s="449">
        <f>2713+16683</f>
        <v>19396</v>
      </c>
      <c r="CA41" s="449">
        <f>4186+20409</f>
        <v>24595</v>
      </c>
      <c r="CB41" s="449">
        <f>6167+17841</f>
        <v>24008</v>
      </c>
      <c r="CC41" s="71">
        <f t="shared" si="245"/>
        <v>24008</v>
      </c>
      <c r="CD41" s="449">
        <f>8515+22271</f>
        <v>30786</v>
      </c>
      <c r="CE41" s="449">
        <f>3611+21957</f>
        <v>25568</v>
      </c>
      <c r="CF41" s="88">
        <f t="shared" si="258"/>
        <v>25568</v>
      </c>
      <c r="CG41" s="88">
        <f t="shared" si="258"/>
        <v>25568</v>
      </c>
      <c r="CH41" s="71">
        <f t="shared" si="246"/>
        <v>25568</v>
      </c>
      <c r="CI41" s="88">
        <f t="shared" si="259"/>
        <v>25568</v>
      </c>
      <c r="CJ41" s="88">
        <f t="shared" si="259"/>
        <v>25568</v>
      </c>
      <c r="CK41" s="88">
        <f t="shared" si="259"/>
        <v>25568</v>
      </c>
      <c r="CL41" s="88">
        <f t="shared" si="259"/>
        <v>25568</v>
      </c>
      <c r="CM41" s="71">
        <f t="shared" si="247"/>
        <v>25568</v>
      </c>
      <c r="CN41" s="88">
        <f t="shared" si="260"/>
        <v>25568</v>
      </c>
      <c r="CO41" s="88">
        <f t="shared" si="260"/>
        <v>25568</v>
      </c>
      <c r="CP41" s="88">
        <f t="shared" si="260"/>
        <v>25568</v>
      </c>
      <c r="CQ41" s="88">
        <f t="shared" si="260"/>
        <v>25568</v>
      </c>
      <c r="CR41" s="71">
        <f t="shared" si="248"/>
        <v>25568</v>
      </c>
      <c r="CS41" s="88">
        <f t="shared" si="261"/>
        <v>25568</v>
      </c>
      <c r="CT41" s="88">
        <f t="shared" si="261"/>
        <v>25568</v>
      </c>
      <c r="CU41" s="88">
        <f t="shared" si="261"/>
        <v>25568</v>
      </c>
      <c r="CV41" s="88">
        <f t="shared" si="261"/>
        <v>25568</v>
      </c>
      <c r="CW41" s="71">
        <f t="shared" si="249"/>
        <v>25568</v>
      </c>
      <c r="CX41" s="88">
        <f t="shared" si="262"/>
        <v>25568</v>
      </c>
      <c r="CY41" s="88">
        <f t="shared" si="262"/>
        <v>25568</v>
      </c>
      <c r="CZ41" s="88">
        <f t="shared" si="262"/>
        <v>25568</v>
      </c>
      <c r="DA41" s="88">
        <f t="shared" si="262"/>
        <v>25568</v>
      </c>
      <c r="DB41" s="71">
        <f t="shared" si="250"/>
        <v>25568</v>
      </c>
    </row>
    <row r="42" spans="1:106" ht="11.5" customHeight="1" x14ac:dyDescent="0.35">
      <c r="A42" s="31" t="s">
        <v>178</v>
      </c>
      <c r="B42" s="451"/>
      <c r="C42" s="451"/>
      <c r="D42" s="451"/>
      <c r="E42" s="451"/>
      <c r="F42" s="82">
        <f t="shared" si="230"/>
        <v>0</v>
      </c>
      <c r="G42" s="451"/>
      <c r="H42" s="451"/>
      <c r="I42" s="451"/>
      <c r="J42" s="451"/>
      <c r="K42" s="82">
        <f t="shared" si="231"/>
        <v>0</v>
      </c>
      <c r="L42" s="451"/>
      <c r="M42" s="451"/>
      <c r="N42" s="451"/>
      <c r="O42" s="451"/>
      <c r="P42" s="82">
        <f t="shared" si="232"/>
        <v>0</v>
      </c>
      <c r="Q42" s="451"/>
      <c r="R42" s="451"/>
      <c r="S42" s="451"/>
      <c r="T42" s="451"/>
      <c r="U42" s="82">
        <f t="shared" si="233"/>
        <v>0</v>
      </c>
      <c r="V42" s="451"/>
      <c r="W42" s="451"/>
      <c r="X42" s="451"/>
      <c r="Y42" s="451"/>
      <c r="Z42" s="82">
        <f t="shared" si="234"/>
        <v>0</v>
      </c>
      <c r="AA42" s="451"/>
      <c r="AB42" s="451"/>
      <c r="AC42" s="451"/>
      <c r="AD42" s="451"/>
      <c r="AE42" s="82">
        <f t="shared" si="235"/>
        <v>0</v>
      </c>
      <c r="AF42" s="451"/>
      <c r="AG42" s="451"/>
      <c r="AH42" s="451"/>
      <c r="AI42" s="451"/>
      <c r="AJ42" s="82">
        <f t="shared" si="236"/>
        <v>0</v>
      </c>
      <c r="AK42" s="451">
        <v>140285</v>
      </c>
      <c r="AL42" s="451">
        <v>137621</v>
      </c>
      <c r="AM42" s="451">
        <v>148506</v>
      </c>
      <c r="AN42" s="451">
        <v>124545</v>
      </c>
      <c r="AO42" s="82">
        <f t="shared" si="237"/>
        <v>124545</v>
      </c>
      <c r="AP42" s="451">
        <v>107980</v>
      </c>
      <c r="AQ42" s="451">
        <v>115960</v>
      </c>
      <c r="AR42" s="451">
        <v>129017</v>
      </c>
      <c r="AS42" s="451">
        <v>133764</v>
      </c>
      <c r="AT42" s="82">
        <f t="shared" si="238"/>
        <v>133764</v>
      </c>
      <c r="AU42" s="451">
        <v>129944</v>
      </c>
      <c r="AV42" s="451">
        <v>142601</v>
      </c>
      <c r="AW42" s="451">
        <v>152032</v>
      </c>
      <c r="AX42" s="451">
        <v>150182</v>
      </c>
      <c r="AY42" s="82">
        <f t="shared" si="252"/>
        <v>150182</v>
      </c>
      <c r="AZ42" s="451">
        <v>155510</v>
      </c>
      <c r="BA42" s="451">
        <v>162668</v>
      </c>
      <c r="BB42" s="451">
        <v>170936</v>
      </c>
      <c r="BC42" s="451">
        <v>152923</v>
      </c>
      <c r="BD42" s="82">
        <f t="shared" si="253"/>
        <v>152923</v>
      </c>
      <c r="BE42" s="451">
        <v>154258</v>
      </c>
      <c r="BF42" s="451">
        <v>150132</v>
      </c>
      <c r="BG42" s="451">
        <v>148534</v>
      </c>
      <c r="BH42" s="451">
        <v>147230</v>
      </c>
      <c r="BI42" s="82">
        <f t="shared" si="254"/>
        <v>147230</v>
      </c>
      <c r="BJ42" s="451">
        <v>144035</v>
      </c>
      <c r="BK42" s="451">
        <v>147818</v>
      </c>
      <c r="BL42" s="451">
        <v>134033</v>
      </c>
      <c r="BM42" s="451">
        <v>126011</v>
      </c>
      <c r="BN42" s="82">
        <f t="shared" si="255"/>
        <v>126011</v>
      </c>
      <c r="BO42" s="451">
        <v>126067</v>
      </c>
      <c r="BP42" s="451">
        <v>137528</v>
      </c>
      <c r="BQ42" s="451">
        <v>132985</v>
      </c>
      <c r="BR42" s="451">
        <v>132015</v>
      </c>
      <c r="BS42" s="82">
        <f t="shared" si="256"/>
        <v>132015</v>
      </c>
      <c r="BT42" s="451">
        <v>152236</v>
      </c>
      <c r="BU42" s="451">
        <v>139517</v>
      </c>
      <c r="BV42" s="451">
        <v>149296</v>
      </c>
      <c r="BW42" s="451">
        <v>214069</v>
      </c>
      <c r="BX42" s="82">
        <f t="shared" si="257"/>
        <v>214069</v>
      </c>
      <c r="BY42" s="451">
        <v>227539</v>
      </c>
      <c r="BZ42" s="451">
        <v>248326</v>
      </c>
      <c r="CA42" s="451">
        <v>256908</v>
      </c>
      <c r="CB42" s="451">
        <v>280348</v>
      </c>
      <c r="CC42" s="82">
        <f t="shared" si="245"/>
        <v>280348</v>
      </c>
      <c r="CD42" s="451">
        <v>347397</v>
      </c>
      <c r="CE42" s="451">
        <v>393817</v>
      </c>
      <c r="CF42" s="81">
        <f>CE42*(CF8+CF12)/(CE8+CE12)</f>
        <v>398716.65674415388</v>
      </c>
      <c r="CG42" s="81">
        <f>CF42*(CG8+CG12)/(CF8+CF12)</f>
        <v>402868.42210062215</v>
      </c>
      <c r="CH42" s="82">
        <f t="shared" si="246"/>
        <v>402868.42210062215</v>
      </c>
      <c r="CI42" s="81">
        <f>CH42*(CI8+CI12)/(CH8+CH12)</f>
        <v>431093.44750090374</v>
      </c>
      <c r="CJ42" s="81">
        <f>CI42*(CJ8+CJ12)/(CI8+CI12)</f>
        <v>452117.56160961551</v>
      </c>
      <c r="CK42" s="81">
        <f>CJ42*(CK8+CK12)/(CJ8+CJ12)</f>
        <v>462310.74128297629</v>
      </c>
      <c r="CL42" s="81">
        <f>CK42*(CL8+CL12)/(CK8+CK12)</f>
        <v>470171.95410079259</v>
      </c>
      <c r="CM42" s="82">
        <f t="shared" si="247"/>
        <v>470171.95410079259</v>
      </c>
      <c r="CN42" s="81">
        <f>CM42*(CN8+CN12)/(CM8+CM12)</f>
        <v>494761.75451111031</v>
      </c>
      <c r="CO42" s="81">
        <f>CN42*(CO8+CO12)/(CN8+CN12)</f>
        <v>506089.03072508972</v>
      </c>
      <c r="CP42" s="81">
        <f>CO42*(CP8+CP12)/(CO8+CO12)</f>
        <v>507496.62046919734</v>
      </c>
      <c r="CQ42" s="81">
        <f>CP42*(CQ8+CQ12)/(CP8+CP12)</f>
        <v>513825.31529414491</v>
      </c>
      <c r="CR42" s="82">
        <f t="shared" si="248"/>
        <v>513825.31529414491</v>
      </c>
      <c r="CS42" s="81">
        <f>CR42*(CS8+CS12)/(CR8+CR12)</f>
        <v>534650.76791910629</v>
      </c>
      <c r="CT42" s="81">
        <f>CS42*(CT8+CT12)/(CS8+CS12)</f>
        <v>545339.16309666145</v>
      </c>
      <c r="CU42" s="81">
        <f>CT42*(CU8+CU12)/(CT8+CT12)</f>
        <v>545587.62526949833</v>
      </c>
      <c r="CV42" s="81">
        <f>CU42*(CV8+CV12)/(CU8+CU12)</f>
        <v>548501.67116475804</v>
      </c>
      <c r="CW42" s="82">
        <f t="shared" si="249"/>
        <v>548501.67116475804</v>
      </c>
      <c r="CX42" s="81">
        <f>CW42*(CX8+CX12)/(CW8+CW12)</f>
        <v>567373.17088256252</v>
      </c>
      <c r="CY42" s="81">
        <f>CX42*(CY8+CY12)/(CX8+CX12)</f>
        <v>573548.60482464789</v>
      </c>
      <c r="CZ42" s="81">
        <f>CY42*(CZ8+CZ12)/(CY8+CY12)</f>
        <v>566871.07683375455</v>
      </c>
      <c r="DA42" s="81">
        <f>CZ42*(DA8+DA12)/(CZ8+CZ12)</f>
        <v>561538.41923848167</v>
      </c>
      <c r="DB42" s="82">
        <f t="shared" si="250"/>
        <v>561538.41923848167</v>
      </c>
    </row>
    <row r="43" spans="1:106" ht="11.5" customHeight="1" x14ac:dyDescent="0.35">
      <c r="A43" s="31" t="s">
        <v>177</v>
      </c>
      <c r="B43" s="81">
        <f t="shared" ref="B43:AE43" si="263">SUM(B44:B47)</f>
        <v>0</v>
      </c>
      <c r="C43" s="81">
        <f t="shared" si="263"/>
        <v>0</v>
      </c>
      <c r="D43" s="81">
        <f t="shared" si="263"/>
        <v>0</v>
      </c>
      <c r="E43" s="81">
        <f t="shared" si="263"/>
        <v>0</v>
      </c>
      <c r="F43" s="82">
        <f t="shared" si="263"/>
        <v>0</v>
      </c>
      <c r="G43" s="81">
        <f t="shared" si="263"/>
        <v>0</v>
      </c>
      <c r="H43" s="81">
        <f t="shared" si="263"/>
        <v>0</v>
      </c>
      <c r="I43" s="81">
        <f t="shared" si="263"/>
        <v>0</v>
      </c>
      <c r="J43" s="81">
        <f t="shared" si="263"/>
        <v>0</v>
      </c>
      <c r="K43" s="82">
        <f t="shared" si="263"/>
        <v>0</v>
      </c>
      <c r="L43" s="81">
        <f t="shared" si="263"/>
        <v>0</v>
      </c>
      <c r="M43" s="81">
        <f t="shared" si="263"/>
        <v>0</v>
      </c>
      <c r="N43" s="81">
        <f t="shared" si="263"/>
        <v>0</v>
      </c>
      <c r="O43" s="81">
        <f t="shared" si="263"/>
        <v>0</v>
      </c>
      <c r="P43" s="82">
        <f t="shared" si="263"/>
        <v>0</v>
      </c>
      <c r="Q43" s="81">
        <f t="shared" si="263"/>
        <v>0</v>
      </c>
      <c r="R43" s="81">
        <f t="shared" si="263"/>
        <v>0</v>
      </c>
      <c r="S43" s="81">
        <f t="shared" si="263"/>
        <v>0</v>
      </c>
      <c r="T43" s="81">
        <f t="shared" si="263"/>
        <v>0</v>
      </c>
      <c r="U43" s="82">
        <f t="shared" si="263"/>
        <v>0</v>
      </c>
      <c r="V43" s="81">
        <f t="shared" si="263"/>
        <v>0</v>
      </c>
      <c r="W43" s="81">
        <f t="shared" si="263"/>
        <v>0</v>
      </c>
      <c r="X43" s="81">
        <f t="shared" si="263"/>
        <v>0</v>
      </c>
      <c r="Y43" s="81">
        <f t="shared" si="263"/>
        <v>0</v>
      </c>
      <c r="Z43" s="82">
        <f t="shared" si="263"/>
        <v>0</v>
      </c>
      <c r="AA43" s="81">
        <f t="shared" si="263"/>
        <v>0</v>
      </c>
      <c r="AB43" s="81">
        <f t="shared" si="263"/>
        <v>0</v>
      </c>
      <c r="AC43" s="81">
        <f t="shared" si="263"/>
        <v>0</v>
      </c>
      <c r="AD43" s="81">
        <f t="shared" si="263"/>
        <v>0</v>
      </c>
      <c r="AE43" s="82">
        <f t="shared" si="263"/>
        <v>0</v>
      </c>
      <c r="AF43" s="81">
        <f t="shared" ref="AF43:AG43" si="264">SUM(AF44:AF47)</f>
        <v>0</v>
      </c>
      <c r="AG43" s="81">
        <f t="shared" si="264"/>
        <v>0</v>
      </c>
      <c r="AH43" s="81">
        <f t="shared" ref="AH43:BM43" si="265">SUM(AH44:AH47)</f>
        <v>0</v>
      </c>
      <c r="AI43" s="81">
        <f t="shared" si="265"/>
        <v>0</v>
      </c>
      <c r="AJ43" s="82">
        <f t="shared" si="265"/>
        <v>0</v>
      </c>
      <c r="AK43" s="81">
        <f t="shared" si="265"/>
        <v>241684</v>
      </c>
      <c r="AL43" s="81">
        <f t="shared" si="265"/>
        <v>261297</v>
      </c>
      <c r="AM43" s="81">
        <f t="shared" si="265"/>
        <v>294924</v>
      </c>
      <c r="AN43" s="81">
        <f t="shared" si="265"/>
        <v>212154</v>
      </c>
      <c r="AO43" s="82">
        <f t="shared" si="265"/>
        <v>212154</v>
      </c>
      <c r="AP43" s="81">
        <f t="shared" si="265"/>
        <v>272711</v>
      </c>
      <c r="AQ43" s="81">
        <f t="shared" si="265"/>
        <v>304266</v>
      </c>
      <c r="AR43" s="81">
        <f t="shared" si="265"/>
        <v>312852</v>
      </c>
      <c r="AS43" s="81">
        <f t="shared" si="265"/>
        <v>212883</v>
      </c>
      <c r="AT43" s="82">
        <f t="shared" si="265"/>
        <v>212883</v>
      </c>
      <c r="AU43" s="81">
        <f t="shared" si="265"/>
        <v>231260</v>
      </c>
      <c r="AV43" s="81">
        <f t="shared" si="265"/>
        <v>292333</v>
      </c>
      <c r="AW43" s="81">
        <f t="shared" si="265"/>
        <v>322641</v>
      </c>
      <c r="AX43" s="81">
        <f t="shared" si="265"/>
        <v>213615</v>
      </c>
      <c r="AY43" s="82">
        <f t="shared" si="265"/>
        <v>213615</v>
      </c>
      <c r="AZ43" s="81">
        <f t="shared" si="265"/>
        <v>220114</v>
      </c>
      <c r="BA43" s="81">
        <f t="shared" si="265"/>
        <v>257103</v>
      </c>
      <c r="BB43" s="81">
        <f t="shared" si="265"/>
        <v>459687</v>
      </c>
      <c r="BC43" s="81">
        <f t="shared" si="265"/>
        <v>489464</v>
      </c>
      <c r="BD43" s="82">
        <f t="shared" si="265"/>
        <v>489464</v>
      </c>
      <c r="BE43" s="81">
        <f t="shared" si="265"/>
        <v>539457</v>
      </c>
      <c r="BF43" s="81">
        <f t="shared" si="265"/>
        <v>541253</v>
      </c>
      <c r="BG43" s="81">
        <f t="shared" si="265"/>
        <v>608658</v>
      </c>
      <c r="BH43" s="81">
        <f t="shared" si="265"/>
        <v>591098</v>
      </c>
      <c r="BI43" s="82">
        <f t="shared" si="265"/>
        <v>591098</v>
      </c>
      <c r="BJ43" s="81">
        <f t="shared" si="265"/>
        <v>648107</v>
      </c>
      <c r="BK43" s="81">
        <f t="shared" si="265"/>
        <v>648428</v>
      </c>
      <c r="BL43" s="81">
        <f t="shared" si="265"/>
        <v>738300</v>
      </c>
      <c r="BM43" s="81">
        <f t="shared" si="265"/>
        <v>751737</v>
      </c>
      <c r="BN43" s="82">
        <f t="shared" ref="BN43:CS43" si="266">SUM(BN44:BN47)</f>
        <v>751737</v>
      </c>
      <c r="BO43" s="81">
        <f t="shared" si="266"/>
        <v>843586</v>
      </c>
      <c r="BP43" s="81">
        <f t="shared" si="266"/>
        <v>964959</v>
      </c>
      <c r="BQ43" s="81">
        <f t="shared" si="266"/>
        <v>923179</v>
      </c>
      <c r="BR43" s="81">
        <f t="shared" si="266"/>
        <v>864965</v>
      </c>
      <c r="BS43" s="82">
        <f t="shared" si="266"/>
        <v>864965</v>
      </c>
      <c r="BT43" s="81">
        <f t="shared" si="266"/>
        <v>1006206</v>
      </c>
      <c r="BU43" s="81">
        <f t="shared" si="266"/>
        <v>913453</v>
      </c>
      <c r="BV43" s="81">
        <f t="shared" si="266"/>
        <v>1084024</v>
      </c>
      <c r="BW43" s="81">
        <f t="shared" si="266"/>
        <v>1095470</v>
      </c>
      <c r="BX43" s="82">
        <f t="shared" si="266"/>
        <v>1095470</v>
      </c>
      <c r="BY43" s="81">
        <f t="shared" si="266"/>
        <v>1133945</v>
      </c>
      <c r="BZ43" s="81">
        <f t="shared" ref="BZ43:CB43" si="267">SUM(BZ44:BZ47)</f>
        <v>1329968</v>
      </c>
      <c r="CA43" s="81">
        <f t="shared" si="267"/>
        <v>1385221</v>
      </c>
      <c r="CB43" s="81">
        <f t="shared" si="267"/>
        <v>1381706</v>
      </c>
      <c r="CC43" s="82">
        <f t="shared" si="266"/>
        <v>1381706</v>
      </c>
      <c r="CD43" s="81">
        <f t="shared" ref="CD43:CE43" si="268">SUM(CD44:CD47)</f>
        <v>1544573</v>
      </c>
      <c r="CE43" s="81">
        <f t="shared" si="268"/>
        <v>1655024</v>
      </c>
      <c r="CF43" s="81">
        <f t="shared" ca="1" si="266"/>
        <v>1770570.4995798685</v>
      </c>
      <c r="CG43" s="81">
        <f t="shared" ca="1" si="266"/>
        <v>1893438.6007470032</v>
      </c>
      <c r="CH43" s="82">
        <f t="shared" ca="1" si="266"/>
        <v>1893438.6007470032</v>
      </c>
      <c r="CI43" s="81">
        <f t="shared" ca="1" si="266"/>
        <v>1987062.1568773743</v>
      </c>
      <c r="CJ43" s="81">
        <f t="shared" ca="1" si="266"/>
        <v>2103012.5172209097</v>
      </c>
      <c r="CK43" s="81">
        <f t="shared" ca="1" si="266"/>
        <v>2230633.7095744228</v>
      </c>
      <c r="CL43" s="81">
        <f t="shared" ca="1" si="266"/>
        <v>2321496.2466383036</v>
      </c>
      <c r="CM43" s="82">
        <f t="shared" ca="1" si="266"/>
        <v>2321496.2466383036</v>
      </c>
      <c r="CN43" s="81">
        <f t="shared" ca="1" si="266"/>
        <v>2413542.7590952255</v>
      </c>
      <c r="CO43" s="81">
        <f t="shared" ca="1" si="266"/>
        <v>2445352.006105958</v>
      </c>
      <c r="CP43" s="81">
        <f t="shared" ca="1" si="266"/>
        <v>2509770.1616324475</v>
      </c>
      <c r="CQ43" s="81">
        <f t="shared" ca="1" si="266"/>
        <v>2558345.5194439841</v>
      </c>
      <c r="CR43" s="82">
        <f t="shared" ca="1" si="266"/>
        <v>2558345.5194439841</v>
      </c>
      <c r="CS43" s="81">
        <f t="shared" ca="1" si="266"/>
        <v>2629992.9510074202</v>
      </c>
      <c r="CT43" s="81">
        <f t="shared" ref="CT43:DB43" ca="1" si="269">SUM(CT44:CT47)</f>
        <v>2656618.2300176565</v>
      </c>
      <c r="CU43" s="81">
        <f t="shared" ca="1" si="269"/>
        <v>2718789.5904628532</v>
      </c>
      <c r="CV43" s="81">
        <f t="shared" ca="1" si="269"/>
        <v>2766734.3594792788</v>
      </c>
      <c r="CW43" s="82">
        <f t="shared" ca="1" si="269"/>
        <v>2766734.3594792788</v>
      </c>
      <c r="CX43" s="81">
        <f t="shared" ca="1" si="269"/>
        <v>2849577.5918736695</v>
      </c>
      <c r="CY43" s="81">
        <f t="shared" ca="1" si="269"/>
        <v>2876792.2840146632</v>
      </c>
      <c r="CZ43" s="81">
        <f t="shared" ca="1" si="269"/>
        <v>2940865.5348038715</v>
      </c>
      <c r="DA43" s="81">
        <f t="shared" ca="1" si="269"/>
        <v>2990495.797535602</v>
      </c>
      <c r="DB43" s="82">
        <f t="shared" ca="1" si="269"/>
        <v>2990495.797535602</v>
      </c>
    </row>
    <row r="44" spans="1:106" ht="11.5" customHeight="1" x14ac:dyDescent="0.35">
      <c r="A44" s="19" t="s">
        <v>182</v>
      </c>
      <c r="B44" s="403"/>
      <c r="C44" s="403"/>
      <c r="D44" s="403"/>
      <c r="E44" s="403"/>
      <c r="F44" s="28">
        <f t="shared" ref="F44" si="270">E44</f>
        <v>0</v>
      </c>
      <c r="G44" s="403"/>
      <c r="H44" s="403"/>
      <c r="I44" s="403"/>
      <c r="J44" s="403"/>
      <c r="K44" s="28">
        <f t="shared" ref="K44" si="271">J44</f>
        <v>0</v>
      </c>
      <c r="L44" s="403"/>
      <c r="M44" s="403"/>
      <c r="N44" s="403"/>
      <c r="O44" s="403"/>
      <c r="P44" s="28">
        <f t="shared" ref="P44" si="272">O44</f>
        <v>0</v>
      </c>
      <c r="Q44" s="403"/>
      <c r="R44" s="403"/>
      <c r="S44" s="403"/>
      <c r="T44" s="403"/>
      <c r="U44" s="28">
        <f t="shared" ref="U44" si="273">T44</f>
        <v>0</v>
      </c>
      <c r="V44" s="403"/>
      <c r="W44" s="403"/>
      <c r="X44" s="403"/>
      <c r="Y44" s="403"/>
      <c r="Z44" s="28">
        <f t="shared" ref="Z44" si="274">Y44</f>
        <v>0</v>
      </c>
      <c r="AA44" s="403"/>
      <c r="AB44" s="403"/>
      <c r="AC44" s="403"/>
      <c r="AD44" s="403"/>
      <c r="AE44" s="28">
        <f t="shared" ref="AE44" si="275">AD44</f>
        <v>0</v>
      </c>
      <c r="AF44" s="403"/>
      <c r="AG44" s="403"/>
      <c r="AH44" s="403"/>
      <c r="AI44" s="403"/>
      <c r="AJ44" s="28">
        <f>AI44</f>
        <v>0</v>
      </c>
      <c r="AK44" s="403">
        <v>93107</v>
      </c>
      <c r="AL44" s="403">
        <v>93107</v>
      </c>
      <c r="AM44" s="403">
        <v>93107</v>
      </c>
      <c r="AN44" s="403">
        <v>93107</v>
      </c>
      <c r="AO44" s="28">
        <f>AN44</f>
        <v>93107</v>
      </c>
      <c r="AP44" s="403">
        <v>93107</v>
      </c>
      <c r="AQ44" s="403">
        <v>93107</v>
      </c>
      <c r="AR44" s="403">
        <v>93107</v>
      </c>
      <c r="AS44" s="403">
        <v>93107</v>
      </c>
      <c r="AT44" s="28">
        <f>AS44</f>
        <v>93107</v>
      </c>
      <c r="AU44" s="403">
        <v>93107</v>
      </c>
      <c r="AV44" s="403">
        <v>93107</v>
      </c>
      <c r="AW44" s="403">
        <v>93107</v>
      </c>
      <c r="AX44" s="403">
        <f>71134+14227+18847</f>
        <v>104208</v>
      </c>
      <c r="AY44" s="28">
        <f t="shared" ref="AY44:AY46" si="276">AX44</f>
        <v>104208</v>
      </c>
      <c r="AZ44" s="403">
        <f>106847+17597+14227</f>
        <v>138671</v>
      </c>
      <c r="BA44" s="403">
        <f>136847+17597+14227</f>
        <v>168671</v>
      </c>
      <c r="BB44" s="403">
        <f>291054+14227+17597</f>
        <v>322878</v>
      </c>
      <c r="BC44" s="403">
        <f>291054+22268+17598</f>
        <v>330920</v>
      </c>
      <c r="BD44" s="28">
        <f t="shared" ref="BD44:BD46" si="277">BC44</f>
        <v>330920</v>
      </c>
      <c r="BE44" s="403">
        <f>291054+22268+17598</f>
        <v>330920</v>
      </c>
      <c r="BF44" s="403">
        <f>291054+22268+17598</f>
        <v>330920</v>
      </c>
      <c r="BG44" s="403">
        <f>291054+22268+17598</f>
        <v>330920</v>
      </c>
      <c r="BH44" s="403">
        <f>291054+37256+17477</f>
        <v>345787</v>
      </c>
      <c r="BI44" s="28">
        <f t="shared" ref="BI44:BI46" si="278">BH44</f>
        <v>345787</v>
      </c>
      <c r="BJ44" s="403">
        <f>291054+37256+12583</f>
        <v>340893</v>
      </c>
      <c r="BK44" s="403">
        <f>291054+37256+5388</f>
        <v>333698</v>
      </c>
      <c r="BL44" s="403">
        <f>291054+37256+5388</f>
        <v>333698</v>
      </c>
      <c r="BM44" s="403">
        <f>291054+53750+5388</f>
        <v>350192</v>
      </c>
      <c r="BN44" s="28">
        <f t="shared" ref="BN44:BN46" si="279">BM44</f>
        <v>350192</v>
      </c>
      <c r="BO44" s="403">
        <f>291054+53750+5388</f>
        <v>350192</v>
      </c>
      <c r="BP44" s="403">
        <f>291054+53750+5388</f>
        <v>350192</v>
      </c>
      <c r="BQ44" s="403">
        <f>291054+53750+5388</f>
        <v>350192</v>
      </c>
      <c r="BR44" s="403">
        <f>291054+61368+5388</f>
        <v>357810</v>
      </c>
      <c r="BS44" s="28">
        <f t="shared" ref="BS44:BS46" si="280">BR44</f>
        <v>357810</v>
      </c>
      <c r="BT44" s="403">
        <f>291054+61368+17598-12210</f>
        <v>357810</v>
      </c>
      <c r="BU44" s="403">
        <f>291054+61368+5388</f>
        <v>357810</v>
      </c>
      <c r="BV44" s="403">
        <f>291054+5388</f>
        <v>296442</v>
      </c>
      <c r="BW44" s="403">
        <f>491054+93860+5388</f>
        <v>590302</v>
      </c>
      <c r="BX44" s="28">
        <f t="shared" ref="BX44:BX46" si="281">BW44</f>
        <v>590302</v>
      </c>
      <c r="BY44" s="403">
        <f>491054+93860+5388</f>
        <v>590302</v>
      </c>
      <c r="BZ44" s="403">
        <f>491054+93860+64680</f>
        <v>649594</v>
      </c>
      <c r="CA44" s="403">
        <f>491054+64680+93860</f>
        <v>649594</v>
      </c>
      <c r="CB44" s="403">
        <f>642267+462875</f>
        <v>1105142</v>
      </c>
      <c r="CC44" s="28">
        <f t="shared" ref="CC44:DB44" si="282">CB44</f>
        <v>1105142</v>
      </c>
      <c r="CD44" s="403">
        <f>642267+462875</f>
        <v>1105142</v>
      </c>
      <c r="CE44" s="403">
        <f>642267+462875</f>
        <v>1105142</v>
      </c>
      <c r="CF44" s="85">
        <f t="shared" si="282"/>
        <v>1105142</v>
      </c>
      <c r="CG44" s="85">
        <f t="shared" si="282"/>
        <v>1105142</v>
      </c>
      <c r="CH44" s="28">
        <f t="shared" si="282"/>
        <v>1105142</v>
      </c>
      <c r="CI44" s="85">
        <f t="shared" si="282"/>
        <v>1105142</v>
      </c>
      <c r="CJ44" s="85">
        <f t="shared" si="282"/>
        <v>1105142</v>
      </c>
      <c r="CK44" s="85">
        <f t="shared" si="282"/>
        <v>1105142</v>
      </c>
      <c r="CL44" s="85">
        <f t="shared" si="282"/>
        <v>1105142</v>
      </c>
      <c r="CM44" s="28">
        <f t="shared" si="282"/>
        <v>1105142</v>
      </c>
      <c r="CN44" s="85">
        <f t="shared" si="282"/>
        <v>1105142</v>
      </c>
      <c r="CO44" s="85">
        <f t="shared" si="282"/>
        <v>1105142</v>
      </c>
      <c r="CP44" s="85">
        <f t="shared" si="282"/>
        <v>1105142</v>
      </c>
      <c r="CQ44" s="85">
        <f t="shared" si="282"/>
        <v>1105142</v>
      </c>
      <c r="CR44" s="28">
        <f t="shared" si="282"/>
        <v>1105142</v>
      </c>
      <c r="CS44" s="85">
        <f t="shared" si="282"/>
        <v>1105142</v>
      </c>
      <c r="CT44" s="85">
        <f t="shared" si="282"/>
        <v>1105142</v>
      </c>
      <c r="CU44" s="85">
        <f t="shared" si="282"/>
        <v>1105142</v>
      </c>
      <c r="CV44" s="85">
        <f t="shared" si="282"/>
        <v>1105142</v>
      </c>
      <c r="CW44" s="28">
        <f t="shared" si="282"/>
        <v>1105142</v>
      </c>
      <c r="CX44" s="85">
        <f t="shared" si="282"/>
        <v>1105142</v>
      </c>
      <c r="CY44" s="85">
        <f t="shared" si="282"/>
        <v>1105142</v>
      </c>
      <c r="CZ44" s="85">
        <f t="shared" si="282"/>
        <v>1105142</v>
      </c>
      <c r="DA44" s="85">
        <f t="shared" si="282"/>
        <v>1105142</v>
      </c>
      <c r="DB44" s="28">
        <f t="shared" si="282"/>
        <v>1105142</v>
      </c>
    </row>
    <row r="45" spans="1:106" ht="11.5" customHeight="1" x14ac:dyDescent="0.35">
      <c r="A45" s="19" t="s">
        <v>179</v>
      </c>
      <c r="B45" s="403"/>
      <c r="C45" s="403"/>
      <c r="D45" s="403"/>
      <c r="E45" s="403"/>
      <c r="F45" s="28">
        <f t="shared" ref="F45" si="283">E45</f>
        <v>0</v>
      </c>
      <c r="G45" s="403"/>
      <c r="H45" s="403"/>
      <c r="I45" s="403"/>
      <c r="J45" s="403"/>
      <c r="K45" s="28">
        <f t="shared" ref="K45" si="284">J45</f>
        <v>0</v>
      </c>
      <c r="L45" s="403"/>
      <c r="M45" s="403"/>
      <c r="N45" s="403"/>
      <c r="O45" s="403"/>
      <c r="P45" s="28">
        <f t="shared" ref="P45" si="285">O45</f>
        <v>0</v>
      </c>
      <c r="Q45" s="403"/>
      <c r="R45" s="403"/>
      <c r="S45" s="403"/>
      <c r="T45" s="403"/>
      <c r="U45" s="28">
        <f t="shared" ref="U45" si="286">T45</f>
        <v>0</v>
      </c>
      <c r="V45" s="403"/>
      <c r="W45" s="403"/>
      <c r="X45" s="403"/>
      <c r="Y45" s="403"/>
      <c r="Z45" s="28">
        <f t="shared" ref="Z45" si="287">Y45</f>
        <v>0</v>
      </c>
      <c r="AA45" s="403"/>
      <c r="AB45" s="403"/>
      <c r="AC45" s="403"/>
      <c r="AD45" s="403"/>
      <c r="AE45" s="28">
        <f t="shared" ref="AE45" si="288">AD45</f>
        <v>0</v>
      </c>
      <c r="AF45" s="403"/>
      <c r="AG45" s="403"/>
      <c r="AH45" s="403"/>
      <c r="AI45" s="403"/>
      <c r="AJ45" s="28">
        <f>AI45</f>
        <v>0</v>
      </c>
      <c r="AK45" s="403">
        <v>0</v>
      </c>
      <c r="AL45" s="403">
        <v>0</v>
      </c>
      <c r="AM45" s="403">
        <v>0</v>
      </c>
      <c r="AN45" s="403">
        <v>0</v>
      </c>
      <c r="AO45" s="28">
        <f>AN45</f>
        <v>0</v>
      </c>
      <c r="AP45" s="403">
        <v>0</v>
      </c>
      <c r="AQ45" s="403">
        <v>0</v>
      </c>
      <c r="AR45" s="403">
        <v>0</v>
      </c>
      <c r="AS45" s="403">
        <v>0</v>
      </c>
      <c r="AT45" s="28">
        <f>AS45</f>
        <v>0</v>
      </c>
      <c r="AU45" s="403">
        <v>0</v>
      </c>
      <c r="AV45" s="403">
        <v>0</v>
      </c>
      <c r="AW45" s="403">
        <v>0</v>
      </c>
      <c r="AX45" s="403">
        <v>0</v>
      </c>
      <c r="AY45" s="28">
        <f t="shared" si="276"/>
        <v>0</v>
      </c>
      <c r="AZ45" s="403">
        <v>0</v>
      </c>
      <c r="BA45" s="403">
        <v>0</v>
      </c>
      <c r="BB45" s="403">
        <v>0</v>
      </c>
      <c r="BC45" s="403">
        <v>0</v>
      </c>
      <c r="BD45" s="28">
        <f t="shared" si="277"/>
        <v>0</v>
      </c>
      <c r="BE45" s="403">
        <v>0</v>
      </c>
      <c r="BF45" s="403">
        <v>0</v>
      </c>
      <c r="BG45" s="403">
        <v>0</v>
      </c>
      <c r="BH45" s="403">
        <v>0</v>
      </c>
      <c r="BI45" s="28">
        <f t="shared" si="278"/>
        <v>0</v>
      </c>
      <c r="BJ45" s="403">
        <v>0</v>
      </c>
      <c r="BK45" s="403">
        <v>0</v>
      </c>
      <c r="BL45" s="403">
        <v>0</v>
      </c>
      <c r="BM45" s="403">
        <v>0</v>
      </c>
      <c r="BN45" s="28">
        <f t="shared" si="279"/>
        <v>0</v>
      </c>
      <c r="BO45" s="403">
        <v>0</v>
      </c>
      <c r="BP45" s="403">
        <v>0</v>
      </c>
      <c r="BQ45" s="403">
        <v>0</v>
      </c>
      <c r="BR45" s="403">
        <v>0</v>
      </c>
      <c r="BS45" s="28">
        <f t="shared" si="280"/>
        <v>0</v>
      </c>
      <c r="BT45" s="403">
        <v>0</v>
      </c>
      <c r="BU45" s="403">
        <v>0</v>
      </c>
      <c r="BV45" s="403">
        <v>0</v>
      </c>
      <c r="BW45" s="403">
        <v>0</v>
      </c>
      <c r="BX45" s="28">
        <f t="shared" si="281"/>
        <v>0</v>
      </c>
      <c r="BY45" s="403">
        <v>0</v>
      </c>
      <c r="BZ45" s="403">
        <v>0</v>
      </c>
      <c r="CA45" s="403"/>
      <c r="CB45" s="403"/>
      <c r="CC45" s="28">
        <f t="shared" ref="CC45:DB45" si="289">CB45</f>
        <v>0</v>
      </c>
      <c r="CD45" s="403"/>
      <c r="CE45" s="403">
        <v>0</v>
      </c>
      <c r="CF45" s="85">
        <f t="shared" si="289"/>
        <v>0</v>
      </c>
      <c r="CG45" s="85">
        <f t="shared" si="289"/>
        <v>0</v>
      </c>
      <c r="CH45" s="28">
        <f t="shared" si="289"/>
        <v>0</v>
      </c>
      <c r="CI45" s="85">
        <f t="shared" si="289"/>
        <v>0</v>
      </c>
      <c r="CJ45" s="85">
        <f t="shared" si="289"/>
        <v>0</v>
      </c>
      <c r="CK45" s="85">
        <f t="shared" si="289"/>
        <v>0</v>
      </c>
      <c r="CL45" s="85">
        <f t="shared" si="289"/>
        <v>0</v>
      </c>
      <c r="CM45" s="28">
        <f t="shared" si="289"/>
        <v>0</v>
      </c>
      <c r="CN45" s="85">
        <f t="shared" si="289"/>
        <v>0</v>
      </c>
      <c r="CO45" s="85">
        <f t="shared" si="289"/>
        <v>0</v>
      </c>
      <c r="CP45" s="85">
        <f t="shared" si="289"/>
        <v>0</v>
      </c>
      <c r="CQ45" s="85">
        <f t="shared" si="289"/>
        <v>0</v>
      </c>
      <c r="CR45" s="28">
        <f t="shared" si="289"/>
        <v>0</v>
      </c>
      <c r="CS45" s="85">
        <f t="shared" si="289"/>
        <v>0</v>
      </c>
      <c r="CT45" s="85">
        <f t="shared" si="289"/>
        <v>0</v>
      </c>
      <c r="CU45" s="85">
        <f t="shared" si="289"/>
        <v>0</v>
      </c>
      <c r="CV45" s="85">
        <f t="shared" si="289"/>
        <v>0</v>
      </c>
      <c r="CW45" s="28">
        <f t="shared" si="289"/>
        <v>0</v>
      </c>
      <c r="CX45" s="85">
        <f t="shared" si="289"/>
        <v>0</v>
      </c>
      <c r="CY45" s="85">
        <f t="shared" si="289"/>
        <v>0</v>
      </c>
      <c r="CZ45" s="85">
        <f t="shared" si="289"/>
        <v>0</v>
      </c>
      <c r="DA45" s="85">
        <f t="shared" si="289"/>
        <v>0</v>
      </c>
      <c r="DB45" s="28">
        <f t="shared" si="289"/>
        <v>0</v>
      </c>
    </row>
    <row r="46" spans="1:106" ht="11.5" customHeight="1" x14ac:dyDescent="0.35">
      <c r="A46" s="19" t="s">
        <v>180</v>
      </c>
      <c r="B46" s="403"/>
      <c r="C46" s="403"/>
      <c r="D46" s="403"/>
      <c r="E46" s="403"/>
      <c r="F46" s="28">
        <f t="shared" ref="F46" si="290">E46</f>
        <v>0</v>
      </c>
      <c r="G46" s="403"/>
      <c r="H46" s="403"/>
      <c r="I46" s="403"/>
      <c r="J46" s="403"/>
      <c r="K46" s="28">
        <f t="shared" ref="K46" si="291">J46</f>
        <v>0</v>
      </c>
      <c r="L46" s="403"/>
      <c r="M46" s="403"/>
      <c r="N46" s="403"/>
      <c r="O46" s="403"/>
      <c r="P46" s="28">
        <f t="shared" ref="P46" si="292">O46</f>
        <v>0</v>
      </c>
      <c r="Q46" s="403"/>
      <c r="R46" s="403"/>
      <c r="S46" s="403"/>
      <c r="T46" s="403"/>
      <c r="U46" s="28">
        <f t="shared" ref="U46" si="293">T46</f>
        <v>0</v>
      </c>
      <c r="V46" s="403"/>
      <c r="W46" s="403"/>
      <c r="X46" s="403"/>
      <c r="Y46" s="403"/>
      <c r="Z46" s="28">
        <f t="shared" ref="Z46" si="294">Y46</f>
        <v>0</v>
      </c>
      <c r="AA46" s="403"/>
      <c r="AB46" s="403"/>
      <c r="AC46" s="403"/>
      <c r="AD46" s="403"/>
      <c r="AE46" s="28">
        <f t="shared" ref="AE46" si="295">AD46</f>
        <v>0</v>
      </c>
      <c r="AF46" s="403"/>
      <c r="AG46" s="403"/>
      <c r="AH46" s="403"/>
      <c r="AI46" s="403"/>
      <c r="AJ46" s="28">
        <f>AI46</f>
        <v>0</v>
      </c>
      <c r="AK46" s="403">
        <v>0</v>
      </c>
      <c r="AL46" s="403">
        <v>0</v>
      </c>
      <c r="AM46" s="403">
        <v>0</v>
      </c>
      <c r="AN46" s="403">
        <v>0</v>
      </c>
      <c r="AO46" s="28">
        <f>AN46</f>
        <v>0</v>
      </c>
      <c r="AP46" s="403">
        <v>0</v>
      </c>
      <c r="AQ46" s="403">
        <v>0</v>
      </c>
      <c r="AR46" s="403">
        <v>0</v>
      </c>
      <c r="AS46" s="403">
        <v>0</v>
      </c>
      <c r="AT46" s="28">
        <f>AS46</f>
        <v>0</v>
      </c>
      <c r="AU46" s="403">
        <v>0</v>
      </c>
      <c r="AV46" s="403">
        <v>0</v>
      </c>
      <c r="AW46" s="403">
        <v>0</v>
      </c>
      <c r="AX46" s="403">
        <v>0</v>
      </c>
      <c r="AY46" s="28">
        <f t="shared" si="276"/>
        <v>0</v>
      </c>
      <c r="AZ46" s="403">
        <v>0</v>
      </c>
      <c r="BA46" s="403">
        <v>0</v>
      </c>
      <c r="BB46" s="403">
        <v>0</v>
      </c>
      <c r="BC46" s="403">
        <v>0</v>
      </c>
      <c r="BD46" s="28">
        <f t="shared" si="277"/>
        <v>0</v>
      </c>
      <c r="BE46" s="403">
        <v>0</v>
      </c>
      <c r="BF46" s="403">
        <v>0</v>
      </c>
      <c r="BG46" s="403">
        <v>0</v>
      </c>
      <c r="BH46" s="403">
        <v>0</v>
      </c>
      <c r="BI46" s="28">
        <f t="shared" si="278"/>
        <v>0</v>
      </c>
      <c r="BJ46" s="403">
        <v>0</v>
      </c>
      <c r="BK46" s="403">
        <v>0</v>
      </c>
      <c r="BL46" s="403">
        <v>0</v>
      </c>
      <c r="BM46" s="403">
        <v>0</v>
      </c>
      <c r="BN46" s="28">
        <f t="shared" si="279"/>
        <v>0</v>
      </c>
      <c r="BO46" s="403">
        <v>0</v>
      </c>
      <c r="BP46" s="403">
        <v>0</v>
      </c>
      <c r="BQ46" s="403">
        <v>0</v>
      </c>
      <c r="BR46" s="403">
        <v>0</v>
      </c>
      <c r="BS46" s="28">
        <f t="shared" si="280"/>
        <v>0</v>
      </c>
      <c r="BT46" s="403">
        <v>0</v>
      </c>
      <c r="BU46" s="403">
        <v>0</v>
      </c>
      <c r="BV46" s="403">
        <v>0</v>
      </c>
      <c r="BW46" s="403">
        <v>0</v>
      </c>
      <c r="BX46" s="28">
        <f t="shared" si="281"/>
        <v>0</v>
      </c>
      <c r="BY46" s="403">
        <v>0</v>
      </c>
      <c r="BZ46" s="403">
        <v>0</v>
      </c>
      <c r="CA46" s="403"/>
      <c r="CB46" s="403"/>
      <c r="CC46" s="28">
        <f>CB46</f>
        <v>0</v>
      </c>
      <c r="CD46" s="403"/>
      <c r="CE46" s="403">
        <v>0</v>
      </c>
      <c r="CF46" s="85">
        <f>CE46+CE46-CD46</f>
        <v>0</v>
      </c>
      <c r="CG46" s="85">
        <f>CF46+CF46-CE46</f>
        <v>0</v>
      </c>
      <c r="CH46" s="28">
        <f>CG46</f>
        <v>0</v>
      </c>
      <c r="CI46" s="85">
        <f>CG46+CG46-CF46</f>
        <v>0</v>
      </c>
      <c r="CJ46" s="85">
        <f>CI46+CI46-CH46</f>
        <v>0</v>
      </c>
      <c r="CK46" s="85">
        <f>CJ46+CJ46-CI46</f>
        <v>0</v>
      </c>
      <c r="CL46" s="85">
        <f>CK46+CK46-CJ46</f>
        <v>0</v>
      </c>
      <c r="CM46" s="28">
        <f>CL46</f>
        <v>0</v>
      </c>
      <c r="CN46" s="85">
        <f>CL46+CL46-CK46</f>
        <v>0</v>
      </c>
      <c r="CO46" s="85">
        <f>CN46+CN46-CM46</f>
        <v>0</v>
      </c>
      <c r="CP46" s="85">
        <f>CO46+CO46-CN46</f>
        <v>0</v>
      </c>
      <c r="CQ46" s="85">
        <f>CP46+CP46-CO46</f>
        <v>0</v>
      </c>
      <c r="CR46" s="28">
        <f>CQ46</f>
        <v>0</v>
      </c>
      <c r="CS46" s="85">
        <f>CQ46+CQ46-CP46</f>
        <v>0</v>
      </c>
      <c r="CT46" s="85">
        <f>CS46+CS46-CR46</f>
        <v>0</v>
      </c>
      <c r="CU46" s="85">
        <f>CT46+CT46-CS46</f>
        <v>0</v>
      </c>
      <c r="CV46" s="85">
        <f>CU46+CU46-CT46</f>
        <v>0</v>
      </c>
      <c r="CW46" s="28">
        <f>CV46</f>
        <v>0</v>
      </c>
      <c r="CX46" s="85">
        <f>CV46+CV46-CU46</f>
        <v>0</v>
      </c>
      <c r="CY46" s="85">
        <f>CX46+CX46-CW46</f>
        <v>0</v>
      </c>
      <c r="CZ46" s="85">
        <f>CY46+CY46-CX46</f>
        <v>0</v>
      </c>
      <c r="DA46" s="85">
        <f>CZ46+CZ46-CY46</f>
        <v>0</v>
      </c>
      <c r="DB46" s="28">
        <f>DA46</f>
        <v>0</v>
      </c>
    </row>
    <row r="47" spans="1:106" ht="11.5" customHeight="1" x14ac:dyDescent="0.35">
      <c r="A47" s="70" t="s">
        <v>181</v>
      </c>
      <c r="B47" s="449"/>
      <c r="C47" s="449"/>
      <c r="D47" s="449"/>
      <c r="E47" s="449"/>
      <c r="F47" s="71">
        <f t="shared" ref="F47" si="296">E47</f>
        <v>0</v>
      </c>
      <c r="G47" s="449"/>
      <c r="H47" s="449"/>
      <c r="I47" s="449"/>
      <c r="J47" s="449"/>
      <c r="K47" s="71">
        <f t="shared" ref="K47" si="297">J47</f>
        <v>0</v>
      </c>
      <c r="L47" s="449"/>
      <c r="M47" s="449"/>
      <c r="N47" s="449"/>
      <c r="O47" s="449"/>
      <c r="P47" s="71">
        <f t="shared" ref="P47" si="298">O47</f>
        <v>0</v>
      </c>
      <c r="Q47" s="449"/>
      <c r="R47" s="449"/>
      <c r="S47" s="449"/>
      <c r="T47" s="449"/>
      <c r="U47" s="71">
        <f t="shared" ref="U47" si="299">T47</f>
        <v>0</v>
      </c>
      <c r="V47" s="449"/>
      <c r="W47" s="449"/>
      <c r="X47" s="449"/>
      <c r="Y47" s="449"/>
      <c r="Z47" s="71">
        <f t="shared" ref="Z47" si="300">Y47</f>
        <v>0</v>
      </c>
      <c r="AA47" s="449"/>
      <c r="AB47" s="449"/>
      <c r="AC47" s="449"/>
      <c r="AD47" s="449"/>
      <c r="AE47" s="71">
        <f t="shared" ref="AE47" si="301">AD47</f>
        <v>0</v>
      </c>
      <c r="AF47" s="449"/>
      <c r="AG47" s="449"/>
      <c r="AH47" s="449"/>
      <c r="AI47" s="449"/>
      <c r="AJ47" s="71">
        <f>AI47</f>
        <v>0</v>
      </c>
      <c r="AK47" s="449">
        <v>148577</v>
      </c>
      <c r="AL47" s="449">
        <v>168190</v>
      </c>
      <c r="AM47" s="449">
        <v>201817</v>
      </c>
      <c r="AN47" s="449">
        <v>119047</v>
      </c>
      <c r="AO47" s="71">
        <f>AN47</f>
        <v>119047</v>
      </c>
      <c r="AP47" s="449">
        <v>179604</v>
      </c>
      <c r="AQ47" s="449">
        <v>211159</v>
      </c>
      <c r="AR47" s="449">
        <v>219745</v>
      </c>
      <c r="AS47" s="449">
        <v>119776</v>
      </c>
      <c r="AT47" s="71">
        <f>AS47</f>
        <v>119776</v>
      </c>
      <c r="AU47" s="449">
        <v>138153</v>
      </c>
      <c r="AV47" s="449">
        <v>199226</v>
      </c>
      <c r="AW47" s="449">
        <v>229534</v>
      </c>
      <c r="AX47" s="449">
        <v>109407</v>
      </c>
      <c r="AY47" s="71">
        <f>AX47</f>
        <v>109407</v>
      </c>
      <c r="AZ47" s="449">
        <f>74943+6500</f>
        <v>81443</v>
      </c>
      <c r="BA47" s="449">
        <f>44943+43489</f>
        <v>88432</v>
      </c>
      <c r="BB47" s="449">
        <v>136809</v>
      </c>
      <c r="BC47" s="449">
        <v>158544</v>
      </c>
      <c r="BD47" s="71">
        <f>BC47</f>
        <v>158544</v>
      </c>
      <c r="BE47" s="449">
        <v>208537</v>
      </c>
      <c r="BF47" s="449">
        <v>210333</v>
      </c>
      <c r="BG47" s="449">
        <v>277738</v>
      </c>
      <c r="BH47" s="449">
        <v>245311</v>
      </c>
      <c r="BI47" s="71">
        <f>BH47</f>
        <v>245311</v>
      </c>
      <c r="BJ47" s="449">
        <v>307214</v>
      </c>
      <c r="BK47" s="449">
        <v>314730</v>
      </c>
      <c r="BL47" s="449">
        <v>404602</v>
      </c>
      <c r="BM47" s="449">
        <v>401545</v>
      </c>
      <c r="BN47" s="71">
        <f>BM47</f>
        <v>401545</v>
      </c>
      <c r="BO47" s="449">
        <v>493394</v>
      </c>
      <c r="BP47" s="449">
        <v>614767</v>
      </c>
      <c r="BQ47" s="449">
        <v>572987</v>
      </c>
      <c r="BR47" s="449">
        <v>507155</v>
      </c>
      <c r="BS47" s="71">
        <f>BR47</f>
        <v>507155</v>
      </c>
      <c r="BT47" s="449">
        <v>648396</v>
      </c>
      <c r="BU47" s="449">
        <v>555643</v>
      </c>
      <c r="BV47" s="449">
        <f>787582</f>
        <v>787582</v>
      </c>
      <c r="BW47" s="449">
        <v>505168</v>
      </c>
      <c r="BX47" s="71">
        <f>BW47</f>
        <v>505168</v>
      </c>
      <c r="BY47" s="449">
        <v>543643</v>
      </c>
      <c r="BZ47" s="449">
        <v>680374</v>
      </c>
      <c r="CA47" s="449">
        <v>735627</v>
      </c>
      <c r="CB47" s="449">
        <f>276564</f>
        <v>276564</v>
      </c>
      <c r="CC47" s="71">
        <f>CB47</f>
        <v>276564</v>
      </c>
      <c r="CD47" s="449">
        <f>93860+345571</f>
        <v>439431</v>
      </c>
      <c r="CE47" s="449">
        <f>93860+456022</f>
        <v>549882</v>
      </c>
      <c r="CF47" s="450">
        <f ca="1">CE47+IS!CF45-IS!CF55</f>
        <v>665428.49957986851</v>
      </c>
      <c r="CG47" s="450">
        <f ca="1">CF47+IS!CG45-IS!CG55</f>
        <v>788296.60074700334</v>
      </c>
      <c r="CH47" s="71">
        <f ca="1">CG47</f>
        <v>788296.60074700334</v>
      </c>
      <c r="CI47" s="450">
        <f ca="1">CH47+IS!CI45-IS!CI55</f>
        <v>881920.15687737439</v>
      </c>
      <c r="CJ47" s="450">
        <f ca="1">CI47+IS!CJ45-IS!CJ55</f>
        <v>997870.51722090982</v>
      </c>
      <c r="CK47" s="450">
        <f ca="1">CJ47+IS!CK45-IS!CK55</f>
        <v>1125491.709574423</v>
      </c>
      <c r="CL47" s="450">
        <f ca="1">CK47+IS!CL45-IS!CL55</f>
        <v>1216354.2466383034</v>
      </c>
      <c r="CM47" s="71">
        <f ca="1">CL47</f>
        <v>1216354.2466383034</v>
      </c>
      <c r="CN47" s="450">
        <f ca="1">CM47+IS!CN45-IS!CN55</f>
        <v>1308400.7590952255</v>
      </c>
      <c r="CO47" s="450">
        <f ca="1">CN47+IS!CO45-IS!CO55</f>
        <v>1340210.006105958</v>
      </c>
      <c r="CP47" s="450">
        <f ca="1">CO47+IS!CP45-IS!CP55</f>
        <v>1404628.1616324477</v>
      </c>
      <c r="CQ47" s="450">
        <f ca="1">CP47+IS!CQ45-IS!CQ55</f>
        <v>1453203.5194439844</v>
      </c>
      <c r="CR47" s="71">
        <f ca="1">CQ47</f>
        <v>1453203.5194439844</v>
      </c>
      <c r="CS47" s="450">
        <f ca="1">CR47+IS!CS45-IS!CS55</f>
        <v>1524850.9510074204</v>
      </c>
      <c r="CT47" s="450">
        <f ca="1">CS47+IS!CT45-IS!CT55</f>
        <v>1551476.2300176567</v>
      </c>
      <c r="CU47" s="450">
        <f ca="1">CT47+IS!CU45-IS!CU55</f>
        <v>1613647.5904628532</v>
      </c>
      <c r="CV47" s="450">
        <f ca="1">CU47+IS!CV45-IS!CV55</f>
        <v>1661592.3594792788</v>
      </c>
      <c r="CW47" s="71">
        <f ca="1">CV47</f>
        <v>1661592.3594792788</v>
      </c>
      <c r="CX47" s="450">
        <f ca="1">CW47+IS!CX45-IS!CX55</f>
        <v>1744435.5918736695</v>
      </c>
      <c r="CY47" s="450">
        <f ca="1">CX47+IS!CY45-IS!CY55</f>
        <v>1771650.2840146632</v>
      </c>
      <c r="CZ47" s="450">
        <f ca="1">CY47+IS!CZ45-IS!CZ55</f>
        <v>1835723.5348038715</v>
      </c>
      <c r="DA47" s="450">
        <f ca="1">CZ47+IS!DA45-IS!DA55</f>
        <v>1885353.7975356018</v>
      </c>
      <c r="DB47" s="71">
        <f ca="1">DA47</f>
        <v>1885353.7975356018</v>
      </c>
    </row>
    <row r="48" spans="1:106" s="89" customFormat="1" ht="11.5" customHeight="1" x14ac:dyDescent="0.35">
      <c r="A48" s="186" t="s">
        <v>16</v>
      </c>
      <c r="B48" s="187">
        <f t="shared" ref="B48:AE48" si="302">B26-B4</f>
        <v>0</v>
      </c>
      <c r="C48" s="187">
        <f t="shared" si="302"/>
        <v>0</v>
      </c>
      <c r="D48" s="187">
        <f t="shared" si="302"/>
        <v>0</v>
      </c>
      <c r="E48" s="187">
        <f t="shared" si="302"/>
        <v>0</v>
      </c>
      <c r="F48" s="188">
        <f t="shared" si="302"/>
        <v>0</v>
      </c>
      <c r="G48" s="187">
        <f t="shared" si="302"/>
        <v>0</v>
      </c>
      <c r="H48" s="187">
        <f t="shared" si="302"/>
        <v>0</v>
      </c>
      <c r="I48" s="187">
        <f t="shared" si="302"/>
        <v>0</v>
      </c>
      <c r="J48" s="187">
        <f t="shared" si="302"/>
        <v>0</v>
      </c>
      <c r="K48" s="188">
        <f t="shared" si="302"/>
        <v>0</v>
      </c>
      <c r="L48" s="187">
        <f t="shared" si="302"/>
        <v>0</v>
      </c>
      <c r="M48" s="187">
        <f t="shared" si="302"/>
        <v>0</v>
      </c>
      <c r="N48" s="187">
        <f t="shared" si="302"/>
        <v>0</v>
      </c>
      <c r="O48" s="187">
        <f t="shared" si="302"/>
        <v>0</v>
      </c>
      <c r="P48" s="188">
        <f t="shared" si="302"/>
        <v>0</v>
      </c>
      <c r="Q48" s="187">
        <f t="shared" si="302"/>
        <v>0</v>
      </c>
      <c r="R48" s="187">
        <f t="shared" si="302"/>
        <v>0</v>
      </c>
      <c r="S48" s="187">
        <f t="shared" si="302"/>
        <v>0</v>
      </c>
      <c r="T48" s="187">
        <f t="shared" si="302"/>
        <v>0</v>
      </c>
      <c r="U48" s="188">
        <f t="shared" si="302"/>
        <v>0</v>
      </c>
      <c r="V48" s="187">
        <f t="shared" si="302"/>
        <v>0</v>
      </c>
      <c r="W48" s="187">
        <f t="shared" si="302"/>
        <v>0</v>
      </c>
      <c r="X48" s="187">
        <f t="shared" si="302"/>
        <v>0</v>
      </c>
      <c r="Y48" s="187">
        <f t="shared" si="302"/>
        <v>0</v>
      </c>
      <c r="Z48" s="188">
        <f t="shared" si="302"/>
        <v>0</v>
      </c>
      <c r="AA48" s="187">
        <f t="shared" si="302"/>
        <v>0</v>
      </c>
      <c r="AB48" s="187">
        <f t="shared" si="302"/>
        <v>0</v>
      </c>
      <c r="AC48" s="187">
        <f t="shared" si="302"/>
        <v>0</v>
      </c>
      <c r="AD48" s="187">
        <f t="shared" si="302"/>
        <v>0</v>
      </c>
      <c r="AE48" s="188">
        <f t="shared" si="302"/>
        <v>0</v>
      </c>
      <c r="AF48" s="187">
        <f t="shared" ref="AF48:AG48" si="303">AF26-AF4</f>
        <v>0</v>
      </c>
      <c r="AG48" s="187">
        <f t="shared" si="303"/>
        <v>0</v>
      </c>
      <c r="AH48" s="187">
        <f t="shared" ref="AH48:BM48" si="304">AH26-AH4</f>
        <v>0</v>
      </c>
      <c r="AI48" s="187">
        <f t="shared" si="304"/>
        <v>0</v>
      </c>
      <c r="AJ48" s="188">
        <f t="shared" si="304"/>
        <v>0</v>
      </c>
      <c r="AK48" s="187">
        <f t="shared" si="304"/>
        <v>0</v>
      </c>
      <c r="AL48" s="187">
        <f t="shared" si="304"/>
        <v>0</v>
      </c>
      <c r="AM48" s="187">
        <f t="shared" si="304"/>
        <v>0</v>
      </c>
      <c r="AN48" s="187">
        <f t="shared" si="304"/>
        <v>0</v>
      </c>
      <c r="AO48" s="188">
        <f t="shared" si="304"/>
        <v>0</v>
      </c>
      <c r="AP48" s="187">
        <f t="shared" si="304"/>
        <v>0</v>
      </c>
      <c r="AQ48" s="187">
        <f t="shared" si="304"/>
        <v>0</v>
      </c>
      <c r="AR48" s="187">
        <f t="shared" si="304"/>
        <v>0</v>
      </c>
      <c r="AS48" s="187">
        <f t="shared" si="304"/>
        <v>0</v>
      </c>
      <c r="AT48" s="188">
        <f t="shared" si="304"/>
        <v>0</v>
      </c>
      <c r="AU48" s="187">
        <f t="shared" si="304"/>
        <v>0</v>
      </c>
      <c r="AV48" s="187">
        <f t="shared" si="304"/>
        <v>0</v>
      </c>
      <c r="AW48" s="187">
        <f t="shared" si="304"/>
        <v>0</v>
      </c>
      <c r="AX48" s="187">
        <f t="shared" si="304"/>
        <v>0</v>
      </c>
      <c r="AY48" s="188">
        <f t="shared" si="304"/>
        <v>0</v>
      </c>
      <c r="AZ48" s="187">
        <f t="shared" si="304"/>
        <v>0</v>
      </c>
      <c r="BA48" s="187">
        <f t="shared" si="304"/>
        <v>0</v>
      </c>
      <c r="BB48" s="187">
        <f t="shared" si="304"/>
        <v>0</v>
      </c>
      <c r="BC48" s="187">
        <f t="shared" si="304"/>
        <v>0</v>
      </c>
      <c r="BD48" s="188">
        <f t="shared" si="304"/>
        <v>0</v>
      </c>
      <c r="BE48" s="187">
        <f t="shared" si="304"/>
        <v>0</v>
      </c>
      <c r="BF48" s="187">
        <f t="shared" si="304"/>
        <v>0</v>
      </c>
      <c r="BG48" s="187">
        <f t="shared" si="304"/>
        <v>0</v>
      </c>
      <c r="BH48" s="187">
        <f t="shared" si="304"/>
        <v>0</v>
      </c>
      <c r="BI48" s="188">
        <f t="shared" si="304"/>
        <v>0</v>
      </c>
      <c r="BJ48" s="187">
        <f t="shared" si="304"/>
        <v>0</v>
      </c>
      <c r="BK48" s="187">
        <f t="shared" si="304"/>
        <v>0</v>
      </c>
      <c r="BL48" s="187">
        <f t="shared" si="304"/>
        <v>0</v>
      </c>
      <c r="BM48" s="187">
        <f t="shared" si="304"/>
        <v>0</v>
      </c>
      <c r="BN48" s="188">
        <f t="shared" ref="BN48:CS48" si="305">BN26-BN4</f>
        <v>0</v>
      </c>
      <c r="BO48" s="187">
        <f t="shared" si="305"/>
        <v>0</v>
      </c>
      <c r="BP48" s="187">
        <f t="shared" si="305"/>
        <v>0</v>
      </c>
      <c r="BQ48" s="187">
        <f t="shared" si="305"/>
        <v>0</v>
      </c>
      <c r="BR48" s="187">
        <f t="shared" si="305"/>
        <v>0</v>
      </c>
      <c r="BS48" s="188">
        <f t="shared" si="305"/>
        <v>0</v>
      </c>
      <c r="BT48" s="187">
        <f t="shared" si="305"/>
        <v>0</v>
      </c>
      <c r="BU48" s="187">
        <f t="shared" si="305"/>
        <v>0</v>
      </c>
      <c r="BV48" s="187">
        <f t="shared" si="305"/>
        <v>0</v>
      </c>
      <c r="BW48" s="187">
        <f t="shared" si="305"/>
        <v>0</v>
      </c>
      <c r="BX48" s="188">
        <f t="shared" si="305"/>
        <v>0</v>
      </c>
      <c r="BY48" s="187">
        <f t="shared" si="305"/>
        <v>0</v>
      </c>
      <c r="BZ48" s="187">
        <f t="shared" ref="BZ48:CB48" si="306">BZ26-BZ4</f>
        <v>0</v>
      </c>
      <c r="CA48" s="187">
        <f t="shared" si="306"/>
        <v>0</v>
      </c>
      <c r="CB48" s="187">
        <f t="shared" si="306"/>
        <v>0</v>
      </c>
      <c r="CC48" s="188">
        <f t="shared" si="305"/>
        <v>0</v>
      </c>
      <c r="CD48" s="187">
        <f t="shared" ref="CD48:CE48" si="307">CD26-CD4</f>
        <v>0</v>
      </c>
      <c r="CE48" s="187">
        <f t="shared" si="307"/>
        <v>0</v>
      </c>
      <c r="CF48" s="187">
        <f t="shared" ca="1" si="305"/>
        <v>0</v>
      </c>
      <c r="CG48" s="187">
        <f t="shared" ca="1" si="305"/>
        <v>0</v>
      </c>
      <c r="CH48" s="188">
        <f t="shared" ca="1" si="305"/>
        <v>0</v>
      </c>
      <c r="CI48" s="187">
        <f t="shared" ca="1" si="305"/>
        <v>0</v>
      </c>
      <c r="CJ48" s="187">
        <f t="shared" ca="1" si="305"/>
        <v>0</v>
      </c>
      <c r="CK48" s="187">
        <f t="shared" ca="1" si="305"/>
        <v>0</v>
      </c>
      <c r="CL48" s="187">
        <f t="shared" ca="1" si="305"/>
        <v>0</v>
      </c>
      <c r="CM48" s="188">
        <f t="shared" ca="1" si="305"/>
        <v>0</v>
      </c>
      <c r="CN48" s="187">
        <f t="shared" ca="1" si="305"/>
        <v>0</v>
      </c>
      <c r="CO48" s="187">
        <f t="shared" ca="1" si="305"/>
        <v>0</v>
      </c>
      <c r="CP48" s="187">
        <f t="shared" ca="1" si="305"/>
        <v>0</v>
      </c>
      <c r="CQ48" s="187">
        <f t="shared" ca="1" si="305"/>
        <v>0</v>
      </c>
      <c r="CR48" s="188">
        <f t="shared" ca="1" si="305"/>
        <v>0</v>
      </c>
      <c r="CS48" s="187">
        <f t="shared" ca="1" si="305"/>
        <v>0</v>
      </c>
      <c r="CT48" s="187">
        <f t="shared" ref="CT48:DB48" ca="1" si="308">CT26-CT4</f>
        <v>0</v>
      </c>
      <c r="CU48" s="187">
        <f t="shared" ca="1" si="308"/>
        <v>0</v>
      </c>
      <c r="CV48" s="187">
        <f t="shared" ca="1" si="308"/>
        <v>0</v>
      </c>
      <c r="CW48" s="188">
        <f t="shared" ca="1" si="308"/>
        <v>0</v>
      </c>
      <c r="CX48" s="187">
        <f t="shared" ca="1" si="308"/>
        <v>0</v>
      </c>
      <c r="CY48" s="187">
        <f t="shared" ca="1" si="308"/>
        <v>0</v>
      </c>
      <c r="CZ48" s="187">
        <f t="shared" ca="1" si="308"/>
        <v>0</v>
      </c>
      <c r="DA48" s="187">
        <f t="shared" ca="1" si="308"/>
        <v>0</v>
      </c>
      <c r="DB48" s="188">
        <f t="shared" ca="1" si="308"/>
        <v>0</v>
      </c>
    </row>
    <row r="49" spans="1:106" ht="11.5" customHeight="1" x14ac:dyDescent="0.35">
      <c r="A49" s="19"/>
      <c r="B49" s="72"/>
      <c r="C49" s="23"/>
      <c r="D49" s="23"/>
      <c r="E49" s="23"/>
      <c r="F49" s="55"/>
      <c r="G49" s="72"/>
      <c r="H49" s="23"/>
      <c r="I49" s="23"/>
      <c r="J49" s="23"/>
      <c r="K49" s="55"/>
      <c r="L49" s="72"/>
      <c r="M49" s="23"/>
      <c r="N49" s="23"/>
      <c r="O49" s="23"/>
      <c r="P49" s="55"/>
      <c r="Q49" s="72"/>
      <c r="R49" s="23"/>
      <c r="S49" s="23"/>
      <c r="T49" s="23"/>
      <c r="U49" s="55"/>
      <c r="V49" s="72"/>
      <c r="W49" s="23"/>
      <c r="X49" s="23"/>
      <c r="Y49" s="23"/>
      <c r="Z49" s="55"/>
      <c r="AA49" s="72"/>
      <c r="AB49" s="23"/>
      <c r="AC49" s="23"/>
      <c r="AD49" s="23"/>
      <c r="AE49" s="55"/>
      <c r="AF49" s="72"/>
      <c r="AG49" s="23"/>
      <c r="AH49" s="23"/>
      <c r="AI49" s="23"/>
      <c r="AJ49" s="55"/>
      <c r="AK49" s="72"/>
      <c r="AL49" s="23"/>
      <c r="AM49" s="23"/>
      <c r="AN49" s="23"/>
      <c r="AO49" s="55"/>
      <c r="AP49" s="72"/>
      <c r="AQ49" s="23"/>
      <c r="AR49" s="23"/>
      <c r="AS49" s="23"/>
      <c r="AT49" s="55"/>
      <c r="AU49" s="72"/>
      <c r="AV49" s="23"/>
      <c r="AW49" s="23"/>
      <c r="AX49" s="23"/>
      <c r="AY49" s="55"/>
      <c r="AZ49" s="72"/>
      <c r="BA49" s="23"/>
      <c r="BB49" s="23"/>
      <c r="BC49" s="23"/>
      <c r="BD49" s="55"/>
      <c r="BE49" s="72"/>
      <c r="BF49" s="23"/>
      <c r="BG49" s="23"/>
      <c r="BH49" s="23"/>
      <c r="BI49" s="55"/>
      <c r="BJ49" s="72"/>
      <c r="BK49" s="23"/>
      <c r="BL49" s="23"/>
      <c r="BM49" s="23"/>
      <c r="BN49" s="55"/>
      <c r="BO49" s="72"/>
      <c r="BP49" s="23"/>
      <c r="BQ49" s="23"/>
      <c r="BR49" s="23"/>
      <c r="BS49" s="55"/>
      <c r="BT49" s="72"/>
      <c r="BU49" s="23"/>
      <c r="BV49" s="23"/>
      <c r="BW49" s="23"/>
      <c r="BX49" s="55"/>
      <c r="BY49" s="72"/>
      <c r="BZ49" s="85"/>
      <c r="CA49" s="85"/>
      <c r="CB49" s="85"/>
      <c r="CC49" s="55"/>
      <c r="CD49" s="85"/>
      <c r="CE49" s="85"/>
      <c r="CF49" s="85"/>
      <c r="CG49" s="85"/>
      <c r="CH49" s="55"/>
      <c r="CI49" s="85"/>
      <c r="CJ49" s="85"/>
      <c r="CK49" s="85"/>
      <c r="CL49" s="85"/>
      <c r="CM49" s="55"/>
      <c r="CN49" s="85"/>
      <c r="CO49" s="85"/>
      <c r="CP49" s="85"/>
      <c r="CQ49" s="85"/>
      <c r="CR49" s="55"/>
      <c r="CS49" s="85"/>
      <c r="CT49" s="85"/>
      <c r="CU49" s="85"/>
      <c r="CV49" s="85"/>
      <c r="CW49" s="55"/>
      <c r="CX49" s="85"/>
      <c r="CY49" s="85"/>
      <c r="CZ49" s="85"/>
      <c r="DA49" s="85"/>
      <c r="DB49" s="55"/>
    </row>
    <row r="50" spans="1:106" ht="11.5" customHeight="1" thickBot="1" x14ac:dyDescent="0.4">
      <c r="A50" s="34" t="s">
        <v>198</v>
      </c>
      <c r="B50" s="43" t="str">
        <f>Macro!B$3</f>
        <v>1Q10</v>
      </c>
      <c r="C50" s="43" t="str">
        <f>Macro!C$3</f>
        <v>2Q10</v>
      </c>
      <c r="D50" s="43" t="str">
        <f>Macro!D$3</f>
        <v>3Q10</v>
      </c>
      <c r="E50" s="44" t="str">
        <f>Macro!E$3</f>
        <v>4Q10</v>
      </c>
      <c r="F50" s="42" t="str">
        <f>Macro!F$3</f>
        <v>2010</v>
      </c>
      <c r="G50" s="43" t="str">
        <f>Macro!G$3</f>
        <v>1Q11</v>
      </c>
      <c r="H50" s="43" t="str">
        <f>Macro!H$3</f>
        <v>2Q11</v>
      </c>
      <c r="I50" s="43" t="str">
        <f>Macro!I$3</f>
        <v>3Q11</v>
      </c>
      <c r="J50" s="44" t="str">
        <f>Macro!J$3</f>
        <v>4Q11</v>
      </c>
      <c r="K50" s="42" t="str">
        <f>Macro!K$3</f>
        <v>2011</v>
      </c>
      <c r="L50" s="43" t="str">
        <f>Macro!L$3</f>
        <v>1Q12</v>
      </c>
      <c r="M50" s="43" t="str">
        <f>Macro!M$3</f>
        <v>2Q12</v>
      </c>
      <c r="N50" s="43" t="str">
        <f>Macro!N$3</f>
        <v>3Q12</v>
      </c>
      <c r="O50" s="44" t="str">
        <f>Macro!O$3</f>
        <v>4Q12</v>
      </c>
      <c r="P50" s="42" t="str">
        <f>Macro!P$3</f>
        <v>2012</v>
      </c>
      <c r="Q50" s="43" t="str">
        <f>Macro!Q$3</f>
        <v>1Q13</v>
      </c>
      <c r="R50" s="43" t="str">
        <f>Macro!R$3</f>
        <v>2Q13</v>
      </c>
      <c r="S50" s="43" t="str">
        <f>Macro!S$3</f>
        <v>3Q13</v>
      </c>
      <c r="T50" s="44" t="str">
        <f>Macro!T$3</f>
        <v>4Q13</v>
      </c>
      <c r="U50" s="42" t="str">
        <f>Macro!U$3</f>
        <v>2013</v>
      </c>
      <c r="V50" s="43" t="str">
        <f>Macro!V$3</f>
        <v>1Q14</v>
      </c>
      <c r="W50" s="43" t="str">
        <f>Macro!W$3</f>
        <v>2Q14</v>
      </c>
      <c r="X50" s="43" t="str">
        <f>Macro!X$3</f>
        <v>3Q14</v>
      </c>
      <c r="Y50" s="44" t="str">
        <f>Macro!Y$3</f>
        <v>4Q14</v>
      </c>
      <c r="Z50" s="42" t="str">
        <f>Macro!Z$3</f>
        <v>2014</v>
      </c>
      <c r="AA50" s="43" t="str">
        <f>Macro!AA$3</f>
        <v>1Q15</v>
      </c>
      <c r="AB50" s="43" t="str">
        <f>Macro!AB$3</f>
        <v>2Q15</v>
      </c>
      <c r="AC50" s="43" t="str">
        <f>Macro!AC$3</f>
        <v>3Q15</v>
      </c>
      <c r="AD50" s="44" t="str">
        <f>Macro!AD$3</f>
        <v>4Q15</v>
      </c>
      <c r="AE50" s="42" t="str">
        <f>Macro!AE$3</f>
        <v>2015</v>
      </c>
      <c r="AF50" s="43" t="str">
        <f>Macro!AF$3</f>
        <v>1Q16</v>
      </c>
      <c r="AG50" s="43" t="str">
        <f>Macro!AG$3</f>
        <v>2Q16</v>
      </c>
      <c r="AH50" s="43" t="str">
        <f>Macro!AH$3</f>
        <v>3Q16</v>
      </c>
      <c r="AI50" s="44" t="str">
        <f>Macro!AI$3</f>
        <v>4Q16</v>
      </c>
      <c r="AJ50" s="42" t="str">
        <f>Macro!AJ$3</f>
        <v>2016</v>
      </c>
      <c r="AK50" s="43" t="str">
        <f>Macro!AK$3</f>
        <v>1Q17</v>
      </c>
      <c r="AL50" s="43" t="str">
        <f>Macro!AL$3</f>
        <v>2Q17</v>
      </c>
      <c r="AM50" s="43" t="str">
        <f>Macro!AM$3</f>
        <v>3Q17</v>
      </c>
      <c r="AN50" s="44" t="str">
        <f>Macro!AN$3</f>
        <v>4Q17</v>
      </c>
      <c r="AO50" s="42" t="str">
        <f>Macro!AO$3</f>
        <v>2017</v>
      </c>
      <c r="AP50" s="43" t="str">
        <f>Macro!AP$3</f>
        <v>1Q18</v>
      </c>
      <c r="AQ50" s="43" t="str">
        <f>Macro!AQ$3</f>
        <v>2Q18</v>
      </c>
      <c r="AR50" s="43" t="str">
        <f>Macro!AR$3</f>
        <v>3Q18</v>
      </c>
      <c r="AS50" s="44" t="str">
        <f>Macro!AS$3</f>
        <v>4Q18</v>
      </c>
      <c r="AT50" s="42" t="str">
        <f>Macro!AT$3</f>
        <v>2018</v>
      </c>
      <c r="AU50" s="43" t="str">
        <f>Macro!AU$3</f>
        <v>1Q19</v>
      </c>
      <c r="AV50" s="43" t="str">
        <f>Macro!AV$3</f>
        <v>2Q19</v>
      </c>
      <c r="AW50" s="43" t="str">
        <f>Macro!AW$3</f>
        <v>3Q19</v>
      </c>
      <c r="AX50" s="44" t="str">
        <f>Macro!AX$3</f>
        <v>4Q19</v>
      </c>
      <c r="AY50" s="42" t="str">
        <f>Macro!AY$3</f>
        <v>2019</v>
      </c>
      <c r="AZ50" s="43" t="str">
        <f>Macro!AZ$3</f>
        <v>1Q20</v>
      </c>
      <c r="BA50" s="43" t="str">
        <f>Macro!BA$3</f>
        <v>2Q20</v>
      </c>
      <c r="BB50" s="43" t="str">
        <f>Macro!BB$3</f>
        <v>3Q20</v>
      </c>
      <c r="BC50" s="44" t="str">
        <f>Macro!BC$3</f>
        <v>4Q20</v>
      </c>
      <c r="BD50" s="42" t="str">
        <f>Macro!BD$3</f>
        <v>2020</v>
      </c>
      <c r="BE50" s="43" t="str">
        <f>Macro!BE$3</f>
        <v>1Q21</v>
      </c>
      <c r="BF50" s="43" t="str">
        <f>Macro!BF$3</f>
        <v>2Q21</v>
      </c>
      <c r="BG50" s="43" t="str">
        <f>Macro!BG$3</f>
        <v>3Q21</v>
      </c>
      <c r="BH50" s="44" t="str">
        <f>Macro!BH$3</f>
        <v>4Q21</v>
      </c>
      <c r="BI50" s="42" t="str">
        <f>Macro!BI$3</f>
        <v>2021</v>
      </c>
      <c r="BJ50" s="43" t="str">
        <f>Macro!BJ$3</f>
        <v>1Q22</v>
      </c>
      <c r="BK50" s="43" t="str">
        <f>Macro!BK$3</f>
        <v>2Q22</v>
      </c>
      <c r="BL50" s="43" t="str">
        <f>Macro!BL$3</f>
        <v>3Q22</v>
      </c>
      <c r="BM50" s="44" t="str">
        <f>Macro!BM$3</f>
        <v>4Q22</v>
      </c>
      <c r="BN50" s="42" t="str">
        <f>Macro!BN$3</f>
        <v>2022</v>
      </c>
      <c r="BO50" s="43" t="str">
        <f>Macro!BO$3</f>
        <v>1Q23</v>
      </c>
      <c r="BP50" s="43" t="str">
        <f>Macro!BP$3</f>
        <v>2Q23</v>
      </c>
      <c r="BQ50" s="43" t="str">
        <f>Macro!BQ$3</f>
        <v>3Q23</v>
      </c>
      <c r="BR50" s="44" t="str">
        <f>Macro!BR$3</f>
        <v>4Q23</v>
      </c>
      <c r="BS50" s="42" t="str">
        <f>Macro!BS$3</f>
        <v>2023</v>
      </c>
      <c r="BT50" s="43" t="str">
        <f>Macro!BT$3</f>
        <v>1Q24</v>
      </c>
      <c r="BU50" s="43" t="str">
        <f>Macro!BU$3</f>
        <v>2Q24</v>
      </c>
      <c r="BV50" s="43" t="str">
        <f>Macro!BV$3</f>
        <v>3Q24</v>
      </c>
      <c r="BW50" s="44" t="str">
        <f>Macro!BW$3</f>
        <v>4Q24</v>
      </c>
      <c r="BX50" s="42" t="str">
        <f>Macro!BX$3</f>
        <v>2024</v>
      </c>
      <c r="BY50" s="43" t="str">
        <f>Macro!BY$3</f>
        <v>1Q25</v>
      </c>
      <c r="BZ50" s="35" t="str">
        <f>Macro!BZ$3</f>
        <v>2Q25</v>
      </c>
      <c r="CA50" s="35" t="str">
        <f>Macro!CA$3</f>
        <v>3Q25</v>
      </c>
      <c r="CB50" s="35" t="str">
        <f>Macro!CB$3</f>
        <v>4Q25</v>
      </c>
      <c r="CC50" s="36" t="str">
        <f>Macro!CC$3</f>
        <v>2025</v>
      </c>
      <c r="CD50" s="35" t="str">
        <f>Macro!CD$3</f>
        <v>1Q26</v>
      </c>
      <c r="CE50" s="35" t="str">
        <f>Macro!CE$3</f>
        <v>2Q26E</v>
      </c>
      <c r="CF50" s="35" t="str">
        <f>Macro!CF$3</f>
        <v>3Q26E</v>
      </c>
      <c r="CG50" s="35" t="str">
        <f>Macro!CG$3</f>
        <v>4Q26E</v>
      </c>
      <c r="CH50" s="36" t="str">
        <f>Macro!CH$3</f>
        <v>2026E</v>
      </c>
      <c r="CI50" s="35" t="str">
        <f>Macro!CI$3</f>
        <v>1Q27E</v>
      </c>
      <c r="CJ50" s="35" t="str">
        <f>Macro!CJ$3</f>
        <v>2Q27E</v>
      </c>
      <c r="CK50" s="35" t="str">
        <f>Macro!CK$3</f>
        <v>3Q27E</v>
      </c>
      <c r="CL50" s="35" t="str">
        <f>Macro!CL$3</f>
        <v>4Q27E</v>
      </c>
      <c r="CM50" s="36" t="str">
        <f>Macro!CM$3</f>
        <v>2027E</v>
      </c>
      <c r="CN50" s="35" t="str">
        <f>Macro!CN$3</f>
        <v>1Q28E</v>
      </c>
      <c r="CO50" s="35" t="str">
        <f>Macro!CO$3</f>
        <v>2Q28E</v>
      </c>
      <c r="CP50" s="35" t="str">
        <f>Macro!CP$3</f>
        <v>3Q28E</v>
      </c>
      <c r="CQ50" s="35" t="str">
        <f>Macro!CQ$3</f>
        <v>4Q28E</v>
      </c>
      <c r="CR50" s="36" t="str">
        <f>Macro!CR$3</f>
        <v>2028E</v>
      </c>
      <c r="CS50" s="35" t="str">
        <f>Macro!CS$3</f>
        <v>1Q29E</v>
      </c>
      <c r="CT50" s="35" t="str">
        <f>Macro!CT$3</f>
        <v>2Q29E</v>
      </c>
      <c r="CU50" s="35" t="str">
        <f>Macro!CU$3</f>
        <v>3Q29E</v>
      </c>
      <c r="CV50" s="35" t="str">
        <f>Macro!CV$3</f>
        <v>4Q29E</v>
      </c>
      <c r="CW50" s="36" t="str">
        <f>Macro!CW$3</f>
        <v>2029E</v>
      </c>
      <c r="CX50" s="35" t="str">
        <f>Macro!CX$3</f>
        <v>1Q30E</v>
      </c>
      <c r="CY50" s="35" t="str">
        <f>Macro!CY$3</f>
        <v>2Q30E</v>
      </c>
      <c r="CZ50" s="35" t="str">
        <f>Macro!CZ$3</f>
        <v>3Q30E</v>
      </c>
      <c r="DA50" s="35" t="str">
        <f>Macro!DA$3</f>
        <v>4Q30E</v>
      </c>
      <c r="DB50" s="36" t="str">
        <f>Macro!DB$3</f>
        <v>2030E</v>
      </c>
    </row>
    <row r="51" spans="1:106" ht="11.5" customHeight="1" x14ac:dyDescent="0.35">
      <c r="A51" s="19" t="s">
        <v>124</v>
      </c>
      <c r="B51" s="68">
        <f t="shared" ref="B51:AE51" si="309">B28</f>
        <v>0</v>
      </c>
      <c r="C51" s="68">
        <f t="shared" si="309"/>
        <v>0</v>
      </c>
      <c r="D51" s="68">
        <f t="shared" si="309"/>
        <v>0</v>
      </c>
      <c r="E51" s="68">
        <f t="shared" si="309"/>
        <v>0</v>
      </c>
      <c r="F51" s="28">
        <f t="shared" si="309"/>
        <v>0</v>
      </c>
      <c r="G51" s="68">
        <f t="shared" si="309"/>
        <v>0</v>
      </c>
      <c r="H51" s="68">
        <f t="shared" si="309"/>
        <v>0</v>
      </c>
      <c r="I51" s="68">
        <f t="shared" si="309"/>
        <v>0</v>
      </c>
      <c r="J51" s="68">
        <f t="shared" si="309"/>
        <v>0</v>
      </c>
      <c r="K51" s="28">
        <f t="shared" si="309"/>
        <v>0</v>
      </c>
      <c r="L51" s="68">
        <f t="shared" si="309"/>
        <v>0</v>
      </c>
      <c r="M51" s="68">
        <f t="shared" si="309"/>
        <v>0</v>
      </c>
      <c r="N51" s="68">
        <f t="shared" si="309"/>
        <v>0</v>
      </c>
      <c r="O51" s="68">
        <f t="shared" si="309"/>
        <v>0</v>
      </c>
      <c r="P51" s="28">
        <f t="shared" si="309"/>
        <v>0</v>
      </c>
      <c r="Q51" s="68">
        <f t="shared" si="309"/>
        <v>0</v>
      </c>
      <c r="R51" s="68">
        <f t="shared" si="309"/>
        <v>0</v>
      </c>
      <c r="S51" s="68">
        <f t="shared" si="309"/>
        <v>0</v>
      </c>
      <c r="T51" s="68">
        <f t="shared" si="309"/>
        <v>0</v>
      </c>
      <c r="U51" s="28">
        <f t="shared" si="309"/>
        <v>0</v>
      </c>
      <c r="V51" s="68">
        <f t="shared" si="309"/>
        <v>0</v>
      </c>
      <c r="W51" s="68">
        <f t="shared" si="309"/>
        <v>0</v>
      </c>
      <c r="X51" s="68">
        <f t="shared" si="309"/>
        <v>0</v>
      </c>
      <c r="Y51" s="68">
        <f t="shared" si="309"/>
        <v>0</v>
      </c>
      <c r="Z51" s="28">
        <f t="shared" si="309"/>
        <v>0</v>
      </c>
      <c r="AA51" s="68">
        <f t="shared" si="309"/>
        <v>0</v>
      </c>
      <c r="AB51" s="68">
        <f t="shared" si="309"/>
        <v>0</v>
      </c>
      <c r="AC51" s="68">
        <f t="shared" si="309"/>
        <v>0</v>
      </c>
      <c r="AD51" s="68">
        <f t="shared" si="309"/>
        <v>0</v>
      </c>
      <c r="AE51" s="28">
        <f t="shared" si="309"/>
        <v>0</v>
      </c>
      <c r="AF51" s="68">
        <f t="shared" ref="AF51:AG51" si="310">AF28</f>
        <v>0</v>
      </c>
      <c r="AG51" s="68">
        <f t="shared" si="310"/>
        <v>0</v>
      </c>
      <c r="AH51" s="68">
        <f t="shared" ref="AH51:BM51" si="311">AH28</f>
        <v>0</v>
      </c>
      <c r="AI51" s="68">
        <f t="shared" si="311"/>
        <v>0</v>
      </c>
      <c r="AJ51" s="28">
        <f t="shared" si="311"/>
        <v>0</v>
      </c>
      <c r="AK51" s="68">
        <f t="shared" si="311"/>
        <v>196123</v>
      </c>
      <c r="AL51" s="68">
        <f t="shared" si="311"/>
        <v>189265</v>
      </c>
      <c r="AM51" s="68">
        <f t="shared" si="311"/>
        <v>187638</v>
      </c>
      <c r="AN51" s="68">
        <f t="shared" si="311"/>
        <v>187563</v>
      </c>
      <c r="AO51" s="28">
        <f t="shared" si="311"/>
        <v>187563</v>
      </c>
      <c r="AP51" s="68">
        <f t="shared" si="311"/>
        <v>152520</v>
      </c>
      <c r="AQ51" s="68">
        <f t="shared" si="311"/>
        <v>128558</v>
      </c>
      <c r="AR51" s="68">
        <f t="shared" si="311"/>
        <v>221107</v>
      </c>
      <c r="AS51" s="68">
        <f t="shared" si="311"/>
        <v>217596</v>
      </c>
      <c r="AT51" s="28">
        <f t="shared" si="311"/>
        <v>217596</v>
      </c>
      <c r="AU51" s="68">
        <f t="shared" si="311"/>
        <v>216989</v>
      </c>
      <c r="AV51" s="68">
        <f t="shared" si="311"/>
        <v>222206</v>
      </c>
      <c r="AW51" s="68">
        <f t="shared" si="311"/>
        <v>208339</v>
      </c>
      <c r="AX51" s="68">
        <f t="shared" si="311"/>
        <v>286966</v>
      </c>
      <c r="AY51" s="28">
        <f t="shared" si="311"/>
        <v>286966</v>
      </c>
      <c r="AZ51" s="68">
        <f t="shared" si="311"/>
        <v>295331</v>
      </c>
      <c r="BA51" s="68">
        <f t="shared" si="311"/>
        <v>335796</v>
      </c>
      <c r="BB51" s="68">
        <f t="shared" si="311"/>
        <v>306192</v>
      </c>
      <c r="BC51" s="68">
        <f t="shared" si="311"/>
        <v>276703</v>
      </c>
      <c r="BD51" s="28">
        <f t="shared" si="311"/>
        <v>276703</v>
      </c>
      <c r="BE51" s="68">
        <f t="shared" si="311"/>
        <v>280789</v>
      </c>
      <c r="BF51" s="68">
        <f t="shared" si="311"/>
        <v>270295</v>
      </c>
      <c r="BG51" s="68">
        <f t="shared" si="311"/>
        <v>390224</v>
      </c>
      <c r="BH51" s="68">
        <f t="shared" si="311"/>
        <v>391228</v>
      </c>
      <c r="BI51" s="28">
        <f t="shared" si="311"/>
        <v>391228</v>
      </c>
      <c r="BJ51" s="68">
        <f t="shared" si="311"/>
        <v>390862</v>
      </c>
      <c r="BK51" s="68">
        <f t="shared" si="311"/>
        <v>398972</v>
      </c>
      <c r="BL51" s="68">
        <f t="shared" si="311"/>
        <v>456021</v>
      </c>
      <c r="BM51" s="68">
        <f t="shared" si="311"/>
        <v>480988</v>
      </c>
      <c r="BN51" s="28">
        <f t="shared" ref="BN51:CS51" si="312">BN28</f>
        <v>480988</v>
      </c>
      <c r="BO51" s="68">
        <f t="shared" si="312"/>
        <v>474517</v>
      </c>
      <c r="BP51" s="68">
        <f t="shared" si="312"/>
        <v>499607</v>
      </c>
      <c r="BQ51" s="68">
        <f t="shared" si="312"/>
        <v>645719</v>
      </c>
      <c r="BR51" s="68">
        <f t="shared" si="312"/>
        <v>613352</v>
      </c>
      <c r="BS51" s="28">
        <f t="shared" si="312"/>
        <v>613352</v>
      </c>
      <c r="BT51" s="68">
        <f t="shared" si="312"/>
        <v>601890</v>
      </c>
      <c r="BU51" s="68">
        <f t="shared" si="312"/>
        <v>1080738</v>
      </c>
      <c r="BV51" s="68">
        <f t="shared" si="312"/>
        <v>1102525</v>
      </c>
      <c r="BW51" s="68">
        <f t="shared" si="312"/>
        <v>986382</v>
      </c>
      <c r="BX51" s="28">
        <f t="shared" si="312"/>
        <v>986382</v>
      </c>
      <c r="BY51" s="68">
        <f t="shared" si="312"/>
        <v>1282811</v>
      </c>
      <c r="BZ51" s="68">
        <f t="shared" ref="BZ51:CA51" si="313">BZ28</f>
        <v>1303112</v>
      </c>
      <c r="CA51" s="68">
        <f t="shared" si="313"/>
        <v>1322986</v>
      </c>
      <c r="CB51" s="68">
        <f t="shared" si="312"/>
        <v>1474887</v>
      </c>
      <c r="CC51" s="28">
        <f t="shared" si="312"/>
        <v>1474887</v>
      </c>
      <c r="CD51" s="68">
        <f t="shared" ref="CD51:CE51" si="314">CD28</f>
        <v>1350416</v>
      </c>
      <c r="CE51" s="68">
        <f t="shared" si="314"/>
        <v>1343155</v>
      </c>
      <c r="CF51" s="68">
        <f t="shared" si="312"/>
        <v>1359533.1166372267</v>
      </c>
      <c r="CG51" s="68">
        <f t="shared" si="312"/>
        <v>1369410.8964456208</v>
      </c>
      <c r="CH51" s="28">
        <f t="shared" si="312"/>
        <v>1369410.8964456208</v>
      </c>
      <c r="CI51" s="68">
        <f t="shared" si="312"/>
        <v>1496815.0553446966</v>
      </c>
      <c r="CJ51" s="68">
        <f t="shared" si="312"/>
        <v>1588527.5224346807</v>
      </c>
      <c r="CK51" s="68">
        <f t="shared" si="312"/>
        <v>1624313.9758485963</v>
      </c>
      <c r="CL51" s="68">
        <f t="shared" si="312"/>
        <v>1650050.1508429304</v>
      </c>
      <c r="CM51" s="28">
        <f t="shared" si="312"/>
        <v>1650050.1508429304</v>
      </c>
      <c r="CN51" s="68">
        <f t="shared" si="312"/>
        <v>1762531.6644524268</v>
      </c>
      <c r="CO51" s="68">
        <f t="shared" si="312"/>
        <v>1813639.1013852796</v>
      </c>
      <c r="CP51" s="68">
        <f t="shared" si="312"/>
        <v>1812237.5054983706</v>
      </c>
      <c r="CQ51" s="68">
        <f t="shared" si="312"/>
        <v>1831255.5706433414</v>
      </c>
      <c r="CR51" s="28">
        <f t="shared" si="312"/>
        <v>1831255.5706433414</v>
      </c>
      <c r="CS51" s="68">
        <f t="shared" si="312"/>
        <v>1928281.3406799999</v>
      </c>
      <c r="CT51" s="68">
        <f t="shared" ref="CT51:DB51" si="315">CT28</f>
        <v>1976842.9416254815</v>
      </c>
      <c r="CU51" s="68">
        <f t="shared" si="315"/>
        <v>1970281.8544570717</v>
      </c>
      <c r="CV51" s="68">
        <f t="shared" si="315"/>
        <v>1974652.7450481418</v>
      </c>
      <c r="CW51" s="28">
        <f t="shared" si="315"/>
        <v>1974652.7450481418</v>
      </c>
      <c r="CX51" s="68">
        <f t="shared" si="315"/>
        <v>2063844.1581191125</v>
      </c>
      <c r="CY51" s="68">
        <f t="shared" si="315"/>
        <v>2105342.3545716889</v>
      </c>
      <c r="CZ51" s="68">
        <f t="shared" si="315"/>
        <v>2091420.0597812219</v>
      </c>
      <c r="DA51" s="68">
        <f t="shared" si="315"/>
        <v>2090216.7911586079</v>
      </c>
      <c r="DB51" s="28">
        <f t="shared" si="315"/>
        <v>2090216.7911586079</v>
      </c>
    </row>
    <row r="52" spans="1:106" ht="11.5" customHeight="1" outlineLevel="1" x14ac:dyDescent="0.35">
      <c r="A52" s="149" t="s">
        <v>200</v>
      </c>
      <c r="B52" s="68">
        <f t="shared" ref="B52:E52" si="316">B29</f>
        <v>0</v>
      </c>
      <c r="C52" s="68">
        <f t="shared" si="316"/>
        <v>0</v>
      </c>
      <c r="D52" s="68">
        <f t="shared" si="316"/>
        <v>0</v>
      </c>
      <c r="E52" s="68">
        <f t="shared" si="316"/>
        <v>0</v>
      </c>
      <c r="F52" s="28">
        <f t="shared" ref="F52" si="317">E52</f>
        <v>0</v>
      </c>
      <c r="G52" s="68">
        <f t="shared" ref="G52:J52" si="318">G29</f>
        <v>0</v>
      </c>
      <c r="H52" s="68">
        <f t="shared" si="318"/>
        <v>0</v>
      </c>
      <c r="I52" s="68">
        <f t="shared" si="318"/>
        <v>0</v>
      </c>
      <c r="J52" s="68">
        <f t="shared" si="318"/>
        <v>0</v>
      </c>
      <c r="K52" s="28">
        <f t="shared" ref="K52" si="319">J52</f>
        <v>0</v>
      </c>
      <c r="L52" s="68">
        <f t="shared" ref="L52:O52" si="320">L29</f>
        <v>0</v>
      </c>
      <c r="M52" s="68">
        <f t="shared" si="320"/>
        <v>0</v>
      </c>
      <c r="N52" s="68">
        <f t="shared" si="320"/>
        <v>0</v>
      </c>
      <c r="O52" s="68">
        <f t="shared" si="320"/>
        <v>0</v>
      </c>
      <c r="P52" s="28">
        <f t="shared" ref="P52" si="321">O52</f>
        <v>0</v>
      </c>
      <c r="Q52" s="68">
        <f t="shared" ref="Q52:T52" si="322">Q29</f>
        <v>0</v>
      </c>
      <c r="R52" s="68">
        <f t="shared" si="322"/>
        <v>0</v>
      </c>
      <c r="S52" s="68">
        <f t="shared" si="322"/>
        <v>0</v>
      </c>
      <c r="T52" s="68">
        <f t="shared" si="322"/>
        <v>0</v>
      </c>
      <c r="U52" s="28">
        <f t="shared" ref="U52" si="323">T52</f>
        <v>0</v>
      </c>
      <c r="V52" s="68">
        <f t="shared" ref="V52:Y52" si="324">V29</f>
        <v>0</v>
      </c>
      <c r="W52" s="68">
        <f t="shared" si="324"/>
        <v>0</v>
      </c>
      <c r="X52" s="68">
        <f t="shared" si="324"/>
        <v>0</v>
      </c>
      <c r="Y52" s="68">
        <f t="shared" si="324"/>
        <v>0</v>
      </c>
      <c r="Z52" s="28">
        <f t="shared" ref="Z52" si="325">Y52</f>
        <v>0</v>
      </c>
      <c r="AA52" s="68">
        <f t="shared" ref="AA52:AD52" si="326">AA29</f>
        <v>0</v>
      </c>
      <c r="AB52" s="68">
        <f t="shared" si="326"/>
        <v>0</v>
      </c>
      <c r="AC52" s="68">
        <f t="shared" si="326"/>
        <v>0</v>
      </c>
      <c r="AD52" s="68">
        <f t="shared" si="326"/>
        <v>0</v>
      </c>
      <c r="AE52" s="28">
        <f t="shared" ref="AE52" si="327">AD52</f>
        <v>0</v>
      </c>
      <c r="AF52" s="68">
        <f>AF29</f>
        <v>0</v>
      </c>
      <c r="AG52" s="68">
        <f>AG29</f>
        <v>0</v>
      </c>
      <c r="AH52" s="68">
        <f>AH29</f>
        <v>0</v>
      </c>
      <c r="AI52" s="68">
        <f>AI29</f>
        <v>0</v>
      </c>
      <c r="AJ52" s="28">
        <f>AI52</f>
        <v>0</v>
      </c>
      <c r="AK52" s="68">
        <f>AK29</f>
        <v>196123</v>
      </c>
      <c r="AL52" s="68">
        <f>AL29</f>
        <v>189265</v>
      </c>
      <c r="AM52" s="68">
        <f>AM29</f>
        <v>187638</v>
      </c>
      <c r="AN52" s="68">
        <f>AN29</f>
        <v>187563</v>
      </c>
      <c r="AO52" s="28">
        <f>AN52</f>
        <v>187563</v>
      </c>
      <c r="AP52" s="68">
        <f>AP29</f>
        <v>152520</v>
      </c>
      <c r="AQ52" s="68">
        <f>AQ29</f>
        <v>128558</v>
      </c>
      <c r="AR52" s="68">
        <f>AR29</f>
        <v>221107</v>
      </c>
      <c r="AS52" s="68">
        <f>AS29</f>
        <v>217596</v>
      </c>
      <c r="AT52" s="28">
        <f>AS52</f>
        <v>217596</v>
      </c>
      <c r="AU52" s="68">
        <f>AU29</f>
        <v>216989</v>
      </c>
      <c r="AV52" s="68">
        <f>AV29</f>
        <v>222206</v>
      </c>
      <c r="AW52" s="68">
        <f>AW29</f>
        <v>208339</v>
      </c>
      <c r="AX52" s="68">
        <f>AX29</f>
        <v>286966</v>
      </c>
      <c r="AY52" s="28">
        <f>AX52</f>
        <v>286966</v>
      </c>
      <c r="AZ52" s="68">
        <f>AZ29</f>
        <v>295331</v>
      </c>
      <c r="BA52" s="68">
        <f>BA29</f>
        <v>335796</v>
      </c>
      <c r="BB52" s="68">
        <f>BB29</f>
        <v>306192</v>
      </c>
      <c r="BC52" s="68">
        <f>BC29</f>
        <v>276703</v>
      </c>
      <c r="BD52" s="28">
        <f>BC52</f>
        <v>276703</v>
      </c>
      <c r="BE52" s="68">
        <f>BE29</f>
        <v>280789</v>
      </c>
      <c r="BF52" s="68">
        <f>BF29</f>
        <v>270295</v>
      </c>
      <c r="BG52" s="68">
        <f>BG29</f>
        <v>390224</v>
      </c>
      <c r="BH52" s="68">
        <f>BH29</f>
        <v>391228</v>
      </c>
      <c r="BI52" s="28">
        <f>BH52</f>
        <v>391228</v>
      </c>
      <c r="BJ52" s="68">
        <f>BJ29</f>
        <v>390862</v>
      </c>
      <c r="BK52" s="68">
        <f>BK29</f>
        <v>398972</v>
      </c>
      <c r="BL52" s="68">
        <f>BL29</f>
        <v>456021</v>
      </c>
      <c r="BM52" s="68">
        <f>BM29</f>
        <v>480988</v>
      </c>
      <c r="BN52" s="28">
        <f>BM52</f>
        <v>480988</v>
      </c>
      <c r="BO52" s="68">
        <f>BO29</f>
        <v>474517</v>
      </c>
      <c r="BP52" s="68">
        <f>BP29</f>
        <v>499607</v>
      </c>
      <c r="BQ52" s="68">
        <f>BQ29</f>
        <v>645719</v>
      </c>
      <c r="BR52" s="68">
        <f>BR29</f>
        <v>613352</v>
      </c>
      <c r="BS52" s="28">
        <f>BR52</f>
        <v>613352</v>
      </c>
      <c r="BT52" s="68">
        <f>BT29</f>
        <v>601890</v>
      </c>
      <c r="BU52" s="68">
        <f>BU29</f>
        <v>1080738</v>
      </c>
      <c r="BV52" s="68">
        <f>BV29</f>
        <v>1102525</v>
      </c>
      <c r="BW52" s="68">
        <f>BW29</f>
        <v>986382</v>
      </c>
      <c r="BX52" s="28">
        <f>BW52</f>
        <v>986382</v>
      </c>
      <c r="BY52" s="68">
        <f>BY29</f>
        <v>1282811</v>
      </c>
      <c r="BZ52" s="68">
        <f>BZ29</f>
        <v>1303112</v>
      </c>
      <c r="CA52" s="68">
        <f>CA29</f>
        <v>1322986</v>
      </c>
      <c r="CB52" s="68">
        <f>SUM(CB9:CB10,CB14:CB15)*CB53</f>
        <v>1277556.8636658718</v>
      </c>
      <c r="CC52" s="28">
        <f>CB52</f>
        <v>1277556.8636658718</v>
      </c>
      <c r="CD52" s="68">
        <f>CD29</f>
        <v>1350416</v>
      </c>
      <c r="CE52" s="68">
        <f>CE29</f>
        <v>1343155</v>
      </c>
      <c r="CF52" s="68">
        <f>SUM(CF9:CF10,CF14:CF15)*CF53</f>
        <v>1359533.1166372267</v>
      </c>
      <c r="CG52" s="68">
        <f>SUM(CG9:CG10,CG14:CG15)*CG53</f>
        <v>1369410.8964456208</v>
      </c>
      <c r="CH52" s="28">
        <f>CG52</f>
        <v>1369410.8964456208</v>
      </c>
      <c r="CI52" s="68">
        <f>SUM(CI9:CI10,CI14:CI15)*CI53</f>
        <v>1496815.0553446966</v>
      </c>
      <c r="CJ52" s="68">
        <f>SUM(CJ9:CJ10,CJ14:CJ15)*CJ53</f>
        <v>1588527.5224346807</v>
      </c>
      <c r="CK52" s="68">
        <f>SUM(CK9:CK10,CK14:CK15)*CK53</f>
        <v>1624313.9758485963</v>
      </c>
      <c r="CL52" s="68">
        <f>SUM(CL9:CL10,CL14:CL15)*CL53</f>
        <v>1650050.1508429304</v>
      </c>
      <c r="CM52" s="28">
        <f>CL52</f>
        <v>1650050.1508429304</v>
      </c>
      <c r="CN52" s="68">
        <f>SUM(CN9:CN10,CN14:CN15)*CN53</f>
        <v>1762531.6644524268</v>
      </c>
      <c r="CO52" s="68">
        <f>SUM(CO9:CO10,CO14:CO15)*CO53</f>
        <v>1813639.1013852796</v>
      </c>
      <c r="CP52" s="68">
        <f>SUM(CP9:CP10,CP14:CP15)*CP53</f>
        <v>1812237.5054983706</v>
      </c>
      <c r="CQ52" s="68">
        <f>SUM(CQ9:CQ10,CQ14:CQ15)*CQ53</f>
        <v>1831255.5706433414</v>
      </c>
      <c r="CR52" s="28">
        <f>CQ52</f>
        <v>1831255.5706433414</v>
      </c>
      <c r="CS52" s="68">
        <f>SUM(CS9:CS10,CS14:CS15)*CS53</f>
        <v>1928281.3406799999</v>
      </c>
      <c r="CT52" s="68">
        <f>SUM(CT9:CT10,CT14:CT15)*CT53</f>
        <v>1976842.9416254815</v>
      </c>
      <c r="CU52" s="68">
        <f>SUM(CU9:CU10,CU14:CU15)*CU53</f>
        <v>1970281.8544570717</v>
      </c>
      <c r="CV52" s="68">
        <f>SUM(CV9:CV10,CV14:CV15)*CV53</f>
        <v>1974652.7450481418</v>
      </c>
      <c r="CW52" s="28">
        <f>CV52</f>
        <v>1974652.7450481418</v>
      </c>
      <c r="CX52" s="68">
        <f>SUM(CX9:CX10,CX14:CX15)*CX53</f>
        <v>2063844.1581191125</v>
      </c>
      <c r="CY52" s="68">
        <f>SUM(CY9:CY10,CY14:CY15)*CY53</f>
        <v>2105342.3545716889</v>
      </c>
      <c r="CZ52" s="68">
        <f>SUM(CZ9:CZ10,CZ14:CZ15)*CZ53</f>
        <v>2091420.0597812219</v>
      </c>
      <c r="DA52" s="68">
        <f>SUM(DA9:DA10,DA14:DA15)*DA53</f>
        <v>2090216.7911586079</v>
      </c>
      <c r="DB52" s="28">
        <f>DA52</f>
        <v>2090216.7911586079</v>
      </c>
    </row>
    <row r="53" spans="1:106" ht="11.5" customHeight="1" outlineLevel="1" x14ac:dyDescent="0.35">
      <c r="A53" s="191" t="s">
        <v>202</v>
      </c>
      <c r="B53" s="165" t="e">
        <f t="shared" ref="B53:AE53" si="328">B52/SUM(B9:B10,B14:B15)</f>
        <v>#DIV/0!</v>
      </c>
      <c r="C53" s="165" t="e">
        <f t="shared" si="328"/>
        <v>#DIV/0!</v>
      </c>
      <c r="D53" s="165" t="e">
        <f t="shared" si="328"/>
        <v>#DIV/0!</v>
      </c>
      <c r="E53" s="165" t="e">
        <f t="shared" si="328"/>
        <v>#DIV/0!</v>
      </c>
      <c r="F53" s="166" t="e">
        <f t="shared" si="328"/>
        <v>#DIV/0!</v>
      </c>
      <c r="G53" s="165" t="e">
        <f t="shared" si="328"/>
        <v>#DIV/0!</v>
      </c>
      <c r="H53" s="165" t="e">
        <f t="shared" si="328"/>
        <v>#DIV/0!</v>
      </c>
      <c r="I53" s="165" t="e">
        <f t="shared" si="328"/>
        <v>#DIV/0!</v>
      </c>
      <c r="J53" s="165" t="e">
        <f t="shared" si="328"/>
        <v>#DIV/0!</v>
      </c>
      <c r="K53" s="166" t="e">
        <f t="shared" si="328"/>
        <v>#DIV/0!</v>
      </c>
      <c r="L53" s="165" t="e">
        <f t="shared" si="328"/>
        <v>#DIV/0!</v>
      </c>
      <c r="M53" s="165" t="e">
        <f t="shared" si="328"/>
        <v>#DIV/0!</v>
      </c>
      <c r="N53" s="165" t="e">
        <f t="shared" si="328"/>
        <v>#DIV/0!</v>
      </c>
      <c r="O53" s="165" t="e">
        <f t="shared" si="328"/>
        <v>#DIV/0!</v>
      </c>
      <c r="P53" s="166" t="e">
        <f t="shared" si="328"/>
        <v>#DIV/0!</v>
      </c>
      <c r="Q53" s="165" t="e">
        <f t="shared" si="328"/>
        <v>#DIV/0!</v>
      </c>
      <c r="R53" s="165" t="e">
        <f t="shared" si="328"/>
        <v>#DIV/0!</v>
      </c>
      <c r="S53" s="165" t="e">
        <f t="shared" si="328"/>
        <v>#DIV/0!</v>
      </c>
      <c r="T53" s="165" t="e">
        <f t="shared" si="328"/>
        <v>#DIV/0!</v>
      </c>
      <c r="U53" s="166" t="e">
        <f t="shared" si="328"/>
        <v>#DIV/0!</v>
      </c>
      <c r="V53" s="165" t="e">
        <f t="shared" si="328"/>
        <v>#DIV/0!</v>
      </c>
      <c r="W53" s="165" t="e">
        <f t="shared" si="328"/>
        <v>#DIV/0!</v>
      </c>
      <c r="X53" s="165" t="e">
        <f t="shared" si="328"/>
        <v>#DIV/0!</v>
      </c>
      <c r="Y53" s="165" t="e">
        <f t="shared" si="328"/>
        <v>#DIV/0!</v>
      </c>
      <c r="Z53" s="166" t="e">
        <f t="shared" si="328"/>
        <v>#DIV/0!</v>
      </c>
      <c r="AA53" s="165" t="e">
        <f t="shared" si="328"/>
        <v>#DIV/0!</v>
      </c>
      <c r="AB53" s="165" t="e">
        <f t="shared" si="328"/>
        <v>#DIV/0!</v>
      </c>
      <c r="AC53" s="165" t="e">
        <f t="shared" si="328"/>
        <v>#DIV/0!</v>
      </c>
      <c r="AD53" s="165" t="e">
        <f t="shared" si="328"/>
        <v>#DIV/0!</v>
      </c>
      <c r="AE53" s="166" t="e">
        <f t="shared" si="328"/>
        <v>#DIV/0!</v>
      </c>
      <c r="AF53" s="165" t="e">
        <f t="shared" ref="AF53:AG53" si="329">AF52/SUM(AF9:AF10,AF14:AF15)</f>
        <v>#DIV/0!</v>
      </c>
      <c r="AG53" s="165" t="e">
        <f t="shared" si="329"/>
        <v>#DIV/0!</v>
      </c>
      <c r="AH53" s="165" t="e">
        <f t="shared" ref="AH53:BM53" si="330">AH52/SUM(AH9:AH10,AH14:AH15)</f>
        <v>#DIV/0!</v>
      </c>
      <c r="AI53" s="165" t="e">
        <f t="shared" si="330"/>
        <v>#DIV/0!</v>
      </c>
      <c r="AJ53" s="166" t="e">
        <f t="shared" si="330"/>
        <v>#DIV/0!</v>
      </c>
      <c r="AK53" s="165">
        <f t="shared" si="330"/>
        <v>0.18969297715343017</v>
      </c>
      <c r="AL53" s="165">
        <f t="shared" si="330"/>
        <v>0.18037176988578155</v>
      </c>
      <c r="AM53" s="165">
        <f t="shared" si="330"/>
        <v>0.16562539169180851</v>
      </c>
      <c r="AN53" s="165">
        <f t="shared" si="330"/>
        <v>0.18489186719463904</v>
      </c>
      <c r="AO53" s="166">
        <f t="shared" si="330"/>
        <v>0.18489186719463904</v>
      </c>
      <c r="AP53" s="165">
        <f t="shared" si="330"/>
        <v>0.16689226082551048</v>
      </c>
      <c r="AQ53" s="165">
        <f t="shared" si="330"/>
        <v>0.13473520494092667</v>
      </c>
      <c r="AR53" s="165">
        <f t="shared" si="330"/>
        <v>0.22647490827595673</v>
      </c>
      <c r="AS53" s="165">
        <f t="shared" si="330"/>
        <v>0.27262749579023332</v>
      </c>
      <c r="AT53" s="166">
        <f t="shared" si="330"/>
        <v>0.27262749579023332</v>
      </c>
      <c r="AU53" s="165">
        <f t="shared" si="330"/>
        <v>0.2848379754213059</v>
      </c>
      <c r="AV53" s="165">
        <f t="shared" si="330"/>
        <v>0.27787941959534745</v>
      </c>
      <c r="AW53" s="165">
        <f t="shared" si="330"/>
        <v>0.22605026425461319</v>
      </c>
      <c r="AX53" s="165">
        <f t="shared" si="330"/>
        <v>0.43350761296326229</v>
      </c>
      <c r="AY53" s="166">
        <f t="shared" si="330"/>
        <v>0.43350761296326229</v>
      </c>
      <c r="AZ53" s="165">
        <f t="shared" si="330"/>
        <v>0.49000026546499514</v>
      </c>
      <c r="BA53" s="165">
        <f t="shared" si="330"/>
        <v>0.4816337302532121</v>
      </c>
      <c r="BB53" s="165">
        <f t="shared" si="330"/>
        <v>0.36335328545457135</v>
      </c>
      <c r="BC53" s="165">
        <f t="shared" si="330"/>
        <v>0.32254240389984157</v>
      </c>
      <c r="BD53" s="166">
        <f t="shared" si="330"/>
        <v>0.32254240389984157</v>
      </c>
      <c r="BE53" s="165">
        <f t="shared" si="330"/>
        <v>0.27502260112226939</v>
      </c>
      <c r="BF53" s="165">
        <f t="shared" si="330"/>
        <v>0.2377875408636167</v>
      </c>
      <c r="BG53" s="165">
        <f t="shared" si="330"/>
        <v>0.32397957277510209</v>
      </c>
      <c r="BH53" s="165">
        <f t="shared" si="330"/>
        <v>0.28424892669561747</v>
      </c>
      <c r="BI53" s="166">
        <f t="shared" si="330"/>
        <v>0.28424892669561747</v>
      </c>
      <c r="BJ53" s="165">
        <f t="shared" si="330"/>
        <v>0.21782735517726037</v>
      </c>
      <c r="BK53" s="165">
        <f t="shared" si="330"/>
        <v>0.23768267552965552</v>
      </c>
      <c r="BL53" s="165">
        <f t="shared" si="330"/>
        <v>0.2876505207117761</v>
      </c>
      <c r="BM53" s="165">
        <f t="shared" si="330"/>
        <v>0.35378835131986208</v>
      </c>
      <c r="BN53" s="166">
        <f t="shared" ref="BN53:BY53" si="331">BN52/SUM(BN9:BN10,BN14:BN15)</f>
        <v>0.35378835131986208</v>
      </c>
      <c r="BO53" s="165">
        <f t="shared" si="331"/>
        <v>0.3687250031664922</v>
      </c>
      <c r="BP53" s="165">
        <f t="shared" si="331"/>
        <v>0.36448721540338158</v>
      </c>
      <c r="BQ53" s="165">
        <f t="shared" si="331"/>
        <v>0.45029093363756306</v>
      </c>
      <c r="BR53" s="165">
        <f t="shared" si="331"/>
        <v>0.43455022586477587</v>
      </c>
      <c r="BS53" s="166">
        <f t="shared" si="331"/>
        <v>0.43455022586477587</v>
      </c>
      <c r="BT53" s="165">
        <f t="shared" si="331"/>
        <v>0.372748931247457</v>
      </c>
      <c r="BU53" s="165">
        <f t="shared" si="331"/>
        <v>0.64297302844700133</v>
      </c>
      <c r="BV53" s="165">
        <f t="shared" si="331"/>
        <v>0.62552303035632728</v>
      </c>
      <c r="BW53" s="165">
        <f t="shared" si="331"/>
        <v>0.54985921585657016</v>
      </c>
      <c r="BX53" s="166">
        <f t="shared" si="331"/>
        <v>0.54985921585657016</v>
      </c>
      <c r="BY53" s="165">
        <f t="shared" si="331"/>
        <v>0.54366672684753137</v>
      </c>
      <c r="BZ53" s="165">
        <f t="shared" ref="BZ53:CA53" si="332">BZ52/SUM(BZ9:BZ10,BZ14:BZ15)</f>
        <v>0.49258297306297905</v>
      </c>
      <c r="CA53" s="165">
        <f t="shared" si="332"/>
        <v>0.47714167831582716</v>
      </c>
      <c r="CB53" s="165">
        <f>CA53</f>
        <v>0.47714167831582716</v>
      </c>
      <c r="CC53" s="166">
        <f>CC52/SUM(CC9:CC10,CC14:CC15)</f>
        <v>0.47714167831582716</v>
      </c>
      <c r="CD53" s="165">
        <f t="shared" ref="CD53:CE53" si="333">CD52/SUM(CD9:CD10,CD14:CD15)</f>
        <v>0.43346722809594457</v>
      </c>
      <c r="CE53" s="165">
        <f t="shared" si="333"/>
        <v>0.38913497137450193</v>
      </c>
      <c r="CF53" s="165">
        <f>CE53</f>
        <v>0.38913497137450193</v>
      </c>
      <c r="CG53" s="165">
        <f>CF53</f>
        <v>0.38913497137450193</v>
      </c>
      <c r="CH53" s="166">
        <f>CH52/SUM(CH9:CH10,CH14:CH15)</f>
        <v>0.38913497137450193</v>
      </c>
      <c r="CI53" s="165">
        <f>CG53</f>
        <v>0.38913497137450193</v>
      </c>
      <c r="CJ53" s="165">
        <f>CI53</f>
        <v>0.38913497137450193</v>
      </c>
      <c r="CK53" s="165">
        <f>CJ53</f>
        <v>0.38913497137450193</v>
      </c>
      <c r="CL53" s="165">
        <f>CK53</f>
        <v>0.38913497137450193</v>
      </c>
      <c r="CM53" s="166">
        <f>CM52/SUM(CM9:CM10,CM14:CM15)</f>
        <v>0.38913497137450193</v>
      </c>
      <c r="CN53" s="165">
        <f>CL53</f>
        <v>0.38913497137450193</v>
      </c>
      <c r="CO53" s="165">
        <f>CN53</f>
        <v>0.38913497137450193</v>
      </c>
      <c r="CP53" s="165">
        <f>CO53</f>
        <v>0.38913497137450193</v>
      </c>
      <c r="CQ53" s="165">
        <f>CP53</f>
        <v>0.38913497137450193</v>
      </c>
      <c r="CR53" s="166">
        <f>CR52/SUM(CR9:CR10,CR14:CR15)</f>
        <v>0.38913497137450193</v>
      </c>
      <c r="CS53" s="165">
        <f>CQ53</f>
        <v>0.38913497137450193</v>
      </c>
      <c r="CT53" s="165">
        <f>CS53</f>
        <v>0.38913497137450193</v>
      </c>
      <c r="CU53" s="165">
        <f>CT53</f>
        <v>0.38913497137450193</v>
      </c>
      <c r="CV53" s="165">
        <f>CU53</f>
        <v>0.38913497137450193</v>
      </c>
      <c r="CW53" s="166">
        <f>CW52/SUM(CW9:CW10,CW14:CW15)</f>
        <v>0.38913497137450193</v>
      </c>
      <c r="CX53" s="165">
        <f>CV53</f>
        <v>0.38913497137450193</v>
      </c>
      <c r="CY53" s="165">
        <f>CX53</f>
        <v>0.38913497137450193</v>
      </c>
      <c r="CZ53" s="165">
        <f>CY53</f>
        <v>0.38913497137450193</v>
      </c>
      <c r="DA53" s="165">
        <f>CZ53</f>
        <v>0.38913497137450193</v>
      </c>
      <c r="DB53" s="166">
        <f>DB52/SUM(DB9:DB10,DB14:DB15)</f>
        <v>0.38913497137450193</v>
      </c>
    </row>
    <row r="54" spans="1:106" ht="11.5" customHeight="1" outlineLevel="1" x14ac:dyDescent="0.35">
      <c r="A54" s="149" t="s">
        <v>201</v>
      </c>
      <c r="B54" s="68">
        <f t="shared" ref="B54:E54" si="334">B30</f>
        <v>0</v>
      </c>
      <c r="C54" s="68">
        <f t="shared" si="334"/>
        <v>0</v>
      </c>
      <c r="D54" s="68">
        <f t="shared" si="334"/>
        <v>0</v>
      </c>
      <c r="E54" s="68">
        <f t="shared" si="334"/>
        <v>0</v>
      </c>
      <c r="F54" s="28">
        <f t="shared" ref="F54" si="335">E54</f>
        <v>0</v>
      </c>
      <c r="G54" s="68">
        <f t="shared" ref="G54:J54" si="336">G30</f>
        <v>0</v>
      </c>
      <c r="H54" s="68">
        <f t="shared" si="336"/>
        <v>0</v>
      </c>
      <c r="I54" s="68">
        <f t="shared" si="336"/>
        <v>0</v>
      </c>
      <c r="J54" s="68">
        <f t="shared" si="336"/>
        <v>0</v>
      </c>
      <c r="K54" s="28">
        <f t="shared" ref="K54" si="337">J54</f>
        <v>0</v>
      </c>
      <c r="L54" s="68">
        <f t="shared" ref="L54:O54" si="338">L30</f>
        <v>0</v>
      </c>
      <c r="M54" s="68">
        <f t="shared" si="338"/>
        <v>0</v>
      </c>
      <c r="N54" s="68">
        <f t="shared" si="338"/>
        <v>0</v>
      </c>
      <c r="O54" s="68">
        <f t="shared" si="338"/>
        <v>0</v>
      </c>
      <c r="P54" s="28">
        <f t="shared" ref="P54" si="339">O54</f>
        <v>0</v>
      </c>
      <c r="Q54" s="68">
        <f t="shared" ref="Q54:T54" si="340">Q30</f>
        <v>0</v>
      </c>
      <c r="R54" s="68">
        <f t="shared" si="340"/>
        <v>0</v>
      </c>
      <c r="S54" s="68">
        <f t="shared" si="340"/>
        <v>0</v>
      </c>
      <c r="T54" s="68">
        <f t="shared" si="340"/>
        <v>0</v>
      </c>
      <c r="U54" s="28">
        <f t="shared" ref="U54" si="341">T54</f>
        <v>0</v>
      </c>
      <c r="V54" s="68">
        <f t="shared" ref="V54:Y54" si="342">V30</f>
        <v>0</v>
      </c>
      <c r="W54" s="68">
        <f t="shared" si="342"/>
        <v>0</v>
      </c>
      <c r="X54" s="68">
        <f t="shared" si="342"/>
        <v>0</v>
      </c>
      <c r="Y54" s="68">
        <f t="shared" si="342"/>
        <v>0</v>
      </c>
      <c r="Z54" s="28">
        <f t="shared" ref="Z54" si="343">Y54</f>
        <v>0</v>
      </c>
      <c r="AA54" s="68">
        <f t="shared" ref="AA54:AD54" si="344">AA30</f>
        <v>0</v>
      </c>
      <c r="AB54" s="68">
        <f t="shared" si="344"/>
        <v>0</v>
      </c>
      <c r="AC54" s="68">
        <f t="shared" si="344"/>
        <v>0</v>
      </c>
      <c r="AD54" s="68">
        <f t="shared" si="344"/>
        <v>0</v>
      </c>
      <c r="AE54" s="28">
        <f t="shared" ref="AE54" si="345">AD54</f>
        <v>0</v>
      </c>
      <c r="AF54" s="68">
        <f>AF30</f>
        <v>0</v>
      </c>
      <c r="AG54" s="68">
        <f>AG30</f>
        <v>0</v>
      </c>
      <c r="AH54" s="68">
        <f>AH30</f>
        <v>0</v>
      </c>
      <c r="AI54" s="68">
        <f>AI30</f>
        <v>0</v>
      </c>
      <c r="AJ54" s="28">
        <f>AI54</f>
        <v>0</v>
      </c>
      <c r="AK54" s="68">
        <f>AK30</f>
        <v>0</v>
      </c>
      <c r="AL54" s="68">
        <f>AL30</f>
        <v>0</v>
      </c>
      <c r="AM54" s="68">
        <f>AM30</f>
        <v>0</v>
      </c>
      <c r="AN54" s="68">
        <f>AN30</f>
        <v>0</v>
      </c>
      <c r="AO54" s="28">
        <f>AN54</f>
        <v>0</v>
      </c>
      <c r="AP54" s="68">
        <f>AP30</f>
        <v>0</v>
      </c>
      <c r="AQ54" s="68">
        <f>AQ30</f>
        <v>0</v>
      </c>
      <c r="AR54" s="68">
        <f>AR30</f>
        <v>0</v>
      </c>
      <c r="AS54" s="68">
        <f>AS30</f>
        <v>0</v>
      </c>
      <c r="AT54" s="28">
        <f>AS54</f>
        <v>0</v>
      </c>
      <c r="AU54" s="68">
        <f>AU30</f>
        <v>0</v>
      </c>
      <c r="AV54" s="68">
        <f>AV30</f>
        <v>0</v>
      </c>
      <c r="AW54" s="68">
        <f>AW30</f>
        <v>0</v>
      </c>
      <c r="AX54" s="68">
        <f>AX30</f>
        <v>0</v>
      </c>
      <c r="AY54" s="28">
        <f>AX54</f>
        <v>0</v>
      </c>
      <c r="AZ54" s="68">
        <f>AZ30</f>
        <v>0</v>
      </c>
      <c r="BA54" s="68">
        <f>BA30</f>
        <v>0</v>
      </c>
      <c r="BB54" s="68">
        <f>BB30</f>
        <v>0</v>
      </c>
      <c r="BC54" s="68">
        <f>BC30</f>
        <v>0</v>
      </c>
      <c r="BD54" s="28">
        <f>BC54</f>
        <v>0</v>
      </c>
      <c r="BE54" s="68">
        <f>BE30</f>
        <v>0</v>
      </c>
      <c r="BF54" s="68">
        <f>BF30</f>
        <v>0</v>
      </c>
      <c r="BG54" s="68">
        <f>BG30</f>
        <v>0</v>
      </c>
      <c r="BH54" s="68">
        <f>BH30</f>
        <v>0</v>
      </c>
      <c r="BI54" s="28">
        <f>BH54</f>
        <v>0</v>
      </c>
      <c r="BJ54" s="68">
        <f>BJ30</f>
        <v>0</v>
      </c>
      <c r="BK54" s="68">
        <f>BK30</f>
        <v>0</v>
      </c>
      <c r="BL54" s="68">
        <f>BL30</f>
        <v>0</v>
      </c>
      <c r="BM54" s="68">
        <f>BM30</f>
        <v>0</v>
      </c>
      <c r="BN54" s="28">
        <f>BM54</f>
        <v>0</v>
      </c>
      <c r="BO54" s="68">
        <f>BO30</f>
        <v>0</v>
      </c>
      <c r="BP54" s="68">
        <f>BP30</f>
        <v>0</v>
      </c>
      <c r="BQ54" s="68">
        <f>BQ30</f>
        <v>0</v>
      </c>
      <c r="BR54" s="68">
        <f>BR30</f>
        <v>0</v>
      </c>
      <c r="BS54" s="28">
        <f>BR54</f>
        <v>0</v>
      </c>
      <c r="BT54" s="68">
        <f>BT30</f>
        <v>0</v>
      </c>
      <c r="BU54" s="68">
        <f>BU30</f>
        <v>0</v>
      </c>
      <c r="BV54" s="68">
        <f>BV30</f>
        <v>0</v>
      </c>
      <c r="BW54" s="68">
        <f>BW30</f>
        <v>0</v>
      </c>
      <c r="BX54" s="28">
        <f>BW54</f>
        <v>0</v>
      </c>
      <c r="BY54" s="68">
        <f>BY30</f>
        <v>0</v>
      </c>
      <c r="BZ54" s="68">
        <f>BZ30</f>
        <v>0</v>
      </c>
      <c r="CA54" s="68">
        <f>CA30</f>
        <v>0</v>
      </c>
      <c r="CB54" s="68">
        <f>CA54+CB55</f>
        <v>0</v>
      </c>
      <c r="CC54" s="28">
        <f>CB54</f>
        <v>0</v>
      </c>
      <c r="CD54" s="68">
        <f>CD30</f>
        <v>0</v>
      </c>
      <c r="CE54" s="68">
        <f>CE30</f>
        <v>0</v>
      </c>
      <c r="CF54" s="68">
        <f>CE54+CF55</f>
        <v>0</v>
      </c>
      <c r="CG54" s="68">
        <f>CF54+CG55</f>
        <v>0</v>
      </c>
      <c r="CH54" s="28">
        <f>CG54</f>
        <v>0</v>
      </c>
      <c r="CI54" s="68">
        <f>CH54+CI55</f>
        <v>0</v>
      </c>
      <c r="CJ54" s="68">
        <f>CI54+CJ55</f>
        <v>0</v>
      </c>
      <c r="CK54" s="68">
        <f>CJ54+CK55</f>
        <v>0</v>
      </c>
      <c r="CL54" s="68">
        <f>CK54+CL55</f>
        <v>0</v>
      </c>
      <c r="CM54" s="28">
        <f>CL54</f>
        <v>0</v>
      </c>
      <c r="CN54" s="68">
        <f>CM54+CN55</f>
        <v>0</v>
      </c>
      <c r="CO54" s="68">
        <f>CN54+CO55</f>
        <v>0</v>
      </c>
      <c r="CP54" s="68">
        <f>CO54+CP55</f>
        <v>0</v>
      </c>
      <c r="CQ54" s="68">
        <f>CP54+CQ55</f>
        <v>0</v>
      </c>
      <c r="CR54" s="28">
        <f>CQ54</f>
        <v>0</v>
      </c>
      <c r="CS54" s="68">
        <f>CR54+CS55</f>
        <v>0</v>
      </c>
      <c r="CT54" s="68">
        <f>CS54+CT55</f>
        <v>0</v>
      </c>
      <c r="CU54" s="68">
        <f>CT54+CU55</f>
        <v>0</v>
      </c>
      <c r="CV54" s="68">
        <f>CU54+CV55</f>
        <v>0</v>
      </c>
      <c r="CW54" s="28">
        <f>CV54</f>
        <v>0</v>
      </c>
      <c r="CX54" s="68">
        <f>CW54+CX55</f>
        <v>0</v>
      </c>
      <c r="CY54" s="68">
        <f>CX54+CY55</f>
        <v>0</v>
      </c>
      <c r="CZ54" s="68">
        <f>CY54+CZ55</f>
        <v>0</v>
      </c>
      <c r="DA54" s="68">
        <f>CZ54+DA55</f>
        <v>0</v>
      </c>
      <c r="DB54" s="28">
        <f>DA54</f>
        <v>0</v>
      </c>
    </row>
    <row r="55" spans="1:106" ht="11.5" customHeight="1" outlineLevel="1" x14ac:dyDescent="0.35">
      <c r="A55" s="192" t="s">
        <v>197</v>
      </c>
      <c r="B55" s="193" t="e">
        <f t="shared" ref="B55:E55" si="346">B54-A54</f>
        <v>#VALUE!</v>
      </c>
      <c r="C55" s="193">
        <f t="shared" si="346"/>
        <v>0</v>
      </c>
      <c r="D55" s="193">
        <f t="shared" si="346"/>
        <v>0</v>
      </c>
      <c r="E55" s="193">
        <f t="shared" si="346"/>
        <v>0</v>
      </c>
      <c r="F55" s="194" t="e">
        <f t="shared" ref="F55" si="347">F54-A54</f>
        <v>#VALUE!</v>
      </c>
      <c r="G55" s="193">
        <f t="shared" ref="G55:J55" si="348">G54-F54</f>
        <v>0</v>
      </c>
      <c r="H55" s="193">
        <f t="shared" si="348"/>
        <v>0</v>
      </c>
      <c r="I55" s="193">
        <f t="shared" si="348"/>
        <v>0</v>
      </c>
      <c r="J55" s="193">
        <f t="shared" si="348"/>
        <v>0</v>
      </c>
      <c r="K55" s="194">
        <f t="shared" ref="K55" si="349">K54-F54</f>
        <v>0</v>
      </c>
      <c r="L55" s="193">
        <f t="shared" ref="L55:O55" si="350">L54-K54</f>
        <v>0</v>
      </c>
      <c r="M55" s="193">
        <f t="shared" si="350"/>
        <v>0</v>
      </c>
      <c r="N55" s="193">
        <f t="shared" si="350"/>
        <v>0</v>
      </c>
      <c r="O55" s="193">
        <f t="shared" si="350"/>
        <v>0</v>
      </c>
      <c r="P55" s="194">
        <f t="shared" ref="P55" si="351">P54-K54</f>
        <v>0</v>
      </c>
      <c r="Q55" s="193">
        <f t="shared" ref="Q55:T55" si="352">Q54-P54</f>
        <v>0</v>
      </c>
      <c r="R55" s="193">
        <f t="shared" si="352"/>
        <v>0</v>
      </c>
      <c r="S55" s="193">
        <f t="shared" si="352"/>
        <v>0</v>
      </c>
      <c r="T55" s="193">
        <f t="shared" si="352"/>
        <v>0</v>
      </c>
      <c r="U55" s="194">
        <f t="shared" ref="U55" si="353">U54-P54</f>
        <v>0</v>
      </c>
      <c r="V55" s="193">
        <f t="shared" ref="V55:Y55" si="354">V54-U54</f>
        <v>0</v>
      </c>
      <c r="W55" s="193">
        <f t="shared" si="354"/>
        <v>0</v>
      </c>
      <c r="X55" s="193">
        <f t="shared" si="354"/>
        <v>0</v>
      </c>
      <c r="Y55" s="193">
        <f t="shared" si="354"/>
        <v>0</v>
      </c>
      <c r="Z55" s="194">
        <f t="shared" ref="Z55" si="355">Z54-U54</f>
        <v>0</v>
      </c>
      <c r="AA55" s="193">
        <f t="shared" ref="AA55:AD55" si="356">AA54-Z54</f>
        <v>0</v>
      </c>
      <c r="AB55" s="193">
        <f t="shared" si="356"/>
        <v>0</v>
      </c>
      <c r="AC55" s="193">
        <f t="shared" si="356"/>
        <v>0</v>
      </c>
      <c r="AD55" s="193">
        <f t="shared" si="356"/>
        <v>0</v>
      </c>
      <c r="AE55" s="194">
        <f t="shared" ref="AE55" si="357">AE54-Z54</f>
        <v>0</v>
      </c>
      <c r="AF55" s="193">
        <f>AF54-AE54</f>
        <v>0</v>
      </c>
      <c r="AG55" s="193">
        <f>AG54-AF54</f>
        <v>0</v>
      </c>
      <c r="AH55" s="193">
        <f>AH54-AG54</f>
        <v>0</v>
      </c>
      <c r="AI55" s="193">
        <f>AI54-AH54</f>
        <v>0</v>
      </c>
      <c r="AJ55" s="194">
        <f>AJ54-AE54</f>
        <v>0</v>
      </c>
      <c r="AK55" s="193">
        <f>AK54-AJ54</f>
        <v>0</v>
      </c>
      <c r="AL55" s="193">
        <f>AL54-AK54</f>
        <v>0</v>
      </c>
      <c r="AM55" s="193">
        <f>AM54-AL54</f>
        <v>0</v>
      </c>
      <c r="AN55" s="193">
        <f>AN54-AM54</f>
        <v>0</v>
      </c>
      <c r="AO55" s="194">
        <f>AO54-AJ54</f>
        <v>0</v>
      </c>
      <c r="AP55" s="193">
        <f>AP54-AO54</f>
        <v>0</v>
      </c>
      <c r="AQ55" s="193">
        <f>AQ54-AP54</f>
        <v>0</v>
      </c>
      <c r="AR55" s="193">
        <f>AR54-AQ54</f>
        <v>0</v>
      </c>
      <c r="AS55" s="193">
        <f>AS54-AR54</f>
        <v>0</v>
      </c>
      <c r="AT55" s="194">
        <f>AT54-AO54</f>
        <v>0</v>
      </c>
      <c r="AU55" s="193">
        <f>AU54-AT54</f>
        <v>0</v>
      </c>
      <c r="AV55" s="193">
        <f>AV54-AU54</f>
        <v>0</v>
      </c>
      <c r="AW55" s="193">
        <f>AW54-AV54</f>
        <v>0</v>
      </c>
      <c r="AX55" s="193">
        <f>AX54-AW54</f>
        <v>0</v>
      </c>
      <c r="AY55" s="194">
        <f>AY54-AT54</f>
        <v>0</v>
      </c>
      <c r="AZ55" s="193">
        <f>AZ54-AY54</f>
        <v>0</v>
      </c>
      <c r="BA55" s="193">
        <f>BA54-AZ54</f>
        <v>0</v>
      </c>
      <c r="BB55" s="193">
        <f>BB54-BA54</f>
        <v>0</v>
      </c>
      <c r="BC55" s="193">
        <f>BC54-BB54</f>
        <v>0</v>
      </c>
      <c r="BD55" s="194">
        <f>BD54-AY54</f>
        <v>0</v>
      </c>
      <c r="BE55" s="193">
        <f>BE54-BD54</f>
        <v>0</v>
      </c>
      <c r="BF55" s="193">
        <f>BF54-BE54</f>
        <v>0</v>
      </c>
      <c r="BG55" s="193">
        <f>BG54-BF54</f>
        <v>0</v>
      </c>
      <c r="BH55" s="193">
        <f>BH54-BG54</f>
        <v>0</v>
      </c>
      <c r="BI55" s="194">
        <f>BI54-BD54</f>
        <v>0</v>
      </c>
      <c r="BJ55" s="193">
        <f>BJ54-BI54</f>
        <v>0</v>
      </c>
      <c r="BK55" s="193">
        <f>BK54-BJ54</f>
        <v>0</v>
      </c>
      <c r="BL55" s="193">
        <f>BL54-BK54</f>
        <v>0</v>
      </c>
      <c r="BM55" s="193">
        <f>BM54-BL54</f>
        <v>0</v>
      </c>
      <c r="BN55" s="194">
        <f>BN54-BI54</f>
        <v>0</v>
      </c>
      <c r="BO55" s="193">
        <f>BO54-BN54</f>
        <v>0</v>
      </c>
      <c r="BP55" s="193">
        <f>BP54-BO54</f>
        <v>0</v>
      </c>
      <c r="BQ55" s="193">
        <f>BQ54-BP54</f>
        <v>0</v>
      </c>
      <c r="BR55" s="193">
        <f>BR54-BQ54</f>
        <v>0</v>
      </c>
      <c r="BS55" s="194">
        <f>BS54-BN54</f>
        <v>0</v>
      </c>
      <c r="BT55" s="193">
        <f>BT54-BS54</f>
        <v>0</v>
      </c>
      <c r="BU55" s="193">
        <f>BU54-BT54</f>
        <v>0</v>
      </c>
      <c r="BV55" s="193">
        <f>BV54-BU54</f>
        <v>0</v>
      </c>
      <c r="BW55" s="193">
        <f>BW54-BV54</f>
        <v>0</v>
      </c>
      <c r="BX55" s="194">
        <f>BX54-BS54</f>
        <v>0</v>
      </c>
      <c r="BY55" s="193">
        <f>BY54-BX54</f>
        <v>0</v>
      </c>
      <c r="BZ55" s="193">
        <f>BZ54-BY54</f>
        <v>0</v>
      </c>
      <c r="CA55" s="193">
        <f>CA54-BZ54</f>
        <v>0</v>
      </c>
      <c r="CB55" s="193">
        <v>0</v>
      </c>
      <c r="CC55" s="194">
        <f>CC54-BX54</f>
        <v>0</v>
      </c>
      <c r="CD55" s="193">
        <f>CD54-CC54</f>
        <v>0</v>
      </c>
      <c r="CE55" s="193">
        <f>CE54-CD54</f>
        <v>0</v>
      </c>
      <c r="CF55" s="193">
        <v>0</v>
      </c>
      <c r="CG55" s="193">
        <v>0</v>
      </c>
      <c r="CH55" s="194">
        <f>CH54-CC54</f>
        <v>0</v>
      </c>
      <c r="CI55" s="193">
        <v>0</v>
      </c>
      <c r="CJ55" s="193">
        <v>0</v>
      </c>
      <c r="CK55" s="193">
        <v>0</v>
      </c>
      <c r="CL55" s="193">
        <v>0</v>
      </c>
      <c r="CM55" s="194">
        <f>CM54-CH54</f>
        <v>0</v>
      </c>
      <c r="CN55" s="193">
        <v>0</v>
      </c>
      <c r="CO55" s="193">
        <v>0</v>
      </c>
      <c r="CP55" s="193">
        <v>0</v>
      </c>
      <c r="CQ55" s="193">
        <v>0</v>
      </c>
      <c r="CR55" s="194">
        <f>CR54-CM54</f>
        <v>0</v>
      </c>
      <c r="CS55" s="193">
        <v>0</v>
      </c>
      <c r="CT55" s="193">
        <v>0</v>
      </c>
      <c r="CU55" s="193">
        <v>0</v>
      </c>
      <c r="CV55" s="193">
        <v>0</v>
      </c>
      <c r="CW55" s="194">
        <f>CW54-CR54</f>
        <v>0</v>
      </c>
      <c r="CX55" s="193">
        <v>0</v>
      </c>
      <c r="CY55" s="193">
        <v>0</v>
      </c>
      <c r="CZ55" s="193">
        <v>0</v>
      </c>
      <c r="DA55" s="193">
        <v>0</v>
      </c>
      <c r="DB55" s="194">
        <f>DB54-CW54</f>
        <v>0</v>
      </c>
    </row>
    <row r="56" spans="1:106" ht="11.5" customHeight="1" x14ac:dyDescent="0.35">
      <c r="A56" s="19" t="s">
        <v>120</v>
      </c>
      <c r="B56" s="68">
        <f t="shared" ref="B56:AE56" si="358">B6</f>
        <v>0</v>
      </c>
      <c r="C56" s="68">
        <f t="shared" si="358"/>
        <v>0</v>
      </c>
      <c r="D56" s="68">
        <f t="shared" si="358"/>
        <v>0</v>
      </c>
      <c r="E56" s="68">
        <f t="shared" si="358"/>
        <v>0</v>
      </c>
      <c r="F56" s="28">
        <f t="shared" si="358"/>
        <v>0</v>
      </c>
      <c r="G56" s="68">
        <f t="shared" si="358"/>
        <v>0</v>
      </c>
      <c r="H56" s="68">
        <f t="shared" si="358"/>
        <v>0</v>
      </c>
      <c r="I56" s="68">
        <f t="shared" si="358"/>
        <v>0</v>
      </c>
      <c r="J56" s="68">
        <f t="shared" si="358"/>
        <v>0</v>
      </c>
      <c r="K56" s="28">
        <f t="shared" si="358"/>
        <v>0</v>
      </c>
      <c r="L56" s="68">
        <f t="shared" si="358"/>
        <v>0</v>
      </c>
      <c r="M56" s="68">
        <f t="shared" si="358"/>
        <v>0</v>
      </c>
      <c r="N56" s="68">
        <f t="shared" si="358"/>
        <v>0</v>
      </c>
      <c r="O56" s="68">
        <f t="shared" si="358"/>
        <v>0</v>
      </c>
      <c r="P56" s="28">
        <f t="shared" si="358"/>
        <v>0</v>
      </c>
      <c r="Q56" s="68">
        <f t="shared" si="358"/>
        <v>0</v>
      </c>
      <c r="R56" s="68">
        <f t="shared" si="358"/>
        <v>0</v>
      </c>
      <c r="S56" s="68">
        <f t="shared" si="358"/>
        <v>0</v>
      </c>
      <c r="T56" s="68">
        <f t="shared" si="358"/>
        <v>0</v>
      </c>
      <c r="U56" s="28">
        <f t="shared" si="358"/>
        <v>0</v>
      </c>
      <c r="V56" s="68">
        <f t="shared" si="358"/>
        <v>0</v>
      </c>
      <c r="W56" s="68">
        <f t="shared" si="358"/>
        <v>0</v>
      </c>
      <c r="X56" s="68">
        <f t="shared" si="358"/>
        <v>0</v>
      </c>
      <c r="Y56" s="68">
        <f t="shared" si="358"/>
        <v>0</v>
      </c>
      <c r="Z56" s="28">
        <f t="shared" si="358"/>
        <v>0</v>
      </c>
      <c r="AA56" s="68">
        <f t="shared" si="358"/>
        <v>0</v>
      </c>
      <c r="AB56" s="68">
        <f t="shared" si="358"/>
        <v>0</v>
      </c>
      <c r="AC56" s="68">
        <f t="shared" si="358"/>
        <v>0</v>
      </c>
      <c r="AD56" s="68">
        <f t="shared" si="358"/>
        <v>0</v>
      </c>
      <c r="AE56" s="28">
        <f t="shared" si="358"/>
        <v>0</v>
      </c>
      <c r="AF56" s="68">
        <f t="shared" ref="AF56:AG56" si="359">AF6</f>
        <v>0</v>
      </c>
      <c r="AG56" s="68">
        <f t="shared" si="359"/>
        <v>0</v>
      </c>
      <c r="AH56" s="68">
        <f t="shared" ref="AH56:BM56" si="360">AH6</f>
        <v>0</v>
      </c>
      <c r="AI56" s="68">
        <f t="shared" si="360"/>
        <v>0</v>
      </c>
      <c r="AJ56" s="28">
        <f t="shared" si="360"/>
        <v>0</v>
      </c>
      <c r="AK56" s="68">
        <f t="shared" si="360"/>
        <v>143091</v>
      </c>
      <c r="AL56" s="68">
        <f t="shared" si="360"/>
        <v>119847</v>
      </c>
      <c r="AM56" s="68">
        <f t="shared" si="360"/>
        <v>123876</v>
      </c>
      <c r="AN56" s="68">
        <f t="shared" si="360"/>
        <v>198506</v>
      </c>
      <c r="AO56" s="28">
        <f t="shared" si="360"/>
        <v>198506</v>
      </c>
      <c r="AP56" s="68">
        <f t="shared" si="360"/>
        <v>143831</v>
      </c>
      <c r="AQ56" s="68">
        <f t="shared" si="360"/>
        <v>145875</v>
      </c>
      <c r="AR56" s="68">
        <f t="shared" si="360"/>
        <v>203590</v>
      </c>
      <c r="AS56" s="68">
        <f t="shared" si="360"/>
        <v>250961</v>
      </c>
      <c r="AT56" s="28">
        <f t="shared" si="360"/>
        <v>250961</v>
      </c>
      <c r="AU56" s="68">
        <f t="shared" si="360"/>
        <v>239346</v>
      </c>
      <c r="AV56" s="68">
        <f t="shared" si="360"/>
        <v>269315</v>
      </c>
      <c r="AW56" s="68">
        <f t="shared" si="360"/>
        <v>282914</v>
      </c>
      <c r="AX56" s="68">
        <f t="shared" si="360"/>
        <v>314343</v>
      </c>
      <c r="AY56" s="28">
        <f t="shared" si="360"/>
        <v>314343</v>
      </c>
      <c r="AZ56" s="68">
        <f t="shared" si="360"/>
        <v>325528</v>
      </c>
      <c r="BA56" s="68">
        <f t="shared" si="360"/>
        <v>425847</v>
      </c>
      <c r="BB56" s="68">
        <f t="shared" si="360"/>
        <v>609849</v>
      </c>
      <c r="BC56" s="68">
        <f t="shared" si="360"/>
        <v>430898</v>
      </c>
      <c r="BD56" s="28">
        <f t="shared" si="360"/>
        <v>430898</v>
      </c>
      <c r="BE56" s="68">
        <f t="shared" si="360"/>
        <v>436644</v>
      </c>
      <c r="BF56" s="68">
        <f t="shared" si="360"/>
        <v>491987</v>
      </c>
      <c r="BG56" s="68">
        <f t="shared" si="360"/>
        <v>554927</v>
      </c>
      <c r="BH56" s="68">
        <f t="shared" si="360"/>
        <v>594487</v>
      </c>
      <c r="BI56" s="28">
        <f t="shared" si="360"/>
        <v>594487</v>
      </c>
      <c r="BJ56" s="68">
        <f t="shared" si="360"/>
        <v>602568</v>
      </c>
      <c r="BK56" s="68">
        <f t="shared" si="360"/>
        <v>679977</v>
      </c>
      <c r="BL56" s="68">
        <f t="shared" si="360"/>
        <v>634908</v>
      </c>
      <c r="BM56" s="68">
        <f t="shared" si="360"/>
        <v>789426</v>
      </c>
      <c r="BN56" s="28">
        <f t="shared" ref="BN56:CS56" si="361">BN6</f>
        <v>789426</v>
      </c>
      <c r="BO56" s="68">
        <f t="shared" si="361"/>
        <v>729823</v>
      </c>
      <c r="BP56" s="68">
        <f t="shared" si="361"/>
        <v>835390</v>
      </c>
      <c r="BQ56" s="68">
        <f t="shared" si="361"/>
        <v>1109075</v>
      </c>
      <c r="BR56" s="68">
        <f t="shared" si="361"/>
        <v>992269</v>
      </c>
      <c r="BS56" s="28">
        <f t="shared" si="361"/>
        <v>992269</v>
      </c>
      <c r="BT56" s="68">
        <f t="shared" si="361"/>
        <v>1011668</v>
      </c>
      <c r="BU56" s="68">
        <f t="shared" si="361"/>
        <v>1558020</v>
      </c>
      <c r="BV56" s="68">
        <f t="shared" si="361"/>
        <v>1425215</v>
      </c>
      <c r="BW56" s="68">
        <f t="shared" si="361"/>
        <v>1416236</v>
      </c>
      <c r="BX56" s="28">
        <f t="shared" si="361"/>
        <v>1416236</v>
      </c>
      <c r="BY56" s="68">
        <f t="shared" si="361"/>
        <v>1543806</v>
      </c>
      <c r="BZ56" s="68">
        <f t="shared" ref="BZ56:CA56" si="362">BZ6</f>
        <v>1530875</v>
      </c>
      <c r="CA56" s="68">
        <f t="shared" si="362"/>
        <v>1773203</v>
      </c>
      <c r="CB56" s="68">
        <f t="shared" si="361"/>
        <v>1790937</v>
      </c>
      <c r="CC56" s="28">
        <f t="shared" si="361"/>
        <v>1790937</v>
      </c>
      <c r="CD56" s="68">
        <f t="shared" ref="CD56:CE56" si="363">CD6</f>
        <v>1757310</v>
      </c>
      <c r="CE56" s="68">
        <f t="shared" si="363"/>
        <v>1633706</v>
      </c>
      <c r="CF56" s="68">
        <f t="shared" ca="1" si="361"/>
        <v>1751396.9834278519</v>
      </c>
      <c r="CG56" s="68">
        <f t="shared" ca="1" si="361"/>
        <v>1872524.0438168487</v>
      </c>
      <c r="CH56" s="28">
        <f t="shared" ca="1" si="361"/>
        <v>1872524.0438168487</v>
      </c>
      <c r="CI56" s="68">
        <f t="shared" ca="1" si="361"/>
        <v>2277922.1205045003</v>
      </c>
      <c r="CJ56" s="68">
        <f t="shared" ca="1" si="361"/>
        <v>2131009.5273552728</v>
      </c>
      <c r="CK56" s="68">
        <f t="shared" ca="1" si="361"/>
        <v>2156367.2916268078</v>
      </c>
      <c r="CL56" s="68">
        <f t="shared" ca="1" si="361"/>
        <v>2185896.2505043857</v>
      </c>
      <c r="CM56" s="28">
        <f t="shared" ca="1" si="361"/>
        <v>2185896.2505043857</v>
      </c>
      <c r="CN56" s="68">
        <f t="shared" ca="1" si="361"/>
        <v>2698568.7456795918</v>
      </c>
      <c r="CO56" s="68">
        <f t="shared" ca="1" si="361"/>
        <v>2377558.251482225</v>
      </c>
      <c r="CP56" s="68">
        <f t="shared" ca="1" si="361"/>
        <v>2372447.8133538109</v>
      </c>
      <c r="CQ56" s="68">
        <f t="shared" ca="1" si="361"/>
        <v>2363477.6643860331</v>
      </c>
      <c r="CR56" s="28">
        <f t="shared" ca="1" si="361"/>
        <v>2363477.6643860331</v>
      </c>
      <c r="CS56" s="68">
        <f t="shared" ca="1" si="361"/>
        <v>2917468.4392597917</v>
      </c>
      <c r="CT56" s="68">
        <f t="shared" ref="CT56:DB56" ca="1" si="364">CT6</f>
        <v>2529513.5856880774</v>
      </c>
      <c r="CU56" s="68">
        <f t="shared" ca="1" si="364"/>
        <v>2517040.7692373903</v>
      </c>
      <c r="CV56" s="68">
        <f t="shared" ca="1" si="364"/>
        <v>2513932.075612301</v>
      </c>
      <c r="CW56" s="28">
        <f t="shared" ca="1" si="364"/>
        <v>2513932.075612301</v>
      </c>
      <c r="CX56" s="68">
        <f t="shared" ca="1" si="364"/>
        <v>3102924.7928562076</v>
      </c>
      <c r="CY56" s="68">
        <f t="shared" ca="1" si="364"/>
        <v>2691940.3030343852</v>
      </c>
      <c r="CZ56" s="68">
        <f t="shared" ca="1" si="364"/>
        <v>2663510.248224705</v>
      </c>
      <c r="DA56" s="68">
        <f t="shared" ca="1" si="364"/>
        <v>2638844.7196007529</v>
      </c>
      <c r="DB56" s="28">
        <f t="shared" ca="1" si="364"/>
        <v>2638844.7196007529</v>
      </c>
    </row>
    <row r="57" spans="1:106" ht="11.5" customHeight="1" x14ac:dyDescent="0.35">
      <c r="A57" s="560" t="s">
        <v>121</v>
      </c>
      <c r="B57" s="561">
        <f t="shared" ref="B57:AE57" si="365">B51-B56</f>
        <v>0</v>
      </c>
      <c r="C57" s="561">
        <f t="shared" si="365"/>
        <v>0</v>
      </c>
      <c r="D57" s="561">
        <f t="shared" si="365"/>
        <v>0</v>
      </c>
      <c r="E57" s="561">
        <f t="shared" si="365"/>
        <v>0</v>
      </c>
      <c r="F57" s="562">
        <f t="shared" si="365"/>
        <v>0</v>
      </c>
      <c r="G57" s="561">
        <f t="shared" si="365"/>
        <v>0</v>
      </c>
      <c r="H57" s="561">
        <f t="shared" si="365"/>
        <v>0</v>
      </c>
      <c r="I57" s="561">
        <f t="shared" si="365"/>
        <v>0</v>
      </c>
      <c r="J57" s="561">
        <f t="shared" si="365"/>
        <v>0</v>
      </c>
      <c r="K57" s="562">
        <f t="shared" si="365"/>
        <v>0</v>
      </c>
      <c r="L57" s="561">
        <f t="shared" si="365"/>
        <v>0</v>
      </c>
      <c r="M57" s="561">
        <f t="shared" si="365"/>
        <v>0</v>
      </c>
      <c r="N57" s="561">
        <f t="shared" si="365"/>
        <v>0</v>
      </c>
      <c r="O57" s="561">
        <f t="shared" si="365"/>
        <v>0</v>
      </c>
      <c r="P57" s="562">
        <f t="shared" si="365"/>
        <v>0</v>
      </c>
      <c r="Q57" s="561">
        <f t="shared" si="365"/>
        <v>0</v>
      </c>
      <c r="R57" s="561">
        <f t="shared" si="365"/>
        <v>0</v>
      </c>
      <c r="S57" s="561">
        <f t="shared" si="365"/>
        <v>0</v>
      </c>
      <c r="T57" s="561">
        <f t="shared" si="365"/>
        <v>0</v>
      </c>
      <c r="U57" s="562">
        <f t="shared" si="365"/>
        <v>0</v>
      </c>
      <c r="V57" s="561">
        <f t="shared" si="365"/>
        <v>0</v>
      </c>
      <c r="W57" s="561">
        <f t="shared" si="365"/>
        <v>0</v>
      </c>
      <c r="X57" s="561">
        <f t="shared" si="365"/>
        <v>0</v>
      </c>
      <c r="Y57" s="561">
        <f t="shared" si="365"/>
        <v>0</v>
      </c>
      <c r="Z57" s="562">
        <f t="shared" si="365"/>
        <v>0</v>
      </c>
      <c r="AA57" s="561">
        <f t="shared" si="365"/>
        <v>0</v>
      </c>
      <c r="AB57" s="561">
        <f t="shared" si="365"/>
        <v>0</v>
      </c>
      <c r="AC57" s="561">
        <f t="shared" si="365"/>
        <v>0</v>
      </c>
      <c r="AD57" s="561">
        <f t="shared" si="365"/>
        <v>0</v>
      </c>
      <c r="AE57" s="562">
        <f t="shared" si="365"/>
        <v>0</v>
      </c>
      <c r="AF57" s="561">
        <f t="shared" ref="AF57:AG57" si="366">AF51-AF56</f>
        <v>0</v>
      </c>
      <c r="AG57" s="561">
        <f t="shared" si="366"/>
        <v>0</v>
      </c>
      <c r="AH57" s="561">
        <f t="shared" ref="AH57:BM57" si="367">AH51-AH56</f>
        <v>0</v>
      </c>
      <c r="AI57" s="561">
        <f t="shared" si="367"/>
        <v>0</v>
      </c>
      <c r="AJ57" s="562">
        <f t="shared" si="367"/>
        <v>0</v>
      </c>
      <c r="AK57" s="561">
        <f t="shared" si="367"/>
        <v>53032</v>
      </c>
      <c r="AL57" s="561">
        <f t="shared" si="367"/>
        <v>69418</v>
      </c>
      <c r="AM57" s="561">
        <f t="shared" si="367"/>
        <v>63762</v>
      </c>
      <c r="AN57" s="561">
        <f t="shared" si="367"/>
        <v>-10943</v>
      </c>
      <c r="AO57" s="562">
        <f t="shared" si="367"/>
        <v>-10943</v>
      </c>
      <c r="AP57" s="561">
        <f t="shared" si="367"/>
        <v>8689</v>
      </c>
      <c r="AQ57" s="561">
        <f t="shared" si="367"/>
        <v>-17317</v>
      </c>
      <c r="AR57" s="561">
        <f t="shared" si="367"/>
        <v>17517</v>
      </c>
      <c r="AS57" s="561">
        <f t="shared" si="367"/>
        <v>-33365</v>
      </c>
      <c r="AT57" s="562">
        <f t="shared" si="367"/>
        <v>-33365</v>
      </c>
      <c r="AU57" s="561">
        <f t="shared" si="367"/>
        <v>-22357</v>
      </c>
      <c r="AV57" s="561">
        <f t="shared" si="367"/>
        <v>-47109</v>
      </c>
      <c r="AW57" s="561">
        <f t="shared" si="367"/>
        <v>-74575</v>
      </c>
      <c r="AX57" s="561">
        <f t="shared" si="367"/>
        <v>-27377</v>
      </c>
      <c r="AY57" s="562">
        <f t="shared" si="367"/>
        <v>-27377</v>
      </c>
      <c r="AZ57" s="561">
        <f t="shared" si="367"/>
        <v>-30197</v>
      </c>
      <c r="BA57" s="561">
        <f t="shared" si="367"/>
        <v>-90051</v>
      </c>
      <c r="BB57" s="561">
        <f t="shared" si="367"/>
        <v>-303657</v>
      </c>
      <c r="BC57" s="561">
        <f t="shared" si="367"/>
        <v>-154195</v>
      </c>
      <c r="BD57" s="562">
        <f t="shared" si="367"/>
        <v>-154195</v>
      </c>
      <c r="BE57" s="561">
        <f t="shared" si="367"/>
        <v>-155855</v>
      </c>
      <c r="BF57" s="561">
        <f t="shared" si="367"/>
        <v>-221692</v>
      </c>
      <c r="BG57" s="561">
        <f t="shared" si="367"/>
        <v>-164703</v>
      </c>
      <c r="BH57" s="561">
        <f t="shared" si="367"/>
        <v>-203259</v>
      </c>
      <c r="BI57" s="562">
        <f t="shared" si="367"/>
        <v>-203259</v>
      </c>
      <c r="BJ57" s="561">
        <f t="shared" si="367"/>
        <v>-211706</v>
      </c>
      <c r="BK57" s="561">
        <f t="shared" si="367"/>
        <v>-281005</v>
      </c>
      <c r="BL57" s="561">
        <f t="shared" si="367"/>
        <v>-178887</v>
      </c>
      <c r="BM57" s="561">
        <f t="shared" si="367"/>
        <v>-308438</v>
      </c>
      <c r="BN57" s="562">
        <f t="shared" ref="BN57:CS57" si="368">BN51-BN56</f>
        <v>-308438</v>
      </c>
      <c r="BO57" s="561">
        <f t="shared" si="368"/>
        <v>-255306</v>
      </c>
      <c r="BP57" s="561">
        <f t="shared" si="368"/>
        <v>-335783</v>
      </c>
      <c r="BQ57" s="561">
        <f t="shared" si="368"/>
        <v>-463356</v>
      </c>
      <c r="BR57" s="561">
        <f t="shared" si="368"/>
        <v>-378917</v>
      </c>
      <c r="BS57" s="562">
        <f t="shared" si="368"/>
        <v>-378917</v>
      </c>
      <c r="BT57" s="561">
        <f t="shared" si="368"/>
        <v>-409778</v>
      </c>
      <c r="BU57" s="561">
        <f t="shared" si="368"/>
        <v>-477282</v>
      </c>
      <c r="BV57" s="561">
        <f t="shared" si="368"/>
        <v>-322690</v>
      </c>
      <c r="BW57" s="561">
        <f t="shared" si="368"/>
        <v>-429854</v>
      </c>
      <c r="BX57" s="562">
        <f t="shared" si="368"/>
        <v>-429854</v>
      </c>
      <c r="BY57" s="561">
        <f t="shared" si="368"/>
        <v>-260995</v>
      </c>
      <c r="BZ57" s="561">
        <f t="shared" ref="BZ57:CA57" si="369">BZ51-BZ56</f>
        <v>-227763</v>
      </c>
      <c r="CA57" s="561">
        <f t="shared" si="369"/>
        <v>-450217</v>
      </c>
      <c r="CB57" s="561">
        <f t="shared" si="368"/>
        <v>-316050</v>
      </c>
      <c r="CC57" s="562">
        <f t="shared" si="368"/>
        <v>-316050</v>
      </c>
      <c r="CD57" s="561">
        <f t="shared" ref="CD57:CE57" si="370">CD51-CD56</f>
        <v>-406894</v>
      </c>
      <c r="CE57" s="561">
        <f t="shared" si="370"/>
        <v>-290551</v>
      </c>
      <c r="CF57" s="561">
        <f t="shared" ca="1" si="368"/>
        <v>-391863.86679062527</v>
      </c>
      <c r="CG57" s="561">
        <f t="shared" ca="1" si="368"/>
        <v>-503113.14737122785</v>
      </c>
      <c r="CH57" s="562">
        <f t="shared" ca="1" si="368"/>
        <v>-503113.14737122785</v>
      </c>
      <c r="CI57" s="561">
        <f t="shared" ca="1" si="368"/>
        <v>-781107.06515980372</v>
      </c>
      <c r="CJ57" s="561">
        <f t="shared" ca="1" si="368"/>
        <v>-542482.00492059207</v>
      </c>
      <c r="CK57" s="561">
        <f t="shared" ca="1" si="368"/>
        <v>-532053.31577821146</v>
      </c>
      <c r="CL57" s="561">
        <f t="shared" ca="1" si="368"/>
        <v>-535846.09966145526</v>
      </c>
      <c r="CM57" s="562">
        <f t="shared" ca="1" si="368"/>
        <v>-535846.09966145526</v>
      </c>
      <c r="CN57" s="561">
        <f t="shared" ca="1" si="368"/>
        <v>-936037.08122716495</v>
      </c>
      <c r="CO57" s="561">
        <f t="shared" ca="1" si="368"/>
        <v>-563919.15009694546</v>
      </c>
      <c r="CP57" s="561">
        <f t="shared" ca="1" si="368"/>
        <v>-560210.3078554403</v>
      </c>
      <c r="CQ57" s="561">
        <f t="shared" ca="1" si="368"/>
        <v>-532222.09374269168</v>
      </c>
      <c r="CR57" s="562">
        <f t="shared" ca="1" si="368"/>
        <v>-532222.09374269168</v>
      </c>
      <c r="CS57" s="561">
        <f t="shared" ca="1" si="368"/>
        <v>-989187.09857979184</v>
      </c>
      <c r="CT57" s="561">
        <f t="shared" ref="CT57:DB57" ca="1" si="371">CT51-CT56</f>
        <v>-552670.64406259591</v>
      </c>
      <c r="CU57" s="561">
        <f t="shared" ca="1" si="371"/>
        <v>-546758.9147803185</v>
      </c>
      <c r="CV57" s="561">
        <f t="shared" ca="1" si="371"/>
        <v>-539279.3305641592</v>
      </c>
      <c r="CW57" s="562">
        <f t="shared" ca="1" si="371"/>
        <v>-539279.3305641592</v>
      </c>
      <c r="CX57" s="561">
        <f t="shared" ca="1" si="371"/>
        <v>-1039080.6347370951</v>
      </c>
      <c r="CY57" s="561">
        <f t="shared" ca="1" si="371"/>
        <v>-586597.94846269628</v>
      </c>
      <c r="CZ57" s="561">
        <f t="shared" ca="1" si="371"/>
        <v>-572090.18844348309</v>
      </c>
      <c r="DA57" s="561">
        <f t="shared" ca="1" si="371"/>
        <v>-548627.928442145</v>
      </c>
      <c r="DB57" s="562">
        <f t="shared" ca="1" si="371"/>
        <v>-548627.928442145</v>
      </c>
    </row>
    <row r="58" spans="1:106" ht="11.5" customHeight="1" x14ac:dyDescent="0.35">
      <c r="A58" s="19" t="s">
        <v>119</v>
      </c>
      <c r="B58" s="68">
        <f t="shared" ref="B58:AE58" si="372">B31</f>
        <v>0</v>
      </c>
      <c r="C58" s="68">
        <f t="shared" si="372"/>
        <v>0</v>
      </c>
      <c r="D58" s="68">
        <f t="shared" si="372"/>
        <v>0</v>
      </c>
      <c r="E58" s="68">
        <f t="shared" si="372"/>
        <v>0</v>
      </c>
      <c r="F58" s="28">
        <f t="shared" si="372"/>
        <v>0</v>
      </c>
      <c r="G58" s="68">
        <f t="shared" si="372"/>
        <v>0</v>
      </c>
      <c r="H58" s="68">
        <f t="shared" si="372"/>
        <v>0</v>
      </c>
      <c r="I58" s="68">
        <f t="shared" si="372"/>
        <v>0</v>
      </c>
      <c r="J58" s="68">
        <f t="shared" si="372"/>
        <v>0</v>
      </c>
      <c r="K58" s="28">
        <f t="shared" si="372"/>
        <v>0</v>
      </c>
      <c r="L58" s="68">
        <f t="shared" si="372"/>
        <v>0</v>
      </c>
      <c r="M58" s="68">
        <f t="shared" si="372"/>
        <v>0</v>
      </c>
      <c r="N58" s="68">
        <f t="shared" si="372"/>
        <v>0</v>
      </c>
      <c r="O58" s="68">
        <f t="shared" si="372"/>
        <v>0</v>
      </c>
      <c r="P58" s="28">
        <f t="shared" si="372"/>
        <v>0</v>
      </c>
      <c r="Q58" s="68">
        <f t="shared" si="372"/>
        <v>0</v>
      </c>
      <c r="R58" s="68">
        <f t="shared" si="372"/>
        <v>0</v>
      </c>
      <c r="S58" s="68">
        <f t="shared" si="372"/>
        <v>0</v>
      </c>
      <c r="T58" s="68">
        <f t="shared" si="372"/>
        <v>0</v>
      </c>
      <c r="U58" s="28">
        <f t="shared" si="372"/>
        <v>0</v>
      </c>
      <c r="V58" s="68">
        <f t="shared" si="372"/>
        <v>0</v>
      </c>
      <c r="W58" s="68">
        <f t="shared" si="372"/>
        <v>0</v>
      </c>
      <c r="X58" s="68">
        <f t="shared" si="372"/>
        <v>0</v>
      </c>
      <c r="Y58" s="68">
        <f t="shared" si="372"/>
        <v>0</v>
      </c>
      <c r="Z58" s="28">
        <f t="shared" si="372"/>
        <v>0</v>
      </c>
      <c r="AA58" s="68">
        <f t="shared" si="372"/>
        <v>0</v>
      </c>
      <c r="AB58" s="68">
        <f t="shared" si="372"/>
        <v>0</v>
      </c>
      <c r="AC58" s="68">
        <f t="shared" si="372"/>
        <v>0</v>
      </c>
      <c r="AD58" s="68">
        <f t="shared" si="372"/>
        <v>0</v>
      </c>
      <c r="AE58" s="28">
        <f t="shared" si="372"/>
        <v>0</v>
      </c>
      <c r="AF58" s="68">
        <f t="shared" ref="AF58:AG58" si="373">AF31</f>
        <v>0</v>
      </c>
      <c r="AG58" s="68">
        <f t="shared" si="373"/>
        <v>0</v>
      </c>
      <c r="AH58" s="68">
        <f t="shared" ref="AH58:BM58" si="374">AH31</f>
        <v>0</v>
      </c>
      <c r="AI58" s="68">
        <f t="shared" si="374"/>
        <v>0</v>
      </c>
      <c r="AJ58" s="28">
        <f t="shared" si="374"/>
        <v>0</v>
      </c>
      <c r="AK58" s="68">
        <f t="shared" si="374"/>
        <v>13475</v>
      </c>
      <c r="AL58" s="68">
        <f t="shared" si="374"/>
        <v>7357</v>
      </c>
      <c r="AM58" s="68">
        <f t="shared" si="374"/>
        <v>13475</v>
      </c>
      <c r="AN58" s="68">
        <f t="shared" si="374"/>
        <v>33762</v>
      </c>
      <c r="AO58" s="28">
        <f t="shared" si="374"/>
        <v>33762</v>
      </c>
      <c r="AP58" s="68">
        <f t="shared" si="374"/>
        <v>13087</v>
      </c>
      <c r="AQ58" s="68">
        <f t="shared" si="374"/>
        <v>10851</v>
      </c>
      <c r="AR58" s="68">
        <f t="shared" si="374"/>
        <v>62597</v>
      </c>
      <c r="AS58" s="68">
        <f t="shared" si="374"/>
        <v>75895</v>
      </c>
      <c r="AT58" s="28">
        <f t="shared" si="374"/>
        <v>75895</v>
      </c>
      <c r="AU58" s="68">
        <f t="shared" si="374"/>
        <v>54567</v>
      </c>
      <c r="AV58" s="68">
        <f t="shared" si="374"/>
        <v>37290</v>
      </c>
      <c r="AW58" s="68">
        <f t="shared" si="374"/>
        <v>51110</v>
      </c>
      <c r="AX58" s="68">
        <f t="shared" si="374"/>
        <v>32277</v>
      </c>
      <c r="AY58" s="28">
        <f t="shared" si="374"/>
        <v>32277</v>
      </c>
      <c r="AZ58" s="68">
        <f t="shared" si="374"/>
        <v>27645</v>
      </c>
      <c r="BA58" s="68">
        <f t="shared" si="374"/>
        <v>20995</v>
      </c>
      <c r="BB58" s="68">
        <f t="shared" si="374"/>
        <v>7662</v>
      </c>
      <c r="BC58" s="68">
        <f t="shared" si="374"/>
        <v>7521</v>
      </c>
      <c r="BD58" s="28">
        <f t="shared" si="374"/>
        <v>7521</v>
      </c>
      <c r="BE58" s="68">
        <f t="shared" si="374"/>
        <v>742</v>
      </c>
      <c r="BF58" s="68">
        <f t="shared" si="374"/>
        <v>742</v>
      </c>
      <c r="BG58" s="68">
        <f t="shared" si="374"/>
        <v>752</v>
      </c>
      <c r="BH58" s="68">
        <f t="shared" si="374"/>
        <v>0</v>
      </c>
      <c r="BI58" s="28">
        <f t="shared" si="374"/>
        <v>0</v>
      </c>
      <c r="BJ58" s="68">
        <f t="shared" si="374"/>
        <v>0</v>
      </c>
      <c r="BK58" s="68">
        <f t="shared" si="374"/>
        <v>0</v>
      </c>
      <c r="BL58" s="68">
        <f t="shared" si="374"/>
        <v>0</v>
      </c>
      <c r="BM58" s="68">
        <f t="shared" si="374"/>
        <v>0</v>
      </c>
      <c r="BN58" s="28">
        <f t="shared" ref="BN58:CS58" si="375">BN31</f>
        <v>0</v>
      </c>
      <c r="BO58" s="68">
        <f t="shared" si="375"/>
        <v>0</v>
      </c>
      <c r="BP58" s="68">
        <f t="shared" si="375"/>
        <v>0</v>
      </c>
      <c r="BQ58" s="68">
        <f t="shared" si="375"/>
        <v>0</v>
      </c>
      <c r="BR58" s="68">
        <f t="shared" si="375"/>
        <v>0</v>
      </c>
      <c r="BS58" s="28">
        <f t="shared" si="375"/>
        <v>0</v>
      </c>
      <c r="BT58" s="68">
        <f t="shared" si="375"/>
        <v>0</v>
      </c>
      <c r="BU58" s="68">
        <f t="shared" si="375"/>
        <v>0</v>
      </c>
      <c r="BV58" s="68">
        <f t="shared" si="375"/>
        <v>0</v>
      </c>
      <c r="BW58" s="68">
        <f t="shared" si="375"/>
        <v>0</v>
      </c>
      <c r="BX58" s="28">
        <f t="shared" si="375"/>
        <v>0</v>
      </c>
      <c r="BY58" s="68">
        <f t="shared" si="375"/>
        <v>0</v>
      </c>
      <c r="BZ58" s="68">
        <f t="shared" ref="BZ58:CA59" si="376">BZ31</f>
        <v>0</v>
      </c>
      <c r="CA58" s="68">
        <f t="shared" si="376"/>
        <v>0</v>
      </c>
      <c r="CB58" s="68">
        <f t="shared" si="375"/>
        <v>0</v>
      </c>
      <c r="CC58" s="28">
        <f t="shared" si="375"/>
        <v>0</v>
      </c>
      <c r="CD58" s="68">
        <f t="shared" ref="CD58:CE59" si="377">CD31</f>
        <v>0</v>
      </c>
      <c r="CE58" s="68">
        <f t="shared" si="377"/>
        <v>0</v>
      </c>
      <c r="CF58" s="68">
        <f t="shared" si="375"/>
        <v>0</v>
      </c>
      <c r="CG58" s="68">
        <f t="shared" si="375"/>
        <v>0</v>
      </c>
      <c r="CH58" s="28">
        <f t="shared" si="375"/>
        <v>0</v>
      </c>
      <c r="CI58" s="68">
        <f t="shared" si="375"/>
        <v>0</v>
      </c>
      <c r="CJ58" s="68">
        <f t="shared" si="375"/>
        <v>0</v>
      </c>
      <c r="CK58" s="68">
        <f t="shared" si="375"/>
        <v>0</v>
      </c>
      <c r="CL58" s="68">
        <f t="shared" si="375"/>
        <v>0</v>
      </c>
      <c r="CM58" s="28">
        <f t="shared" si="375"/>
        <v>0</v>
      </c>
      <c r="CN58" s="68">
        <f t="shared" si="375"/>
        <v>0</v>
      </c>
      <c r="CO58" s="68">
        <f t="shared" si="375"/>
        <v>0</v>
      </c>
      <c r="CP58" s="68">
        <f t="shared" si="375"/>
        <v>0</v>
      </c>
      <c r="CQ58" s="68">
        <f t="shared" si="375"/>
        <v>0</v>
      </c>
      <c r="CR58" s="28">
        <f t="shared" si="375"/>
        <v>0</v>
      </c>
      <c r="CS58" s="68">
        <f t="shared" si="375"/>
        <v>0</v>
      </c>
      <c r="CT58" s="68">
        <f t="shared" ref="CT58:DB58" si="378">CT31</f>
        <v>0</v>
      </c>
      <c r="CU58" s="68">
        <f t="shared" si="378"/>
        <v>0</v>
      </c>
      <c r="CV58" s="68">
        <f t="shared" si="378"/>
        <v>0</v>
      </c>
      <c r="CW58" s="28">
        <f t="shared" si="378"/>
        <v>0</v>
      </c>
      <c r="CX58" s="68">
        <f t="shared" si="378"/>
        <v>0</v>
      </c>
      <c r="CY58" s="68">
        <f t="shared" si="378"/>
        <v>0</v>
      </c>
      <c r="CZ58" s="68">
        <f t="shared" si="378"/>
        <v>0</v>
      </c>
      <c r="DA58" s="68">
        <f t="shared" si="378"/>
        <v>0</v>
      </c>
      <c r="DB58" s="28">
        <f t="shared" si="378"/>
        <v>0</v>
      </c>
    </row>
    <row r="59" spans="1:106" ht="11.5" customHeight="1" x14ac:dyDescent="0.35">
      <c r="A59" s="19" t="s">
        <v>189</v>
      </c>
      <c r="B59" s="68">
        <f t="shared" ref="B59:AE59" si="379">B32</f>
        <v>0</v>
      </c>
      <c r="C59" s="68">
        <f t="shared" si="379"/>
        <v>0</v>
      </c>
      <c r="D59" s="68">
        <f t="shared" si="379"/>
        <v>0</v>
      </c>
      <c r="E59" s="68">
        <f t="shared" si="379"/>
        <v>0</v>
      </c>
      <c r="F59" s="28">
        <f t="shared" si="379"/>
        <v>0</v>
      </c>
      <c r="G59" s="68">
        <f t="shared" si="379"/>
        <v>0</v>
      </c>
      <c r="H59" s="68">
        <f t="shared" si="379"/>
        <v>0</v>
      </c>
      <c r="I59" s="68">
        <f t="shared" si="379"/>
        <v>0</v>
      </c>
      <c r="J59" s="68">
        <f t="shared" si="379"/>
        <v>0</v>
      </c>
      <c r="K59" s="28">
        <f t="shared" si="379"/>
        <v>0</v>
      </c>
      <c r="L59" s="68">
        <f t="shared" si="379"/>
        <v>0</v>
      </c>
      <c r="M59" s="68">
        <f t="shared" si="379"/>
        <v>0</v>
      </c>
      <c r="N59" s="68">
        <f t="shared" si="379"/>
        <v>0</v>
      </c>
      <c r="O59" s="68">
        <f t="shared" si="379"/>
        <v>0</v>
      </c>
      <c r="P59" s="28">
        <f t="shared" si="379"/>
        <v>0</v>
      </c>
      <c r="Q59" s="68">
        <f t="shared" si="379"/>
        <v>0</v>
      </c>
      <c r="R59" s="68">
        <f t="shared" si="379"/>
        <v>0</v>
      </c>
      <c r="S59" s="68">
        <f t="shared" si="379"/>
        <v>0</v>
      </c>
      <c r="T59" s="68">
        <f t="shared" si="379"/>
        <v>0</v>
      </c>
      <c r="U59" s="28">
        <f t="shared" si="379"/>
        <v>0</v>
      </c>
      <c r="V59" s="68">
        <f t="shared" si="379"/>
        <v>0</v>
      </c>
      <c r="W59" s="68">
        <f t="shared" si="379"/>
        <v>0</v>
      </c>
      <c r="X59" s="68">
        <f t="shared" si="379"/>
        <v>0</v>
      </c>
      <c r="Y59" s="68">
        <f t="shared" si="379"/>
        <v>0</v>
      </c>
      <c r="Z59" s="28">
        <f t="shared" si="379"/>
        <v>0</v>
      </c>
      <c r="AA59" s="68">
        <f t="shared" si="379"/>
        <v>0</v>
      </c>
      <c r="AB59" s="68">
        <f t="shared" si="379"/>
        <v>0</v>
      </c>
      <c r="AC59" s="68">
        <f t="shared" si="379"/>
        <v>0</v>
      </c>
      <c r="AD59" s="68">
        <f t="shared" si="379"/>
        <v>0</v>
      </c>
      <c r="AE59" s="28">
        <f t="shared" si="379"/>
        <v>0</v>
      </c>
      <c r="AF59" s="68">
        <f t="shared" ref="AF59:AG59" si="380">AF32</f>
        <v>0</v>
      </c>
      <c r="AG59" s="68">
        <f t="shared" si="380"/>
        <v>0</v>
      </c>
      <c r="AH59" s="68">
        <f t="shared" ref="AH59:BM59" si="381">AH32</f>
        <v>0</v>
      </c>
      <c r="AI59" s="68">
        <f t="shared" si="381"/>
        <v>0</v>
      </c>
      <c r="AJ59" s="28">
        <f t="shared" si="381"/>
        <v>0</v>
      </c>
      <c r="AK59" s="68">
        <f t="shared" si="381"/>
        <v>0</v>
      </c>
      <c r="AL59" s="68">
        <f t="shared" si="381"/>
        <v>0</v>
      </c>
      <c r="AM59" s="68">
        <f t="shared" si="381"/>
        <v>0</v>
      </c>
      <c r="AN59" s="68">
        <f t="shared" si="381"/>
        <v>0</v>
      </c>
      <c r="AO59" s="28">
        <f t="shared" si="381"/>
        <v>0</v>
      </c>
      <c r="AP59" s="68">
        <f t="shared" si="381"/>
        <v>0</v>
      </c>
      <c r="AQ59" s="68">
        <f t="shared" si="381"/>
        <v>0</v>
      </c>
      <c r="AR59" s="68">
        <f t="shared" si="381"/>
        <v>0</v>
      </c>
      <c r="AS59" s="68">
        <f t="shared" si="381"/>
        <v>0</v>
      </c>
      <c r="AT59" s="28">
        <f t="shared" si="381"/>
        <v>0</v>
      </c>
      <c r="AU59" s="68">
        <f t="shared" si="381"/>
        <v>0</v>
      </c>
      <c r="AV59" s="68">
        <f t="shared" si="381"/>
        <v>0</v>
      </c>
      <c r="AW59" s="68">
        <f t="shared" si="381"/>
        <v>0</v>
      </c>
      <c r="AX59" s="68">
        <f t="shared" si="381"/>
        <v>0</v>
      </c>
      <c r="AY59" s="28">
        <f t="shared" si="381"/>
        <v>0</v>
      </c>
      <c r="AZ59" s="68">
        <f t="shared" si="381"/>
        <v>0</v>
      </c>
      <c r="BA59" s="68">
        <f t="shared" si="381"/>
        <v>0</v>
      </c>
      <c r="BB59" s="68">
        <f t="shared" si="381"/>
        <v>0</v>
      </c>
      <c r="BC59" s="68">
        <f t="shared" si="381"/>
        <v>0</v>
      </c>
      <c r="BD59" s="28">
        <f t="shared" si="381"/>
        <v>0</v>
      </c>
      <c r="BE59" s="68">
        <f t="shared" si="381"/>
        <v>0</v>
      </c>
      <c r="BF59" s="68">
        <f t="shared" si="381"/>
        <v>0</v>
      </c>
      <c r="BG59" s="68">
        <f t="shared" si="381"/>
        <v>0</v>
      </c>
      <c r="BH59" s="68">
        <f t="shared" si="381"/>
        <v>0</v>
      </c>
      <c r="BI59" s="28">
        <f t="shared" si="381"/>
        <v>0</v>
      </c>
      <c r="BJ59" s="68">
        <f t="shared" si="381"/>
        <v>0</v>
      </c>
      <c r="BK59" s="68">
        <f t="shared" si="381"/>
        <v>0</v>
      </c>
      <c r="BL59" s="68">
        <f t="shared" si="381"/>
        <v>0</v>
      </c>
      <c r="BM59" s="68">
        <f t="shared" si="381"/>
        <v>0</v>
      </c>
      <c r="BN59" s="28">
        <f t="shared" ref="BN59:BY59" si="382">BN32</f>
        <v>0</v>
      </c>
      <c r="BO59" s="68">
        <f t="shared" si="382"/>
        <v>0</v>
      </c>
      <c r="BP59" s="68">
        <f t="shared" si="382"/>
        <v>0</v>
      </c>
      <c r="BQ59" s="68">
        <f t="shared" si="382"/>
        <v>0</v>
      </c>
      <c r="BR59" s="68">
        <f t="shared" si="382"/>
        <v>0</v>
      </c>
      <c r="BS59" s="28">
        <f t="shared" si="382"/>
        <v>0</v>
      </c>
      <c r="BT59" s="68">
        <f t="shared" si="382"/>
        <v>0</v>
      </c>
      <c r="BU59" s="68">
        <f t="shared" si="382"/>
        <v>0</v>
      </c>
      <c r="BV59" s="68">
        <f t="shared" si="382"/>
        <v>0</v>
      </c>
      <c r="BW59" s="68">
        <f t="shared" si="382"/>
        <v>0</v>
      </c>
      <c r="BX59" s="28">
        <f t="shared" si="382"/>
        <v>0</v>
      </c>
      <c r="BY59" s="68">
        <f t="shared" si="382"/>
        <v>0</v>
      </c>
      <c r="BZ59" s="68">
        <f t="shared" ref="BZ59" si="383">BZ32</f>
        <v>0</v>
      </c>
      <c r="CA59" s="68">
        <f t="shared" si="376"/>
        <v>0</v>
      </c>
      <c r="CB59" s="68">
        <f>CA59+CB60+CB62</f>
        <v>0</v>
      </c>
      <c r="CC59" s="28">
        <f>CC32</f>
        <v>0</v>
      </c>
      <c r="CD59" s="68">
        <f t="shared" ref="CD59" si="384">CD32</f>
        <v>0</v>
      </c>
      <c r="CE59" s="68">
        <f t="shared" si="377"/>
        <v>0</v>
      </c>
      <c r="CF59" s="68">
        <f>CE59+CF60+CF62</f>
        <v>0</v>
      </c>
      <c r="CG59" s="68">
        <f>CF59+CG60+CG62</f>
        <v>0</v>
      </c>
      <c r="CH59" s="28">
        <f>CH32</f>
        <v>0</v>
      </c>
      <c r="CI59" s="68">
        <f>CH59+CI60+CI62</f>
        <v>0</v>
      </c>
      <c r="CJ59" s="68">
        <f>CI59+CJ60+CJ62</f>
        <v>0</v>
      </c>
      <c r="CK59" s="68">
        <f>CJ59+CK60+CK62</f>
        <v>0</v>
      </c>
      <c r="CL59" s="68">
        <f>CK59+CL60+CL62</f>
        <v>0</v>
      </c>
      <c r="CM59" s="28">
        <f>CM32</f>
        <v>0</v>
      </c>
      <c r="CN59" s="68">
        <f>CM59+CN60+CN62</f>
        <v>0</v>
      </c>
      <c r="CO59" s="68">
        <f>CN59+CO60+CO62</f>
        <v>0</v>
      </c>
      <c r="CP59" s="68">
        <f>CO59+CP60+CP62</f>
        <v>0</v>
      </c>
      <c r="CQ59" s="68">
        <f>CP59+CQ60+CQ62</f>
        <v>0</v>
      </c>
      <c r="CR59" s="28">
        <f>CR32</f>
        <v>0</v>
      </c>
      <c r="CS59" s="68">
        <f>CR59+CS60+CS62</f>
        <v>0</v>
      </c>
      <c r="CT59" s="68">
        <f>CS59+CT60+CT62</f>
        <v>0</v>
      </c>
      <c r="CU59" s="68">
        <f>CT59+CU60+CU62</f>
        <v>0</v>
      </c>
      <c r="CV59" s="68">
        <f>CU59+CV60+CV62</f>
        <v>0</v>
      </c>
      <c r="CW59" s="28">
        <f>CW32</f>
        <v>0</v>
      </c>
      <c r="CX59" s="68">
        <f>CW59+CX60+CX62</f>
        <v>0</v>
      </c>
      <c r="CY59" s="68">
        <f>CX59+CY60+CY62</f>
        <v>0</v>
      </c>
      <c r="CZ59" s="68">
        <f>CY59+CZ60+CZ62</f>
        <v>0</v>
      </c>
      <c r="DA59" s="68">
        <f>CZ59+DA60+DA62</f>
        <v>0</v>
      </c>
      <c r="DB59" s="28">
        <f>DB32</f>
        <v>0</v>
      </c>
    </row>
    <row r="60" spans="1:106" ht="11.5" hidden="1" customHeight="1" outlineLevel="1" x14ac:dyDescent="0.35">
      <c r="A60" s="149" t="s">
        <v>194</v>
      </c>
      <c r="B60" s="68" t="e">
        <f t="shared" ref="B60:E60" si="385">B59-A59-B62</f>
        <v>#VALUE!</v>
      </c>
      <c r="C60" s="68">
        <f t="shared" si="385"/>
        <v>0</v>
      </c>
      <c r="D60" s="68">
        <f t="shared" si="385"/>
        <v>0</v>
      </c>
      <c r="E60" s="68">
        <f t="shared" si="385"/>
        <v>0</v>
      </c>
      <c r="F60" s="28" t="e">
        <f t="shared" ref="F60" si="386">SUM(B60:E60)</f>
        <v>#VALUE!</v>
      </c>
      <c r="G60" s="68">
        <f t="shared" ref="G60:J60" si="387">G59-F59-G62</f>
        <v>0</v>
      </c>
      <c r="H60" s="68">
        <f t="shared" si="387"/>
        <v>0</v>
      </c>
      <c r="I60" s="68">
        <f t="shared" si="387"/>
        <v>0</v>
      </c>
      <c r="J60" s="68">
        <f t="shared" si="387"/>
        <v>0</v>
      </c>
      <c r="K60" s="28">
        <f t="shared" ref="K60" si="388">SUM(G60:J60)</f>
        <v>0</v>
      </c>
      <c r="L60" s="68">
        <f t="shared" ref="L60:O60" si="389">L59-K59-L62</f>
        <v>0</v>
      </c>
      <c r="M60" s="68">
        <f t="shared" si="389"/>
        <v>0</v>
      </c>
      <c r="N60" s="68">
        <f t="shared" si="389"/>
        <v>0</v>
      </c>
      <c r="O60" s="68">
        <f t="shared" si="389"/>
        <v>0</v>
      </c>
      <c r="P60" s="28">
        <f t="shared" ref="P60" si="390">SUM(L60:O60)</f>
        <v>0</v>
      </c>
      <c r="Q60" s="68">
        <f t="shared" ref="Q60:T60" si="391">Q59-P59-Q62</f>
        <v>0</v>
      </c>
      <c r="R60" s="68">
        <f t="shared" si="391"/>
        <v>0</v>
      </c>
      <c r="S60" s="68">
        <f t="shared" si="391"/>
        <v>0</v>
      </c>
      <c r="T60" s="68">
        <f t="shared" si="391"/>
        <v>0</v>
      </c>
      <c r="U60" s="28">
        <f t="shared" ref="U60" si="392">SUM(Q60:T60)</f>
        <v>0</v>
      </c>
      <c r="V60" s="68">
        <f t="shared" ref="V60:Y60" si="393">V59-U59-V62</f>
        <v>0</v>
      </c>
      <c r="W60" s="68">
        <f t="shared" si="393"/>
        <v>0</v>
      </c>
      <c r="X60" s="68">
        <f t="shared" si="393"/>
        <v>0</v>
      </c>
      <c r="Y60" s="68">
        <f t="shared" si="393"/>
        <v>0</v>
      </c>
      <c r="Z60" s="28">
        <f t="shared" ref="Z60" si="394">SUM(V60:Y60)</f>
        <v>0</v>
      </c>
      <c r="AA60" s="68">
        <f t="shared" ref="AA60:AD60" si="395">AA59-Z59-AA62</f>
        <v>0</v>
      </c>
      <c r="AB60" s="68">
        <f t="shared" si="395"/>
        <v>0</v>
      </c>
      <c r="AC60" s="68">
        <f t="shared" si="395"/>
        <v>0</v>
      </c>
      <c r="AD60" s="68">
        <f t="shared" si="395"/>
        <v>0</v>
      </c>
      <c r="AE60" s="28">
        <f t="shared" ref="AE60" si="396">SUM(AA60:AD60)</f>
        <v>0</v>
      </c>
      <c r="AF60" s="68">
        <f>AF59-AE59-AF62</f>
        <v>0</v>
      </c>
      <c r="AG60" s="68">
        <f>AG59-AF59-AG62</f>
        <v>0</v>
      </c>
      <c r="AH60" s="68">
        <f>AH59-AG59-AH62</f>
        <v>0</v>
      </c>
      <c r="AI60" s="68">
        <f>AI59-AH59-AI62</f>
        <v>0</v>
      </c>
      <c r="AJ60" s="28">
        <f>SUM(AF60:AI60)</f>
        <v>0</v>
      </c>
      <c r="AK60" s="68">
        <f>AK59-AJ59-AK62</f>
        <v>0</v>
      </c>
      <c r="AL60" s="68">
        <f>AL59-AK59-AL62</f>
        <v>0</v>
      </c>
      <c r="AM60" s="68">
        <f>AM59-AL59-AM62</f>
        <v>0</v>
      </c>
      <c r="AN60" s="68">
        <f>AN59-AM59-AN62</f>
        <v>0</v>
      </c>
      <c r="AO60" s="28">
        <f>SUM(AK60:AN60)</f>
        <v>0</v>
      </c>
      <c r="AP60" s="68">
        <f>AP59-AO59-AP62</f>
        <v>0</v>
      </c>
      <c r="AQ60" s="68">
        <f>AQ59-AP59-AQ62</f>
        <v>0</v>
      </c>
      <c r="AR60" s="68">
        <f>AR59-AQ59-AR62</f>
        <v>0</v>
      </c>
      <c r="AS60" s="68">
        <f>AS59-AR59-AS62</f>
        <v>0</v>
      </c>
      <c r="AT60" s="28">
        <f>SUM(AP60:AS60)</f>
        <v>0</v>
      </c>
      <c r="AU60" s="68">
        <f>AU59-AT59-AU62</f>
        <v>0</v>
      </c>
      <c r="AV60" s="68">
        <f>AV59-AU59-AV62</f>
        <v>0</v>
      </c>
      <c r="AW60" s="68">
        <f>AW59-AV59-AW62</f>
        <v>0</v>
      </c>
      <c r="AX60" s="68">
        <f>AX59-AW59-AX62</f>
        <v>0</v>
      </c>
      <c r="AY60" s="28">
        <f>SUM(AU60:AX60)</f>
        <v>0</v>
      </c>
      <c r="AZ60" s="68">
        <f>AZ59-AY59-AZ62</f>
        <v>0</v>
      </c>
      <c r="BA60" s="68">
        <f>BA59-AZ59-BA62</f>
        <v>0</v>
      </c>
      <c r="BB60" s="68">
        <f>BB59-BA59-BB62</f>
        <v>0</v>
      </c>
      <c r="BC60" s="68">
        <f>BC59-BB59-BC62</f>
        <v>0</v>
      </c>
      <c r="BD60" s="28">
        <f>SUM(AZ60:BC60)</f>
        <v>0</v>
      </c>
      <c r="BE60" s="68">
        <f>BE59-BD59-BE62</f>
        <v>0</v>
      </c>
      <c r="BF60" s="68">
        <f>BF59-BE59-BF62</f>
        <v>0</v>
      </c>
      <c r="BG60" s="68">
        <f>BG59-BF59-BG62</f>
        <v>0</v>
      </c>
      <c r="BH60" s="68">
        <f>BH59-BG59-BH62</f>
        <v>0</v>
      </c>
      <c r="BI60" s="28">
        <f>SUM(BE60:BH60)</f>
        <v>0</v>
      </c>
      <c r="BJ60" s="68">
        <f>BJ59-BI59-BJ62</f>
        <v>0</v>
      </c>
      <c r="BK60" s="68">
        <f>BK59-BJ59-BK62</f>
        <v>0</v>
      </c>
      <c r="BL60" s="68">
        <f>BL59-BK59-BL62</f>
        <v>0</v>
      </c>
      <c r="BM60" s="68">
        <f>BM59-BL59-BM62</f>
        <v>0</v>
      </c>
      <c r="BN60" s="28">
        <f>SUM(BJ60:BM60)</f>
        <v>0</v>
      </c>
      <c r="BO60" s="68">
        <f>BO59-BN59-BO62</f>
        <v>0</v>
      </c>
      <c r="BP60" s="68">
        <f>BP59-BO59-BP62</f>
        <v>0</v>
      </c>
      <c r="BQ60" s="68">
        <f>BQ59-BP59-BQ62</f>
        <v>0</v>
      </c>
      <c r="BR60" s="68">
        <f>BR59-BQ59-BR62</f>
        <v>0</v>
      </c>
      <c r="BS60" s="28">
        <f>SUM(BO60:BR60)</f>
        <v>0</v>
      </c>
      <c r="BT60" s="68">
        <f>BT59-BS59-BT62</f>
        <v>0</v>
      </c>
      <c r="BU60" s="68">
        <f>BU59-BT59-BU62</f>
        <v>0</v>
      </c>
      <c r="BV60" s="68">
        <f>BV59-BU59-BV62</f>
        <v>0</v>
      </c>
      <c r="BW60" s="68">
        <f>BW59-BV59-BW62</f>
        <v>0</v>
      </c>
      <c r="BX60" s="28">
        <f>SUM(BT60:BW60)</f>
        <v>0</v>
      </c>
      <c r="BY60" s="68">
        <f>BY59-BX59-BY62</f>
        <v>0</v>
      </c>
      <c r="BZ60" s="68">
        <f>BZ59-BY59-BZ62</f>
        <v>0</v>
      </c>
      <c r="CA60" s="68">
        <f>CA59-BZ59-CA62</f>
        <v>0</v>
      </c>
      <c r="CB60" s="68">
        <f>IFERROR(((-CA59/CB61)/4),0)</f>
        <v>0</v>
      </c>
      <c r="CC60" s="28">
        <f>SUM(BY60:CB60)</f>
        <v>0</v>
      </c>
      <c r="CD60" s="68">
        <f>CD59-CC59-CD62</f>
        <v>0</v>
      </c>
      <c r="CE60" s="68">
        <f>CE59-CD59-CE62</f>
        <v>0</v>
      </c>
      <c r="CF60" s="68">
        <f>IFERROR(((-CE59/CF61)/4),0)</f>
        <v>0</v>
      </c>
      <c r="CG60" s="68">
        <f>IFERROR(((-CF59/CG61)/4),0)</f>
        <v>0</v>
      </c>
      <c r="CH60" s="28">
        <f>SUM(CD60:CG60)</f>
        <v>0</v>
      </c>
      <c r="CI60" s="68">
        <f>IFERROR(((-CH59/CI61)/4),0)</f>
        <v>0</v>
      </c>
      <c r="CJ60" s="68">
        <f>IFERROR(((-CI59/CJ61)/4),0)</f>
        <v>0</v>
      </c>
      <c r="CK60" s="68">
        <f>IFERROR(((-CJ59/CK61)/4),0)</f>
        <v>0</v>
      </c>
      <c r="CL60" s="68">
        <f>IFERROR(((-CK59/CL61)/4),0)</f>
        <v>0</v>
      </c>
      <c r="CM60" s="28">
        <f>SUM(CI60:CL60)</f>
        <v>0</v>
      </c>
      <c r="CN60" s="68">
        <f>IFERROR(((-CM59/CN61)/4),0)</f>
        <v>0</v>
      </c>
      <c r="CO60" s="68">
        <f>IFERROR(((-CN59/CO61)/4),0)</f>
        <v>0</v>
      </c>
      <c r="CP60" s="68">
        <f>IFERROR(((-CO59/CP61)/4),0)</f>
        <v>0</v>
      </c>
      <c r="CQ60" s="68">
        <f>IFERROR(((-CP59/CQ61)/4),0)</f>
        <v>0</v>
      </c>
      <c r="CR60" s="28">
        <f>SUM(CN60:CQ60)</f>
        <v>0</v>
      </c>
      <c r="CS60" s="68">
        <f>IFERROR(((-CR59/CS61)/4),0)</f>
        <v>0</v>
      </c>
      <c r="CT60" s="68">
        <f>IFERROR(((-CS59/CT61)/4),0)</f>
        <v>0</v>
      </c>
      <c r="CU60" s="68">
        <f>IFERROR(((-CT59/CU61)/4),0)</f>
        <v>0</v>
      </c>
      <c r="CV60" s="68">
        <f>IFERROR(((-CU59/CV61)/4),0)</f>
        <v>0</v>
      </c>
      <c r="CW60" s="28">
        <f>SUM(CS60:CV60)</f>
        <v>0</v>
      </c>
      <c r="CX60" s="68">
        <f>IFERROR(((-CW59/CX61)/4),0)</f>
        <v>0</v>
      </c>
      <c r="CY60" s="68">
        <f>IFERROR(((-CX59/CY61)/4),0)</f>
        <v>0</v>
      </c>
      <c r="CZ60" s="68">
        <f>IFERROR(((-CY59/CZ61)/4),0)</f>
        <v>0</v>
      </c>
      <c r="DA60" s="68">
        <f>IFERROR(((-CZ59/DA61)/4),0)</f>
        <v>0</v>
      </c>
      <c r="DB60" s="28">
        <f>SUM(CX60:DA60)</f>
        <v>0</v>
      </c>
    </row>
    <row r="61" spans="1:106" ht="11.5" hidden="1" customHeight="1" outlineLevel="1" x14ac:dyDescent="0.35">
      <c r="A61" s="191" t="s">
        <v>192</v>
      </c>
      <c r="B61" s="189">
        <f t="shared" ref="B61:E61" si="397">IFERROR((A59/-B60)/4,0)</f>
        <v>0</v>
      </c>
      <c r="C61" s="189">
        <f t="shared" si="397"/>
        <v>0</v>
      </c>
      <c r="D61" s="189">
        <f t="shared" si="397"/>
        <v>0</v>
      </c>
      <c r="E61" s="189">
        <f t="shared" si="397"/>
        <v>0</v>
      </c>
      <c r="F61" s="190">
        <f t="shared" ref="F61" si="398">IFERROR(A59/-F60,0)</f>
        <v>0</v>
      </c>
      <c r="G61" s="189">
        <f t="shared" ref="G61:J61" si="399">IFERROR((F59/-G60)/4,0)</f>
        <v>0</v>
      </c>
      <c r="H61" s="189">
        <f t="shared" si="399"/>
        <v>0</v>
      </c>
      <c r="I61" s="189">
        <f t="shared" si="399"/>
        <v>0</v>
      </c>
      <c r="J61" s="189">
        <f t="shared" si="399"/>
        <v>0</v>
      </c>
      <c r="K61" s="190">
        <f t="shared" ref="K61" si="400">IFERROR(F59/-K60,0)</f>
        <v>0</v>
      </c>
      <c r="L61" s="189">
        <f t="shared" ref="L61:O61" si="401">IFERROR((K59/-L60)/4,0)</f>
        <v>0</v>
      </c>
      <c r="M61" s="189">
        <f t="shared" si="401"/>
        <v>0</v>
      </c>
      <c r="N61" s="189">
        <f t="shared" si="401"/>
        <v>0</v>
      </c>
      <c r="O61" s="189">
        <f t="shared" si="401"/>
        <v>0</v>
      </c>
      <c r="P61" s="190">
        <f t="shared" ref="P61" si="402">IFERROR(K59/-P60,0)</f>
        <v>0</v>
      </c>
      <c r="Q61" s="189">
        <f t="shared" ref="Q61:T61" si="403">IFERROR((P59/-Q60)/4,0)</f>
        <v>0</v>
      </c>
      <c r="R61" s="189">
        <f t="shared" si="403"/>
        <v>0</v>
      </c>
      <c r="S61" s="189">
        <f t="shared" si="403"/>
        <v>0</v>
      </c>
      <c r="T61" s="189">
        <f t="shared" si="403"/>
        <v>0</v>
      </c>
      <c r="U61" s="190">
        <f t="shared" ref="U61" si="404">IFERROR(P59/-U60,0)</f>
        <v>0</v>
      </c>
      <c r="V61" s="189">
        <f t="shared" ref="V61:Y61" si="405">IFERROR((U59/-V60)/4,0)</f>
        <v>0</v>
      </c>
      <c r="W61" s="189">
        <f t="shared" si="405"/>
        <v>0</v>
      </c>
      <c r="X61" s="189">
        <f t="shared" si="405"/>
        <v>0</v>
      </c>
      <c r="Y61" s="189">
        <f t="shared" si="405"/>
        <v>0</v>
      </c>
      <c r="Z61" s="190">
        <f t="shared" ref="Z61" si="406">IFERROR(U59/-Z60,0)</f>
        <v>0</v>
      </c>
      <c r="AA61" s="189">
        <f t="shared" ref="AA61:AD61" si="407">IFERROR((Z59/-AA60)/4,0)</f>
        <v>0</v>
      </c>
      <c r="AB61" s="189">
        <f t="shared" si="407"/>
        <v>0</v>
      </c>
      <c r="AC61" s="189">
        <f t="shared" si="407"/>
        <v>0</v>
      </c>
      <c r="AD61" s="189">
        <f t="shared" si="407"/>
        <v>0</v>
      </c>
      <c r="AE61" s="190">
        <f t="shared" ref="AE61" si="408">IFERROR(Z59/-AE60,0)</f>
        <v>0</v>
      </c>
      <c r="AF61" s="189">
        <f>IFERROR((AE59/-AF60)/4,0)</f>
        <v>0</v>
      </c>
      <c r="AG61" s="189">
        <f>IFERROR((AF59/-AG60)/4,0)</f>
        <v>0</v>
      </c>
      <c r="AH61" s="189">
        <f>IFERROR((AG59/-AH60)/4,0)</f>
        <v>0</v>
      </c>
      <c r="AI61" s="189">
        <f>IFERROR((AH59/-AI60)/4,0)</f>
        <v>0</v>
      </c>
      <c r="AJ61" s="190">
        <f>IFERROR(AE59/-AJ60,0)</f>
        <v>0</v>
      </c>
      <c r="AK61" s="189">
        <f>IFERROR((AJ59/-AK60)/4,0)</f>
        <v>0</v>
      </c>
      <c r="AL61" s="189">
        <f>IFERROR((AK59/-AL60)/4,0)</f>
        <v>0</v>
      </c>
      <c r="AM61" s="189">
        <f>IFERROR((AL59/-AM60)/4,0)</f>
        <v>0</v>
      </c>
      <c r="AN61" s="189">
        <f>IFERROR((AM59/-AN60)/4,0)</f>
        <v>0</v>
      </c>
      <c r="AO61" s="190">
        <f>IFERROR(AJ59/-AO60,0)</f>
        <v>0</v>
      </c>
      <c r="AP61" s="189">
        <f>IFERROR((AO59/-AP60)/4,0)</f>
        <v>0</v>
      </c>
      <c r="AQ61" s="189">
        <f>IFERROR((AP59/-AQ60)/4,0)</f>
        <v>0</v>
      </c>
      <c r="AR61" s="189">
        <f>IFERROR((AQ59/-AR60)/4,0)</f>
        <v>0</v>
      </c>
      <c r="AS61" s="189">
        <f>IFERROR((AR59/-AS60)/4,0)</f>
        <v>0</v>
      </c>
      <c r="AT61" s="190">
        <f>IFERROR(AO59/-AT60,0)</f>
        <v>0</v>
      </c>
      <c r="AU61" s="189">
        <f>IFERROR((AT59/-AU60)/4,0)</f>
        <v>0</v>
      </c>
      <c r="AV61" s="189">
        <f>IFERROR((AU59/-AV60)/4,0)</f>
        <v>0</v>
      </c>
      <c r="AW61" s="189">
        <f>IFERROR((AV59/-AW60)/4,0)</f>
        <v>0</v>
      </c>
      <c r="AX61" s="189">
        <f>IFERROR((AW59/-AX60)/4,0)</f>
        <v>0</v>
      </c>
      <c r="AY61" s="190">
        <f>IFERROR(AT59/-AY60,0)</f>
        <v>0</v>
      </c>
      <c r="AZ61" s="189">
        <f>IFERROR((AY59/-AZ60)/4,0)</f>
        <v>0</v>
      </c>
      <c r="BA61" s="189">
        <f>IFERROR((AZ59/-BA60)/4,0)</f>
        <v>0</v>
      </c>
      <c r="BB61" s="189">
        <f>IFERROR((BA59/-BB60)/4,0)</f>
        <v>0</v>
      </c>
      <c r="BC61" s="189">
        <f>IFERROR((BB59/-BC60)/4,0)</f>
        <v>0</v>
      </c>
      <c r="BD61" s="190">
        <f>IFERROR(AY59/-BD60,0)</f>
        <v>0</v>
      </c>
      <c r="BE61" s="189">
        <f>IFERROR((BD59/-BE60)/4,0)</f>
        <v>0</v>
      </c>
      <c r="BF61" s="189">
        <f>IFERROR((BE59/-BF60)/4,0)</f>
        <v>0</v>
      </c>
      <c r="BG61" s="189">
        <f>IFERROR((BF59/-BG60)/4,0)</f>
        <v>0</v>
      </c>
      <c r="BH61" s="189">
        <f>IFERROR((BG59/-BH60)/4,0)</f>
        <v>0</v>
      </c>
      <c r="BI61" s="190">
        <f>IFERROR(BD59/-BI60,0)</f>
        <v>0</v>
      </c>
      <c r="BJ61" s="189">
        <f>IFERROR((BI59/-BJ60)/4,0)</f>
        <v>0</v>
      </c>
      <c r="BK61" s="189">
        <f>IFERROR((BJ59/-BK60)/4,0)</f>
        <v>0</v>
      </c>
      <c r="BL61" s="189">
        <f>IFERROR((BK59/-BL60)/4,0)</f>
        <v>0</v>
      </c>
      <c r="BM61" s="189">
        <f>IFERROR((BL59/-BM60)/4,0)</f>
        <v>0</v>
      </c>
      <c r="BN61" s="190">
        <f>IFERROR(BI59/-BN60,0)</f>
        <v>0</v>
      </c>
      <c r="BO61" s="189">
        <f>IFERROR((BN59/-BO60)/4,0)</f>
        <v>0</v>
      </c>
      <c r="BP61" s="189">
        <f>IFERROR((BO59/-BP60)/4,0)</f>
        <v>0</v>
      </c>
      <c r="BQ61" s="189">
        <f>IFERROR((BP59/-BQ60)/4,0)</f>
        <v>0</v>
      </c>
      <c r="BR61" s="189">
        <f>IFERROR((BQ59/-BR60)/4,0)</f>
        <v>0</v>
      </c>
      <c r="BS61" s="190">
        <f>IFERROR(BN59/-BS60,0)</f>
        <v>0</v>
      </c>
      <c r="BT61" s="189">
        <f>IFERROR((BS59/-BT60)/4,0)</f>
        <v>0</v>
      </c>
      <c r="BU61" s="189">
        <f>IFERROR((BT59/-BU60)/4,0)</f>
        <v>0</v>
      </c>
      <c r="BV61" s="189">
        <f>IFERROR((BU59/-BV60)/4,0)</f>
        <v>0</v>
      </c>
      <c r="BW61" s="189">
        <f>IFERROR((BV59/-BW60)/4,0)</f>
        <v>0</v>
      </c>
      <c r="BX61" s="190">
        <f>IFERROR(BS59/-BX60,0)</f>
        <v>0</v>
      </c>
      <c r="BY61" s="189">
        <f>IFERROR((BX59/-BY60)/4,0)</f>
        <v>0</v>
      </c>
      <c r="BZ61" s="189">
        <f>IFERROR((BY59/-BZ60)/4,0)</f>
        <v>0</v>
      </c>
      <c r="CA61" s="189">
        <f>IFERROR((BZ59/-CA60)/4,0)</f>
        <v>0</v>
      </c>
      <c r="CB61" s="189">
        <f>IF(CA61=0,0,((CA61-0.25)*CA59+CB63*CB62)/(CA59+CB62))</f>
        <v>0</v>
      </c>
      <c r="CC61" s="190">
        <f>IFERROR(BX59/-CC60,0)</f>
        <v>0</v>
      </c>
      <c r="CD61" s="189">
        <f>IFERROR((CC59/-CD60)/4,0)</f>
        <v>0</v>
      </c>
      <c r="CE61" s="189">
        <f>IFERROR((CD59/-CE60)/4,0)</f>
        <v>0</v>
      </c>
      <c r="CF61" s="189">
        <f>IF(CE61=0,0,((CE61-0.25)*CE59+CF63*CF62)/(CE59+CF62))</f>
        <v>0</v>
      </c>
      <c r="CG61" s="189">
        <f>IF(CF61=0,0,((CF61-0.25)*CF59+CG63*CG62)/(CF59+CG62))</f>
        <v>0</v>
      </c>
      <c r="CH61" s="190">
        <f>IFERROR(CC59/-CH60,0)</f>
        <v>0</v>
      </c>
      <c r="CI61" s="189">
        <f>IF(CG61=0,0,((CG61-0.25)*CH59+CI63*CI62)/(CH59+CI62))</f>
        <v>0</v>
      </c>
      <c r="CJ61" s="189">
        <f>IF(CI61=0,0,((CI61-0.25)*CI59+CJ63*CJ62)/(CI59+CJ62))</f>
        <v>0</v>
      </c>
      <c r="CK61" s="189">
        <f>IF(CJ61=0,0,((CJ61-0.25)*CJ59+CK63*CK62)/(CJ59+CK62))</f>
        <v>0</v>
      </c>
      <c r="CL61" s="189">
        <f>IF(CK61=0,0,((CK61-0.25)*CK59+CL63*CL62)/(CK59+CL62))</f>
        <v>0</v>
      </c>
      <c r="CM61" s="190">
        <f>IFERROR(CH59/-CM60,0)</f>
        <v>0</v>
      </c>
      <c r="CN61" s="189">
        <f>IF(CL61=0,0,((CL61-0.25)*CM59+CN63*CN62)/(CM59+CN62))</f>
        <v>0</v>
      </c>
      <c r="CO61" s="189">
        <f>IF(CN61=0,0,((CN61-0.25)*CN59+CO63*CO62)/(CN59+CO62))</f>
        <v>0</v>
      </c>
      <c r="CP61" s="189">
        <f>IF(CO61=0,0,((CO61-0.25)*CO59+CP63*CP62)/(CO59+CP62))</f>
        <v>0</v>
      </c>
      <c r="CQ61" s="189">
        <f>IF(CP61=0,0,((CP61-0.25)*CP59+CQ63*CQ62)/(CP59+CQ62))</f>
        <v>0</v>
      </c>
      <c r="CR61" s="190">
        <f>IFERROR(CM59/-CR60,0)</f>
        <v>0</v>
      </c>
      <c r="CS61" s="189">
        <f>IF(CQ61=0,0,((CQ61-0.25)*CR59+CS63*CS62)/(CR59+CS62))</f>
        <v>0</v>
      </c>
      <c r="CT61" s="189">
        <f>IF(CS61=0,0,((CS61-0.25)*CS59+CT63*CT62)/(CS59+CT62))</f>
        <v>0</v>
      </c>
      <c r="CU61" s="189">
        <f>IF(CT61=0,0,((CT61-0.25)*CT59+CU63*CU62)/(CT59+CU62))</f>
        <v>0</v>
      </c>
      <c r="CV61" s="189">
        <f>IF(CU61=0,0,((CU61-0.25)*CU59+CV63*CV62)/(CU59+CV62))</f>
        <v>0</v>
      </c>
      <c r="CW61" s="190">
        <f>IFERROR(CR59/-CW60,0)</f>
        <v>0</v>
      </c>
      <c r="CX61" s="189">
        <f>IF(CV61=0,0,((CV61-0.25)*CW59+CX63*CX62)/(CW59+CX62))</f>
        <v>0</v>
      </c>
      <c r="CY61" s="189">
        <f>IF(CX61=0,0,((CX61-0.25)*CX59+CY63*CY62)/(CX59+CY62))</f>
        <v>0</v>
      </c>
      <c r="CZ61" s="189">
        <f>IF(CY61=0,0,((CY61-0.25)*CY59+CZ63*CZ62)/(CY59+CZ62))</f>
        <v>0</v>
      </c>
      <c r="DA61" s="189">
        <f>IF(CZ61=0,0,((CZ61-0.25)*CZ59+DA63*DA62)/(CZ59+DA62))</f>
        <v>0</v>
      </c>
      <c r="DB61" s="190">
        <f>IFERROR(CW59/-DB60,0)</f>
        <v>0</v>
      </c>
    </row>
    <row r="62" spans="1:106" ht="11.5" hidden="1" customHeight="1" outlineLevel="1" x14ac:dyDescent="0.35">
      <c r="A62" s="149" t="s">
        <v>195</v>
      </c>
      <c r="B62" s="68">
        <v>0</v>
      </c>
      <c r="C62" s="68">
        <v>0</v>
      </c>
      <c r="D62" s="68">
        <v>0</v>
      </c>
      <c r="E62" s="68">
        <v>0</v>
      </c>
      <c r="F62" s="28">
        <f t="shared" ref="F62" si="409">SUM(B62:E62)</f>
        <v>0</v>
      </c>
      <c r="G62" s="68">
        <v>0</v>
      </c>
      <c r="H62" s="68">
        <v>0</v>
      </c>
      <c r="I62" s="68">
        <v>0</v>
      </c>
      <c r="J62" s="68">
        <v>0</v>
      </c>
      <c r="K62" s="28">
        <f t="shared" ref="K62" si="410">SUM(G62:J62)</f>
        <v>0</v>
      </c>
      <c r="L62" s="68">
        <v>0</v>
      </c>
      <c r="M62" s="68">
        <v>0</v>
      </c>
      <c r="N62" s="68">
        <v>0</v>
      </c>
      <c r="O62" s="68">
        <v>0</v>
      </c>
      <c r="P62" s="28">
        <f t="shared" ref="P62" si="411">SUM(L62:O62)</f>
        <v>0</v>
      </c>
      <c r="Q62" s="68">
        <v>0</v>
      </c>
      <c r="R62" s="68">
        <v>0</v>
      </c>
      <c r="S62" s="68">
        <v>0</v>
      </c>
      <c r="T62" s="68">
        <v>0</v>
      </c>
      <c r="U62" s="28">
        <f t="shared" ref="U62" si="412">SUM(Q62:T62)</f>
        <v>0</v>
      </c>
      <c r="V62" s="68">
        <v>0</v>
      </c>
      <c r="W62" s="68">
        <v>0</v>
      </c>
      <c r="X62" s="68">
        <v>0</v>
      </c>
      <c r="Y62" s="68">
        <v>0</v>
      </c>
      <c r="Z62" s="28">
        <f t="shared" ref="Z62" si="413">SUM(V62:Y62)</f>
        <v>0</v>
      </c>
      <c r="AA62" s="68">
        <v>0</v>
      </c>
      <c r="AB62" s="68">
        <v>0</v>
      </c>
      <c r="AC62" s="68">
        <v>0</v>
      </c>
      <c r="AD62" s="68">
        <v>0</v>
      </c>
      <c r="AE62" s="28">
        <f t="shared" ref="AE62" si="414">SUM(AA62:AD62)</f>
        <v>0</v>
      </c>
      <c r="AF62" s="68">
        <v>0</v>
      </c>
      <c r="AG62" s="68">
        <v>0</v>
      </c>
      <c r="AH62" s="68">
        <v>0</v>
      </c>
      <c r="AI62" s="68">
        <v>0</v>
      </c>
      <c r="AJ62" s="28">
        <f>SUM(AF62:AI62)</f>
        <v>0</v>
      </c>
      <c r="AK62" s="68">
        <v>0</v>
      </c>
      <c r="AL62" s="68">
        <v>0</v>
      </c>
      <c r="AM62" s="68">
        <v>0</v>
      </c>
      <c r="AN62" s="68">
        <v>0</v>
      </c>
      <c r="AO62" s="28">
        <f>SUM(AK62:AN62)</f>
        <v>0</v>
      </c>
      <c r="AP62" s="68">
        <v>0</v>
      </c>
      <c r="AQ62" s="68">
        <v>0</v>
      </c>
      <c r="AR62" s="68">
        <v>0</v>
      </c>
      <c r="AS62" s="68">
        <v>0</v>
      </c>
      <c r="AT62" s="28">
        <f>SUM(AP62:AS62)</f>
        <v>0</v>
      </c>
      <c r="AU62" s="68">
        <v>0</v>
      </c>
      <c r="AV62" s="68">
        <v>0</v>
      </c>
      <c r="AW62" s="68">
        <v>0</v>
      </c>
      <c r="AX62" s="68">
        <v>0</v>
      </c>
      <c r="AY62" s="28">
        <f>SUM(AU62:AX62)</f>
        <v>0</v>
      </c>
      <c r="AZ62" s="68">
        <v>0</v>
      </c>
      <c r="BA62" s="68">
        <v>0</v>
      </c>
      <c r="BB62" s="68">
        <v>0</v>
      </c>
      <c r="BC62" s="68">
        <v>0</v>
      </c>
      <c r="BD62" s="28">
        <f>SUM(AZ62:BC62)</f>
        <v>0</v>
      </c>
      <c r="BE62" s="68">
        <v>0</v>
      </c>
      <c r="BF62" s="68">
        <v>0</v>
      </c>
      <c r="BG62" s="68">
        <v>0</v>
      </c>
      <c r="BH62" s="68">
        <v>0</v>
      </c>
      <c r="BI62" s="28">
        <f>SUM(BE62:BH62)</f>
        <v>0</v>
      </c>
      <c r="BJ62" s="68">
        <v>0</v>
      </c>
      <c r="BK62" s="68">
        <v>0</v>
      </c>
      <c r="BL62" s="68">
        <v>0</v>
      </c>
      <c r="BM62" s="68">
        <v>0</v>
      </c>
      <c r="BN62" s="28">
        <f>SUM(BJ62:BM62)</f>
        <v>0</v>
      </c>
      <c r="BO62" s="68">
        <v>0</v>
      </c>
      <c r="BP62" s="68">
        <v>0</v>
      </c>
      <c r="BQ62" s="68">
        <v>0</v>
      </c>
      <c r="BR62" s="68">
        <v>0</v>
      </c>
      <c r="BS62" s="28">
        <f>SUM(BO62:BR62)</f>
        <v>0</v>
      </c>
      <c r="BT62" s="68">
        <v>0</v>
      </c>
      <c r="BU62" s="68">
        <v>0</v>
      </c>
      <c r="BV62" s="68">
        <v>0</v>
      </c>
      <c r="BW62" s="68">
        <v>0</v>
      </c>
      <c r="BX62" s="28">
        <f>SUM(BT62:BW62)</f>
        <v>0</v>
      </c>
      <c r="BY62" s="68">
        <v>0</v>
      </c>
      <c r="BZ62" s="68">
        <v>0</v>
      </c>
      <c r="CA62" s="68">
        <v>0</v>
      </c>
      <c r="CB62" s="68">
        <v>0</v>
      </c>
      <c r="CC62" s="28">
        <f>SUM(BY62:CB62)</f>
        <v>0</v>
      </c>
      <c r="CD62" s="68">
        <v>0</v>
      </c>
      <c r="CE62" s="68">
        <v>0</v>
      </c>
      <c r="CF62" s="68">
        <v>0</v>
      </c>
      <c r="CG62" s="68">
        <v>0</v>
      </c>
      <c r="CH62" s="28">
        <f>SUM(CD62:CG62)</f>
        <v>0</v>
      </c>
      <c r="CI62" s="68">
        <v>0</v>
      </c>
      <c r="CJ62" s="68">
        <v>0</v>
      </c>
      <c r="CK62" s="68">
        <v>0</v>
      </c>
      <c r="CL62" s="68">
        <v>0</v>
      </c>
      <c r="CM62" s="28">
        <f>SUM(CI62:CL62)</f>
        <v>0</v>
      </c>
      <c r="CN62" s="68">
        <v>0</v>
      </c>
      <c r="CO62" s="68">
        <v>0</v>
      </c>
      <c r="CP62" s="68">
        <v>0</v>
      </c>
      <c r="CQ62" s="68">
        <v>0</v>
      </c>
      <c r="CR62" s="28">
        <f>SUM(CN62:CQ62)</f>
        <v>0</v>
      </c>
      <c r="CS62" s="68">
        <v>0</v>
      </c>
      <c r="CT62" s="68">
        <v>0</v>
      </c>
      <c r="CU62" s="68">
        <v>0</v>
      </c>
      <c r="CV62" s="68">
        <v>0</v>
      </c>
      <c r="CW62" s="28">
        <f>SUM(CS62:CV62)</f>
        <v>0</v>
      </c>
      <c r="CX62" s="68">
        <v>0</v>
      </c>
      <c r="CY62" s="68">
        <v>0</v>
      </c>
      <c r="CZ62" s="68">
        <v>0</v>
      </c>
      <c r="DA62" s="68">
        <v>0</v>
      </c>
      <c r="DB62" s="28">
        <f>SUM(CX62:DA62)</f>
        <v>0</v>
      </c>
    </row>
    <row r="63" spans="1:106" ht="11.5" hidden="1" customHeight="1" outlineLevel="1" x14ac:dyDescent="0.35">
      <c r="A63" s="191" t="s">
        <v>193</v>
      </c>
      <c r="B63" s="189">
        <f t="shared" ref="B63:E63" si="415">B61</f>
        <v>0</v>
      </c>
      <c r="C63" s="189">
        <f t="shared" si="415"/>
        <v>0</v>
      </c>
      <c r="D63" s="189">
        <f t="shared" si="415"/>
        <v>0</v>
      </c>
      <c r="E63" s="189">
        <f t="shared" si="415"/>
        <v>0</v>
      </c>
      <c r="F63" s="190">
        <f t="shared" ref="F63" si="416">IFERROR((SUMPRODUCT(B62:E62,B63:E63)/SUM(B62:E62)),0)</f>
        <v>0</v>
      </c>
      <c r="G63" s="189">
        <f t="shared" ref="G63:J63" si="417">G61</f>
        <v>0</v>
      </c>
      <c r="H63" s="189">
        <f t="shared" si="417"/>
        <v>0</v>
      </c>
      <c r="I63" s="189">
        <f t="shared" si="417"/>
        <v>0</v>
      </c>
      <c r="J63" s="189">
        <f t="shared" si="417"/>
        <v>0</v>
      </c>
      <c r="K63" s="190">
        <f t="shared" ref="K63" si="418">IFERROR((SUMPRODUCT(G62:J62,G63:J63)/SUM(G62:J62)),0)</f>
        <v>0</v>
      </c>
      <c r="L63" s="189">
        <f t="shared" ref="L63:O63" si="419">L61</f>
        <v>0</v>
      </c>
      <c r="M63" s="189">
        <f t="shared" si="419"/>
        <v>0</v>
      </c>
      <c r="N63" s="189">
        <f t="shared" si="419"/>
        <v>0</v>
      </c>
      <c r="O63" s="189">
        <f t="shared" si="419"/>
        <v>0</v>
      </c>
      <c r="P63" s="190">
        <f t="shared" ref="P63" si="420">IFERROR((SUMPRODUCT(L62:O62,L63:O63)/SUM(L62:O62)),0)</f>
        <v>0</v>
      </c>
      <c r="Q63" s="189">
        <f t="shared" ref="Q63:T63" si="421">Q61</f>
        <v>0</v>
      </c>
      <c r="R63" s="189">
        <f t="shared" si="421"/>
        <v>0</v>
      </c>
      <c r="S63" s="189">
        <f t="shared" si="421"/>
        <v>0</v>
      </c>
      <c r="T63" s="189">
        <f t="shared" si="421"/>
        <v>0</v>
      </c>
      <c r="U63" s="190">
        <f t="shared" ref="U63" si="422">IFERROR((SUMPRODUCT(Q62:T62,Q63:T63)/SUM(Q62:T62)),0)</f>
        <v>0</v>
      </c>
      <c r="V63" s="189">
        <f t="shared" ref="V63:Y63" si="423">V61</f>
        <v>0</v>
      </c>
      <c r="W63" s="189">
        <f t="shared" si="423"/>
        <v>0</v>
      </c>
      <c r="X63" s="189">
        <f t="shared" si="423"/>
        <v>0</v>
      </c>
      <c r="Y63" s="189">
        <f t="shared" si="423"/>
        <v>0</v>
      </c>
      <c r="Z63" s="190">
        <f t="shared" ref="Z63" si="424">IFERROR((SUMPRODUCT(V62:Y62,V63:Y63)/SUM(V62:Y62)),0)</f>
        <v>0</v>
      </c>
      <c r="AA63" s="189">
        <f t="shared" ref="AA63:AD63" si="425">AA61</f>
        <v>0</v>
      </c>
      <c r="AB63" s="189">
        <f t="shared" si="425"/>
        <v>0</v>
      </c>
      <c r="AC63" s="189">
        <f t="shared" si="425"/>
        <v>0</v>
      </c>
      <c r="AD63" s="189">
        <f t="shared" si="425"/>
        <v>0</v>
      </c>
      <c r="AE63" s="190">
        <f t="shared" ref="AE63" si="426">IFERROR((SUMPRODUCT(AA62:AD62,AA63:AD63)/SUM(AA62:AD62)),0)</f>
        <v>0</v>
      </c>
      <c r="AF63" s="189">
        <f>AF61</f>
        <v>0</v>
      </c>
      <c r="AG63" s="189">
        <f>AG61</f>
        <v>0</v>
      </c>
      <c r="AH63" s="189">
        <f>AH61</f>
        <v>0</v>
      </c>
      <c r="AI63" s="189">
        <f>AI61</f>
        <v>0</v>
      </c>
      <c r="AJ63" s="190">
        <f>IFERROR((SUMPRODUCT(AF62:AI62,AF63:AI63)/SUM(AF62:AI62)),0)</f>
        <v>0</v>
      </c>
      <c r="AK63" s="189">
        <f>AK61</f>
        <v>0</v>
      </c>
      <c r="AL63" s="189">
        <f>AL61</f>
        <v>0</v>
      </c>
      <c r="AM63" s="189">
        <f>AM61</f>
        <v>0</v>
      </c>
      <c r="AN63" s="189">
        <f>AN61</f>
        <v>0</v>
      </c>
      <c r="AO63" s="190">
        <f>IFERROR((SUMPRODUCT(AK62:AN62,AK63:AN63)/SUM(AK62:AN62)),0)</f>
        <v>0</v>
      </c>
      <c r="AP63" s="189">
        <f>AP61</f>
        <v>0</v>
      </c>
      <c r="AQ63" s="189">
        <f>AQ61</f>
        <v>0</v>
      </c>
      <c r="AR63" s="189">
        <f>AR61</f>
        <v>0</v>
      </c>
      <c r="AS63" s="189">
        <f>AS61</f>
        <v>0</v>
      </c>
      <c r="AT63" s="190">
        <f>IFERROR((SUMPRODUCT(AP62:AS62,AP63:AS63)/SUM(AP62:AS62)),0)</f>
        <v>0</v>
      </c>
      <c r="AU63" s="189">
        <f>AU61</f>
        <v>0</v>
      </c>
      <c r="AV63" s="189">
        <f>AV61</f>
        <v>0</v>
      </c>
      <c r="AW63" s="189">
        <f>AW61</f>
        <v>0</v>
      </c>
      <c r="AX63" s="189">
        <f>AX61</f>
        <v>0</v>
      </c>
      <c r="AY63" s="190">
        <f>IFERROR((SUMPRODUCT(AU62:AX62,AU63:AX63)/SUM(AU62:AX62)),0)</f>
        <v>0</v>
      </c>
      <c r="AZ63" s="189">
        <f>AZ61</f>
        <v>0</v>
      </c>
      <c r="BA63" s="189">
        <f>BA61</f>
        <v>0</v>
      </c>
      <c r="BB63" s="189">
        <f>BB61</f>
        <v>0</v>
      </c>
      <c r="BC63" s="189">
        <f>BC61</f>
        <v>0</v>
      </c>
      <c r="BD63" s="190">
        <f>IFERROR((SUMPRODUCT(AZ62:BC62,AZ63:BC63)/SUM(AZ62:BC62)),0)</f>
        <v>0</v>
      </c>
      <c r="BE63" s="189">
        <f>BE61</f>
        <v>0</v>
      </c>
      <c r="BF63" s="189">
        <f>BF61</f>
        <v>0</v>
      </c>
      <c r="BG63" s="189">
        <f>BG61</f>
        <v>0</v>
      </c>
      <c r="BH63" s="189">
        <f>BH61</f>
        <v>0</v>
      </c>
      <c r="BI63" s="190">
        <f>IFERROR((SUMPRODUCT(BE62:BH62,BE63:BH63)/SUM(BE62:BH62)),0)</f>
        <v>0</v>
      </c>
      <c r="BJ63" s="189">
        <f>BJ61</f>
        <v>0</v>
      </c>
      <c r="BK63" s="189">
        <f>BK61</f>
        <v>0</v>
      </c>
      <c r="BL63" s="189">
        <f>BL61</f>
        <v>0</v>
      </c>
      <c r="BM63" s="189">
        <f>BM61</f>
        <v>0</v>
      </c>
      <c r="BN63" s="190">
        <f>IFERROR((SUMPRODUCT(BJ62:BM62,BJ63:BM63)/SUM(BJ62:BM62)),0)</f>
        <v>0</v>
      </c>
      <c r="BO63" s="189">
        <f>BO61</f>
        <v>0</v>
      </c>
      <c r="BP63" s="189">
        <f>BP61</f>
        <v>0</v>
      </c>
      <c r="BQ63" s="189">
        <f>BQ61</f>
        <v>0</v>
      </c>
      <c r="BR63" s="189">
        <f>BR61</f>
        <v>0</v>
      </c>
      <c r="BS63" s="190">
        <f>IFERROR((SUMPRODUCT(BO62:BR62,BO63:BR63)/SUM(BO62:BR62)),0)</f>
        <v>0</v>
      </c>
      <c r="BT63" s="189">
        <f>BT61</f>
        <v>0</v>
      </c>
      <c r="BU63" s="189">
        <f>BU61</f>
        <v>0</v>
      </c>
      <c r="BV63" s="189">
        <f>BV61</f>
        <v>0</v>
      </c>
      <c r="BW63" s="189">
        <f>BW61</f>
        <v>0</v>
      </c>
      <c r="BX63" s="190">
        <f>IFERROR((SUMPRODUCT(BT62:BW62,BT63:BW63)/SUM(BT62:BW62)),0)</f>
        <v>0</v>
      </c>
      <c r="BY63" s="189">
        <f>BY61</f>
        <v>0</v>
      </c>
      <c r="BZ63" s="189">
        <f>BZ61</f>
        <v>0</v>
      </c>
      <c r="CA63" s="189">
        <f>CA61</f>
        <v>0</v>
      </c>
      <c r="CB63" s="189">
        <f>CA63</f>
        <v>0</v>
      </c>
      <c r="CC63" s="190">
        <f>IFERROR((SUMPRODUCT(BY62:CB62,BY63:CB63)/SUM(BY62:CB62)),0)</f>
        <v>0</v>
      </c>
      <c r="CD63" s="189">
        <f>CD61</f>
        <v>0</v>
      </c>
      <c r="CE63" s="189">
        <f>CE61</f>
        <v>0</v>
      </c>
      <c r="CF63" s="189">
        <f>CE63</f>
        <v>0</v>
      </c>
      <c r="CG63" s="189">
        <f>CF63</f>
        <v>0</v>
      </c>
      <c r="CH63" s="190">
        <f>IFERROR((SUMPRODUCT(CD62:CG62,CD63:CG63)/SUM(CD62:CG62)),0)</f>
        <v>0</v>
      </c>
      <c r="CI63" s="189">
        <f>CG63</f>
        <v>0</v>
      </c>
      <c r="CJ63" s="189">
        <f>CI63</f>
        <v>0</v>
      </c>
      <c r="CK63" s="189">
        <f>CJ63</f>
        <v>0</v>
      </c>
      <c r="CL63" s="189">
        <f>CK63</f>
        <v>0</v>
      </c>
      <c r="CM63" s="190">
        <f>IFERROR((SUMPRODUCT(CI62:CL62,CI63:CL63)/SUM(CI62:CL62)),0)</f>
        <v>0</v>
      </c>
      <c r="CN63" s="189">
        <f>CL63</f>
        <v>0</v>
      </c>
      <c r="CO63" s="189">
        <f>CN63</f>
        <v>0</v>
      </c>
      <c r="CP63" s="189">
        <f>CO63</f>
        <v>0</v>
      </c>
      <c r="CQ63" s="189">
        <f>CP63</f>
        <v>0</v>
      </c>
      <c r="CR63" s="190">
        <f>IFERROR((SUMPRODUCT(CN62:CQ62,CN63:CQ63)/SUM(CN62:CQ62)),0)</f>
        <v>0</v>
      </c>
      <c r="CS63" s="189">
        <f>CQ63</f>
        <v>0</v>
      </c>
      <c r="CT63" s="189">
        <f>CS63</f>
        <v>0</v>
      </c>
      <c r="CU63" s="189">
        <f>CT63</f>
        <v>0</v>
      </c>
      <c r="CV63" s="189">
        <f>CU63</f>
        <v>0</v>
      </c>
      <c r="CW63" s="190">
        <f>IFERROR((SUMPRODUCT(CS62:CV62,CS63:CV63)/SUM(CS62:CV62)),0)</f>
        <v>0</v>
      </c>
      <c r="CX63" s="189">
        <f>CV63</f>
        <v>0</v>
      </c>
      <c r="CY63" s="189">
        <f>CX63</f>
        <v>0</v>
      </c>
      <c r="CZ63" s="189">
        <f>CY63</f>
        <v>0</v>
      </c>
      <c r="DA63" s="189">
        <f>CZ63</f>
        <v>0</v>
      </c>
      <c r="DB63" s="190">
        <f>IFERROR((SUMPRODUCT(CX62:DA62,CX63:DA63)/SUM(CX62:DA62)),0)</f>
        <v>0</v>
      </c>
    </row>
    <row r="64" spans="1:106" ht="11.5" customHeight="1" collapsed="1" x14ac:dyDescent="0.35">
      <c r="A64" s="31" t="s">
        <v>129</v>
      </c>
      <c r="B64" s="81">
        <f t="shared" ref="B64:AE64" si="427">B57+B58+B59</f>
        <v>0</v>
      </c>
      <c r="C64" s="81">
        <f t="shared" si="427"/>
        <v>0</v>
      </c>
      <c r="D64" s="81">
        <f t="shared" si="427"/>
        <v>0</v>
      </c>
      <c r="E64" s="81">
        <f t="shared" si="427"/>
        <v>0</v>
      </c>
      <c r="F64" s="82">
        <f t="shared" si="427"/>
        <v>0</v>
      </c>
      <c r="G64" s="81">
        <f t="shared" si="427"/>
        <v>0</v>
      </c>
      <c r="H64" s="81">
        <f t="shared" si="427"/>
        <v>0</v>
      </c>
      <c r="I64" s="81">
        <f t="shared" si="427"/>
        <v>0</v>
      </c>
      <c r="J64" s="81">
        <f t="shared" si="427"/>
        <v>0</v>
      </c>
      <c r="K64" s="82">
        <f t="shared" si="427"/>
        <v>0</v>
      </c>
      <c r="L64" s="81">
        <f t="shared" si="427"/>
        <v>0</v>
      </c>
      <c r="M64" s="81">
        <f t="shared" si="427"/>
        <v>0</v>
      </c>
      <c r="N64" s="81">
        <f t="shared" si="427"/>
        <v>0</v>
      </c>
      <c r="O64" s="81">
        <f t="shared" si="427"/>
        <v>0</v>
      </c>
      <c r="P64" s="82">
        <f t="shared" si="427"/>
        <v>0</v>
      </c>
      <c r="Q64" s="81">
        <f t="shared" si="427"/>
        <v>0</v>
      </c>
      <c r="R64" s="81">
        <f t="shared" si="427"/>
        <v>0</v>
      </c>
      <c r="S64" s="81">
        <f t="shared" si="427"/>
        <v>0</v>
      </c>
      <c r="T64" s="81">
        <f t="shared" si="427"/>
        <v>0</v>
      </c>
      <c r="U64" s="82">
        <f t="shared" si="427"/>
        <v>0</v>
      </c>
      <c r="V64" s="81">
        <f t="shared" si="427"/>
        <v>0</v>
      </c>
      <c r="W64" s="81">
        <f t="shared" si="427"/>
        <v>0</v>
      </c>
      <c r="X64" s="81">
        <f t="shared" si="427"/>
        <v>0</v>
      </c>
      <c r="Y64" s="81">
        <f t="shared" si="427"/>
        <v>0</v>
      </c>
      <c r="Z64" s="82">
        <f t="shared" si="427"/>
        <v>0</v>
      </c>
      <c r="AA64" s="81">
        <f t="shared" si="427"/>
        <v>0</v>
      </c>
      <c r="AB64" s="81">
        <f t="shared" si="427"/>
        <v>0</v>
      </c>
      <c r="AC64" s="81">
        <f t="shared" si="427"/>
        <v>0</v>
      </c>
      <c r="AD64" s="81">
        <f t="shared" si="427"/>
        <v>0</v>
      </c>
      <c r="AE64" s="82">
        <f t="shared" si="427"/>
        <v>0</v>
      </c>
      <c r="AF64" s="81">
        <f t="shared" ref="AF64:AG64" si="428">AF57+AF58+AF59</f>
        <v>0</v>
      </c>
      <c r="AG64" s="81">
        <f t="shared" si="428"/>
        <v>0</v>
      </c>
      <c r="AH64" s="81">
        <f t="shared" ref="AH64:BM64" si="429">AH57+AH58+AH59</f>
        <v>0</v>
      </c>
      <c r="AI64" s="81">
        <f t="shared" si="429"/>
        <v>0</v>
      </c>
      <c r="AJ64" s="82">
        <f t="shared" si="429"/>
        <v>0</v>
      </c>
      <c r="AK64" s="81">
        <f t="shared" si="429"/>
        <v>66507</v>
      </c>
      <c r="AL64" s="81">
        <f t="shared" si="429"/>
        <v>76775</v>
      </c>
      <c r="AM64" s="81">
        <f t="shared" si="429"/>
        <v>77237</v>
      </c>
      <c r="AN64" s="81">
        <f t="shared" si="429"/>
        <v>22819</v>
      </c>
      <c r="AO64" s="82">
        <f t="shared" si="429"/>
        <v>22819</v>
      </c>
      <c r="AP64" s="81">
        <f t="shared" si="429"/>
        <v>21776</v>
      </c>
      <c r="AQ64" s="81">
        <f t="shared" si="429"/>
        <v>-6466</v>
      </c>
      <c r="AR64" s="81">
        <f t="shared" si="429"/>
        <v>80114</v>
      </c>
      <c r="AS64" s="81">
        <f t="shared" si="429"/>
        <v>42530</v>
      </c>
      <c r="AT64" s="82">
        <f t="shared" si="429"/>
        <v>42530</v>
      </c>
      <c r="AU64" s="81">
        <f t="shared" si="429"/>
        <v>32210</v>
      </c>
      <c r="AV64" s="81">
        <f t="shared" si="429"/>
        <v>-9819</v>
      </c>
      <c r="AW64" s="81">
        <f t="shared" si="429"/>
        <v>-23465</v>
      </c>
      <c r="AX64" s="81">
        <f t="shared" si="429"/>
        <v>4900</v>
      </c>
      <c r="AY64" s="82">
        <f t="shared" si="429"/>
        <v>4900</v>
      </c>
      <c r="AZ64" s="81">
        <f t="shared" si="429"/>
        <v>-2552</v>
      </c>
      <c r="BA64" s="81">
        <f t="shared" si="429"/>
        <v>-69056</v>
      </c>
      <c r="BB64" s="81">
        <f t="shared" si="429"/>
        <v>-295995</v>
      </c>
      <c r="BC64" s="81">
        <f t="shared" si="429"/>
        <v>-146674</v>
      </c>
      <c r="BD64" s="82">
        <f t="shared" si="429"/>
        <v>-146674</v>
      </c>
      <c r="BE64" s="81">
        <f t="shared" si="429"/>
        <v>-155113</v>
      </c>
      <c r="BF64" s="81">
        <f t="shared" si="429"/>
        <v>-220950</v>
      </c>
      <c r="BG64" s="81">
        <f t="shared" si="429"/>
        <v>-163951</v>
      </c>
      <c r="BH64" s="81">
        <f t="shared" si="429"/>
        <v>-203259</v>
      </c>
      <c r="BI64" s="82">
        <f t="shared" si="429"/>
        <v>-203259</v>
      </c>
      <c r="BJ64" s="81">
        <f t="shared" si="429"/>
        <v>-211706</v>
      </c>
      <c r="BK64" s="81">
        <f t="shared" si="429"/>
        <v>-281005</v>
      </c>
      <c r="BL64" s="81">
        <f t="shared" si="429"/>
        <v>-178887</v>
      </c>
      <c r="BM64" s="81">
        <f t="shared" si="429"/>
        <v>-308438</v>
      </c>
      <c r="BN64" s="82">
        <f t="shared" ref="BN64:CS64" si="430">BN57+BN58+BN59</f>
        <v>-308438</v>
      </c>
      <c r="BO64" s="81">
        <f t="shared" si="430"/>
        <v>-255306</v>
      </c>
      <c r="BP64" s="81">
        <f t="shared" si="430"/>
        <v>-335783</v>
      </c>
      <c r="BQ64" s="81">
        <f t="shared" si="430"/>
        <v>-463356</v>
      </c>
      <c r="BR64" s="81">
        <f t="shared" si="430"/>
        <v>-378917</v>
      </c>
      <c r="BS64" s="82">
        <f t="shared" si="430"/>
        <v>-378917</v>
      </c>
      <c r="BT64" s="81">
        <f t="shared" si="430"/>
        <v>-409778</v>
      </c>
      <c r="BU64" s="81">
        <f t="shared" si="430"/>
        <v>-477282</v>
      </c>
      <c r="BV64" s="81">
        <f t="shared" si="430"/>
        <v>-322690</v>
      </c>
      <c r="BW64" s="81">
        <f t="shared" si="430"/>
        <v>-429854</v>
      </c>
      <c r="BX64" s="82">
        <f t="shared" si="430"/>
        <v>-429854</v>
      </c>
      <c r="BY64" s="81">
        <f t="shared" si="430"/>
        <v>-260995</v>
      </c>
      <c r="BZ64" s="81">
        <f t="shared" ref="BZ64:CA64" si="431">BZ57+BZ58+BZ59</f>
        <v>-227763</v>
      </c>
      <c r="CA64" s="81">
        <f t="shared" si="431"/>
        <v>-450217</v>
      </c>
      <c r="CB64" s="81">
        <f t="shared" si="430"/>
        <v>-316050</v>
      </c>
      <c r="CC64" s="82">
        <f t="shared" si="430"/>
        <v>-316050</v>
      </c>
      <c r="CD64" s="81">
        <f t="shared" ref="CD64:CE64" si="432">CD57+CD58+CD59</f>
        <v>-406894</v>
      </c>
      <c r="CE64" s="81">
        <f t="shared" si="432"/>
        <v>-290551</v>
      </c>
      <c r="CF64" s="81">
        <f t="shared" ca="1" si="430"/>
        <v>-391863.86679062527</v>
      </c>
      <c r="CG64" s="81">
        <f t="shared" ca="1" si="430"/>
        <v>-503113.14737122785</v>
      </c>
      <c r="CH64" s="82">
        <f t="shared" ca="1" si="430"/>
        <v>-503113.14737122785</v>
      </c>
      <c r="CI64" s="81">
        <f t="shared" ca="1" si="430"/>
        <v>-781107.06515980372</v>
      </c>
      <c r="CJ64" s="81">
        <f t="shared" ca="1" si="430"/>
        <v>-542482.00492059207</v>
      </c>
      <c r="CK64" s="81">
        <f t="shared" ca="1" si="430"/>
        <v>-532053.31577821146</v>
      </c>
      <c r="CL64" s="81">
        <f t="shared" ca="1" si="430"/>
        <v>-535846.09966145526</v>
      </c>
      <c r="CM64" s="82">
        <f t="shared" ca="1" si="430"/>
        <v>-535846.09966145526</v>
      </c>
      <c r="CN64" s="81">
        <f t="shared" ca="1" si="430"/>
        <v>-936037.08122716495</v>
      </c>
      <c r="CO64" s="81">
        <f t="shared" ca="1" si="430"/>
        <v>-563919.15009694546</v>
      </c>
      <c r="CP64" s="81">
        <f t="shared" ca="1" si="430"/>
        <v>-560210.3078554403</v>
      </c>
      <c r="CQ64" s="81">
        <f t="shared" ca="1" si="430"/>
        <v>-532222.09374269168</v>
      </c>
      <c r="CR64" s="82">
        <f t="shared" ca="1" si="430"/>
        <v>-532222.09374269168</v>
      </c>
      <c r="CS64" s="81">
        <f t="shared" ca="1" si="430"/>
        <v>-989187.09857979184</v>
      </c>
      <c r="CT64" s="81">
        <f t="shared" ref="CT64:DB64" ca="1" si="433">CT57+CT58+CT59</f>
        <v>-552670.64406259591</v>
      </c>
      <c r="CU64" s="81">
        <f t="shared" ca="1" si="433"/>
        <v>-546758.9147803185</v>
      </c>
      <c r="CV64" s="81">
        <f t="shared" ca="1" si="433"/>
        <v>-539279.3305641592</v>
      </c>
      <c r="CW64" s="82">
        <f t="shared" ca="1" si="433"/>
        <v>-539279.3305641592</v>
      </c>
      <c r="CX64" s="81">
        <f t="shared" ca="1" si="433"/>
        <v>-1039080.6347370951</v>
      </c>
      <c r="CY64" s="81">
        <f t="shared" ca="1" si="433"/>
        <v>-586597.94846269628</v>
      </c>
      <c r="CZ64" s="81">
        <f t="shared" ca="1" si="433"/>
        <v>-572090.18844348309</v>
      </c>
      <c r="DA64" s="81">
        <f t="shared" ca="1" si="433"/>
        <v>-548627.928442145</v>
      </c>
      <c r="DB64" s="82">
        <f t="shared" ca="1" si="433"/>
        <v>-548627.928442145</v>
      </c>
    </row>
    <row r="65" spans="1:106" ht="11.5" customHeight="1" collapsed="1" x14ac:dyDescent="0.35">
      <c r="A65" s="19" t="s">
        <v>131</v>
      </c>
      <c r="B65" s="68">
        <f t="shared" ref="B65:AE65" si="434">B43+B42</f>
        <v>0</v>
      </c>
      <c r="C65" s="68">
        <f t="shared" si="434"/>
        <v>0</v>
      </c>
      <c r="D65" s="68">
        <f t="shared" si="434"/>
        <v>0</v>
      </c>
      <c r="E65" s="68">
        <f t="shared" si="434"/>
        <v>0</v>
      </c>
      <c r="F65" s="28">
        <f t="shared" si="434"/>
        <v>0</v>
      </c>
      <c r="G65" s="68">
        <f t="shared" si="434"/>
        <v>0</v>
      </c>
      <c r="H65" s="68">
        <f t="shared" si="434"/>
        <v>0</v>
      </c>
      <c r="I65" s="68">
        <f t="shared" si="434"/>
        <v>0</v>
      </c>
      <c r="J65" s="68">
        <f t="shared" si="434"/>
        <v>0</v>
      </c>
      <c r="K65" s="28">
        <f t="shared" si="434"/>
        <v>0</v>
      </c>
      <c r="L65" s="68">
        <f t="shared" si="434"/>
        <v>0</v>
      </c>
      <c r="M65" s="68">
        <f t="shared" si="434"/>
        <v>0</v>
      </c>
      <c r="N65" s="68">
        <f t="shared" si="434"/>
        <v>0</v>
      </c>
      <c r="O65" s="68">
        <f t="shared" si="434"/>
        <v>0</v>
      </c>
      <c r="P65" s="28">
        <f t="shared" si="434"/>
        <v>0</v>
      </c>
      <c r="Q65" s="68">
        <f t="shared" si="434"/>
        <v>0</v>
      </c>
      <c r="R65" s="68">
        <f t="shared" si="434"/>
        <v>0</v>
      </c>
      <c r="S65" s="68">
        <f t="shared" si="434"/>
        <v>0</v>
      </c>
      <c r="T65" s="68">
        <f t="shared" si="434"/>
        <v>0</v>
      </c>
      <c r="U65" s="28">
        <f t="shared" si="434"/>
        <v>0</v>
      </c>
      <c r="V65" s="68">
        <f t="shared" si="434"/>
        <v>0</v>
      </c>
      <c r="W65" s="68">
        <f t="shared" si="434"/>
        <v>0</v>
      </c>
      <c r="X65" s="68">
        <f t="shared" si="434"/>
        <v>0</v>
      </c>
      <c r="Y65" s="68">
        <f t="shared" si="434"/>
        <v>0</v>
      </c>
      <c r="Z65" s="28">
        <f t="shared" si="434"/>
        <v>0</v>
      </c>
      <c r="AA65" s="68">
        <f t="shared" si="434"/>
        <v>0</v>
      </c>
      <c r="AB65" s="68">
        <f t="shared" si="434"/>
        <v>0</v>
      </c>
      <c r="AC65" s="68">
        <f t="shared" si="434"/>
        <v>0</v>
      </c>
      <c r="AD65" s="68">
        <f t="shared" si="434"/>
        <v>0</v>
      </c>
      <c r="AE65" s="28">
        <f t="shared" si="434"/>
        <v>0</v>
      </c>
      <c r="AF65" s="68">
        <f t="shared" ref="AF65:AG65" si="435">AF43+AF42</f>
        <v>0</v>
      </c>
      <c r="AG65" s="68">
        <f t="shared" si="435"/>
        <v>0</v>
      </c>
      <c r="AH65" s="68">
        <f t="shared" ref="AH65:BM65" si="436">AH43+AH42</f>
        <v>0</v>
      </c>
      <c r="AI65" s="68">
        <f t="shared" si="436"/>
        <v>0</v>
      </c>
      <c r="AJ65" s="28">
        <f t="shared" si="436"/>
        <v>0</v>
      </c>
      <c r="AK65" s="68">
        <f t="shared" si="436"/>
        <v>381969</v>
      </c>
      <c r="AL65" s="68">
        <f t="shared" si="436"/>
        <v>398918</v>
      </c>
      <c r="AM65" s="68">
        <f t="shared" si="436"/>
        <v>443430</v>
      </c>
      <c r="AN65" s="68">
        <f t="shared" si="436"/>
        <v>336699</v>
      </c>
      <c r="AO65" s="28">
        <f t="shared" si="436"/>
        <v>336699</v>
      </c>
      <c r="AP65" s="68">
        <f t="shared" si="436"/>
        <v>380691</v>
      </c>
      <c r="AQ65" s="68">
        <f t="shared" si="436"/>
        <v>420226</v>
      </c>
      <c r="AR65" s="68">
        <f t="shared" si="436"/>
        <v>441869</v>
      </c>
      <c r="AS65" s="68">
        <f t="shared" si="436"/>
        <v>346647</v>
      </c>
      <c r="AT65" s="28">
        <f t="shared" si="436"/>
        <v>346647</v>
      </c>
      <c r="AU65" s="68">
        <f t="shared" si="436"/>
        <v>361204</v>
      </c>
      <c r="AV65" s="68">
        <f t="shared" si="436"/>
        <v>434934</v>
      </c>
      <c r="AW65" s="68">
        <f t="shared" si="436"/>
        <v>474673</v>
      </c>
      <c r="AX65" s="68">
        <f t="shared" si="436"/>
        <v>363797</v>
      </c>
      <c r="AY65" s="28">
        <f t="shared" si="436"/>
        <v>363797</v>
      </c>
      <c r="AZ65" s="68">
        <f t="shared" si="436"/>
        <v>375624</v>
      </c>
      <c r="BA65" s="68">
        <f t="shared" si="436"/>
        <v>419771</v>
      </c>
      <c r="BB65" s="68">
        <f t="shared" si="436"/>
        <v>630623</v>
      </c>
      <c r="BC65" s="68">
        <f t="shared" si="436"/>
        <v>642387</v>
      </c>
      <c r="BD65" s="28">
        <f t="shared" si="436"/>
        <v>642387</v>
      </c>
      <c r="BE65" s="68">
        <f t="shared" si="436"/>
        <v>693715</v>
      </c>
      <c r="BF65" s="68">
        <f t="shared" si="436"/>
        <v>691385</v>
      </c>
      <c r="BG65" s="68">
        <f t="shared" si="436"/>
        <v>757192</v>
      </c>
      <c r="BH65" s="68">
        <f t="shared" si="436"/>
        <v>738328</v>
      </c>
      <c r="BI65" s="28">
        <f t="shared" si="436"/>
        <v>738328</v>
      </c>
      <c r="BJ65" s="68">
        <f t="shared" si="436"/>
        <v>792142</v>
      </c>
      <c r="BK65" s="68">
        <f t="shared" si="436"/>
        <v>796246</v>
      </c>
      <c r="BL65" s="68">
        <f t="shared" si="436"/>
        <v>872333</v>
      </c>
      <c r="BM65" s="68">
        <f t="shared" si="436"/>
        <v>877748</v>
      </c>
      <c r="BN65" s="28">
        <f t="shared" ref="BN65:CS65" si="437">BN43+BN42</f>
        <v>877748</v>
      </c>
      <c r="BO65" s="68">
        <f t="shared" si="437"/>
        <v>969653</v>
      </c>
      <c r="BP65" s="68">
        <f t="shared" si="437"/>
        <v>1102487</v>
      </c>
      <c r="BQ65" s="68">
        <f t="shared" si="437"/>
        <v>1056164</v>
      </c>
      <c r="BR65" s="68">
        <f t="shared" si="437"/>
        <v>996980</v>
      </c>
      <c r="BS65" s="28">
        <f t="shared" si="437"/>
        <v>996980</v>
      </c>
      <c r="BT65" s="68">
        <f t="shared" si="437"/>
        <v>1158442</v>
      </c>
      <c r="BU65" s="68">
        <f t="shared" si="437"/>
        <v>1052970</v>
      </c>
      <c r="BV65" s="68">
        <f t="shared" si="437"/>
        <v>1233320</v>
      </c>
      <c r="BW65" s="68">
        <f t="shared" si="437"/>
        <v>1309539</v>
      </c>
      <c r="BX65" s="28">
        <f t="shared" si="437"/>
        <v>1309539</v>
      </c>
      <c r="BY65" s="68">
        <f t="shared" si="437"/>
        <v>1361484</v>
      </c>
      <c r="BZ65" s="68">
        <f t="shared" ref="BZ65:CA65" si="438">BZ43+BZ42</f>
        <v>1578294</v>
      </c>
      <c r="CA65" s="68">
        <f t="shared" si="438"/>
        <v>1642129</v>
      </c>
      <c r="CB65" s="68">
        <f t="shared" si="437"/>
        <v>1662054</v>
      </c>
      <c r="CC65" s="28">
        <f t="shared" si="437"/>
        <v>1662054</v>
      </c>
      <c r="CD65" s="68">
        <f t="shared" ref="CD65:CE65" si="439">CD43+CD42</f>
        <v>1891970</v>
      </c>
      <c r="CE65" s="68">
        <f t="shared" si="439"/>
        <v>2048841</v>
      </c>
      <c r="CF65" s="68">
        <f t="shared" ca="1" si="437"/>
        <v>2169287.1563240224</v>
      </c>
      <c r="CG65" s="68">
        <f t="shared" ca="1" si="437"/>
        <v>2296307.0228476254</v>
      </c>
      <c r="CH65" s="28">
        <f t="shared" ca="1" si="437"/>
        <v>2296307.0228476254</v>
      </c>
      <c r="CI65" s="68">
        <f t="shared" ca="1" si="437"/>
        <v>2418155.6043782779</v>
      </c>
      <c r="CJ65" s="68">
        <f t="shared" ca="1" si="437"/>
        <v>2555130.0788305253</v>
      </c>
      <c r="CK65" s="68">
        <f t="shared" ca="1" si="437"/>
        <v>2692944.450857399</v>
      </c>
      <c r="CL65" s="68">
        <f t="shared" ca="1" si="437"/>
        <v>2791668.2007390964</v>
      </c>
      <c r="CM65" s="28">
        <f t="shared" ca="1" si="437"/>
        <v>2791668.2007390964</v>
      </c>
      <c r="CN65" s="68">
        <f t="shared" ca="1" si="437"/>
        <v>2908304.513606336</v>
      </c>
      <c r="CO65" s="68">
        <f t="shared" ca="1" si="437"/>
        <v>2951441.0368310479</v>
      </c>
      <c r="CP65" s="68">
        <f t="shared" ca="1" si="437"/>
        <v>3017266.7821016447</v>
      </c>
      <c r="CQ65" s="68">
        <f t="shared" ca="1" si="437"/>
        <v>3072170.8347381288</v>
      </c>
      <c r="CR65" s="28">
        <f t="shared" ca="1" si="437"/>
        <v>3072170.8347381288</v>
      </c>
      <c r="CS65" s="68">
        <f t="shared" ca="1" si="437"/>
        <v>3164643.7189265266</v>
      </c>
      <c r="CT65" s="68">
        <f t="shared" ref="CT65:DB65" ca="1" si="440">CT43+CT42</f>
        <v>3201957.3931143181</v>
      </c>
      <c r="CU65" s="68">
        <f t="shared" ca="1" si="440"/>
        <v>3264377.2157323514</v>
      </c>
      <c r="CV65" s="68">
        <f t="shared" ca="1" si="440"/>
        <v>3315236.0306440368</v>
      </c>
      <c r="CW65" s="28">
        <f t="shared" ca="1" si="440"/>
        <v>3315236.0306440368</v>
      </c>
      <c r="CX65" s="68">
        <f t="shared" ca="1" si="440"/>
        <v>3416950.7627562322</v>
      </c>
      <c r="CY65" s="68">
        <f t="shared" ca="1" si="440"/>
        <v>3450340.888839311</v>
      </c>
      <c r="CZ65" s="68">
        <f t="shared" ca="1" si="440"/>
        <v>3507736.6116376258</v>
      </c>
      <c r="DA65" s="68">
        <f t="shared" ca="1" si="440"/>
        <v>3552034.2167740837</v>
      </c>
      <c r="DB65" s="28">
        <f t="shared" ca="1" si="440"/>
        <v>3552034.2167740837</v>
      </c>
    </row>
    <row r="66" spans="1:106" ht="11.5" customHeight="1" x14ac:dyDescent="0.35">
      <c r="A66" s="164" t="s">
        <v>17</v>
      </c>
      <c r="B66" s="165" t="e">
        <f t="shared" ref="B66:AE66" si="441">B57/B65</f>
        <v>#DIV/0!</v>
      </c>
      <c r="C66" s="165" t="e">
        <f t="shared" si="441"/>
        <v>#DIV/0!</v>
      </c>
      <c r="D66" s="165" t="e">
        <f t="shared" si="441"/>
        <v>#DIV/0!</v>
      </c>
      <c r="E66" s="165" t="e">
        <f t="shared" si="441"/>
        <v>#DIV/0!</v>
      </c>
      <c r="F66" s="166" t="e">
        <f t="shared" si="441"/>
        <v>#DIV/0!</v>
      </c>
      <c r="G66" s="165" t="e">
        <f t="shared" si="441"/>
        <v>#DIV/0!</v>
      </c>
      <c r="H66" s="165" t="e">
        <f t="shared" si="441"/>
        <v>#DIV/0!</v>
      </c>
      <c r="I66" s="165" t="e">
        <f t="shared" si="441"/>
        <v>#DIV/0!</v>
      </c>
      <c r="J66" s="165" t="e">
        <f t="shared" si="441"/>
        <v>#DIV/0!</v>
      </c>
      <c r="K66" s="166" t="e">
        <f t="shared" si="441"/>
        <v>#DIV/0!</v>
      </c>
      <c r="L66" s="165" t="e">
        <f t="shared" si="441"/>
        <v>#DIV/0!</v>
      </c>
      <c r="M66" s="165" t="e">
        <f t="shared" si="441"/>
        <v>#DIV/0!</v>
      </c>
      <c r="N66" s="165" t="e">
        <f t="shared" si="441"/>
        <v>#DIV/0!</v>
      </c>
      <c r="O66" s="165" t="e">
        <f t="shared" si="441"/>
        <v>#DIV/0!</v>
      </c>
      <c r="P66" s="166" t="e">
        <f t="shared" si="441"/>
        <v>#DIV/0!</v>
      </c>
      <c r="Q66" s="165" t="e">
        <f t="shared" si="441"/>
        <v>#DIV/0!</v>
      </c>
      <c r="R66" s="165" t="e">
        <f t="shared" si="441"/>
        <v>#DIV/0!</v>
      </c>
      <c r="S66" s="165" t="e">
        <f t="shared" si="441"/>
        <v>#DIV/0!</v>
      </c>
      <c r="T66" s="165" t="e">
        <f t="shared" si="441"/>
        <v>#DIV/0!</v>
      </c>
      <c r="U66" s="166" t="e">
        <f t="shared" si="441"/>
        <v>#DIV/0!</v>
      </c>
      <c r="V66" s="165" t="e">
        <f t="shared" si="441"/>
        <v>#DIV/0!</v>
      </c>
      <c r="W66" s="165" t="e">
        <f t="shared" si="441"/>
        <v>#DIV/0!</v>
      </c>
      <c r="X66" s="165" t="e">
        <f t="shared" si="441"/>
        <v>#DIV/0!</v>
      </c>
      <c r="Y66" s="165" t="e">
        <f t="shared" si="441"/>
        <v>#DIV/0!</v>
      </c>
      <c r="Z66" s="166" t="e">
        <f t="shared" si="441"/>
        <v>#DIV/0!</v>
      </c>
      <c r="AA66" s="165" t="e">
        <f t="shared" si="441"/>
        <v>#DIV/0!</v>
      </c>
      <c r="AB66" s="165" t="e">
        <f t="shared" si="441"/>
        <v>#DIV/0!</v>
      </c>
      <c r="AC66" s="165" t="e">
        <f t="shared" si="441"/>
        <v>#DIV/0!</v>
      </c>
      <c r="AD66" s="165" t="e">
        <f t="shared" si="441"/>
        <v>#DIV/0!</v>
      </c>
      <c r="AE66" s="166" t="e">
        <f t="shared" si="441"/>
        <v>#DIV/0!</v>
      </c>
      <c r="AF66" s="165" t="e">
        <f t="shared" ref="AF66:AG66" si="442">AF57/AF65</f>
        <v>#DIV/0!</v>
      </c>
      <c r="AG66" s="165" t="e">
        <f t="shared" si="442"/>
        <v>#DIV/0!</v>
      </c>
      <c r="AH66" s="165" t="e">
        <f t="shared" ref="AH66:BM66" si="443">AH57/AH65</f>
        <v>#DIV/0!</v>
      </c>
      <c r="AI66" s="165" t="e">
        <f t="shared" si="443"/>
        <v>#DIV/0!</v>
      </c>
      <c r="AJ66" s="166" t="e">
        <f t="shared" si="443"/>
        <v>#DIV/0!</v>
      </c>
      <c r="AK66" s="165">
        <f t="shared" si="443"/>
        <v>0.13883849212894239</v>
      </c>
      <c r="AL66" s="165">
        <f t="shared" si="443"/>
        <v>0.17401571250231876</v>
      </c>
      <c r="AM66" s="165">
        <f t="shared" si="443"/>
        <v>0.14379270685339288</v>
      </c>
      <c r="AN66" s="165">
        <f t="shared" si="443"/>
        <v>-3.2500839028330945E-2</v>
      </c>
      <c r="AO66" s="166">
        <f t="shared" si="443"/>
        <v>-3.2500839028330945E-2</v>
      </c>
      <c r="AP66" s="165">
        <f t="shared" si="443"/>
        <v>2.2824285312760217E-2</v>
      </c>
      <c r="AQ66" s="165">
        <f t="shared" si="443"/>
        <v>-4.120877813367093E-2</v>
      </c>
      <c r="AR66" s="165">
        <f t="shared" si="443"/>
        <v>3.9642971106821252E-2</v>
      </c>
      <c r="AS66" s="165">
        <f t="shared" si="443"/>
        <v>-9.6250652681257876E-2</v>
      </c>
      <c r="AT66" s="166">
        <f t="shared" si="443"/>
        <v>-9.6250652681257876E-2</v>
      </c>
      <c r="AU66" s="165">
        <f t="shared" si="443"/>
        <v>-6.1895770810954473E-2</v>
      </c>
      <c r="AV66" s="165">
        <f t="shared" si="443"/>
        <v>-0.10831298541847728</v>
      </c>
      <c r="AW66" s="165">
        <f t="shared" si="443"/>
        <v>-0.15710815656251778</v>
      </c>
      <c r="AX66" s="165">
        <f t="shared" si="443"/>
        <v>-7.5253506763387268E-2</v>
      </c>
      <c r="AY66" s="166">
        <f t="shared" si="443"/>
        <v>-7.5253506763387268E-2</v>
      </c>
      <c r="AZ66" s="165">
        <f t="shared" si="443"/>
        <v>-8.0391561774540501E-2</v>
      </c>
      <c r="BA66" s="165">
        <f t="shared" si="443"/>
        <v>-0.21452410957402965</v>
      </c>
      <c r="BB66" s="165">
        <f t="shared" si="443"/>
        <v>-0.48151906923788063</v>
      </c>
      <c r="BC66" s="165">
        <f t="shared" si="443"/>
        <v>-0.2400344340716733</v>
      </c>
      <c r="BD66" s="166">
        <f t="shared" si="443"/>
        <v>-0.2400344340716733</v>
      </c>
      <c r="BE66" s="165">
        <f t="shared" si="443"/>
        <v>-0.22466719041681382</v>
      </c>
      <c r="BF66" s="165">
        <f t="shared" si="443"/>
        <v>-0.32064913181512472</v>
      </c>
      <c r="BG66" s="165">
        <f t="shared" si="443"/>
        <v>-0.21751814599203373</v>
      </c>
      <c r="BH66" s="165">
        <f t="shared" si="443"/>
        <v>-0.27529634525576707</v>
      </c>
      <c r="BI66" s="166">
        <f t="shared" si="443"/>
        <v>-0.27529634525576707</v>
      </c>
      <c r="BJ66" s="165">
        <f t="shared" si="443"/>
        <v>-0.26725763815073561</v>
      </c>
      <c r="BK66" s="165">
        <f t="shared" si="443"/>
        <v>-0.35291229092516635</v>
      </c>
      <c r="BL66" s="165">
        <f t="shared" si="443"/>
        <v>-0.20506733093898774</v>
      </c>
      <c r="BM66" s="165">
        <f t="shared" si="443"/>
        <v>-0.35139698410022013</v>
      </c>
      <c r="BN66" s="166">
        <f t="shared" ref="BN66:CS66" si="444">BN57/BN65</f>
        <v>-0.35139698410022013</v>
      </c>
      <c r="BO66" s="165">
        <f t="shared" si="444"/>
        <v>-0.26329625133939666</v>
      </c>
      <c r="BP66" s="165">
        <f t="shared" si="444"/>
        <v>-0.3045686706509918</v>
      </c>
      <c r="BQ66" s="165">
        <f t="shared" si="444"/>
        <v>-0.43871595699152782</v>
      </c>
      <c r="BR66" s="165">
        <f t="shared" si="444"/>
        <v>-0.38006479568296253</v>
      </c>
      <c r="BS66" s="166">
        <f t="shared" si="444"/>
        <v>-0.38006479568296253</v>
      </c>
      <c r="BT66" s="165">
        <f t="shared" si="444"/>
        <v>-0.35373199521426191</v>
      </c>
      <c r="BU66" s="165">
        <f t="shared" si="444"/>
        <v>-0.45327217299638167</v>
      </c>
      <c r="BV66" s="165">
        <f t="shared" si="444"/>
        <v>-0.26164336911750397</v>
      </c>
      <c r="BW66" s="165">
        <f t="shared" si="444"/>
        <v>-0.32824833777382728</v>
      </c>
      <c r="BX66" s="166">
        <f t="shared" si="444"/>
        <v>-0.32824833777382728</v>
      </c>
      <c r="BY66" s="165">
        <f t="shared" si="444"/>
        <v>-0.19169891089428887</v>
      </c>
      <c r="BZ66" s="165">
        <f t="shared" ref="BZ66" si="445">BZ57/BZ65</f>
        <v>-0.14430961531881892</v>
      </c>
      <c r="CA66" s="165">
        <f>CA57/CA65</f>
        <v>-0.27416664586034351</v>
      </c>
      <c r="CB66" s="165">
        <f t="shared" si="444"/>
        <v>-0.1901562765108715</v>
      </c>
      <c r="CC66" s="166">
        <f t="shared" si="444"/>
        <v>-0.1901562765108715</v>
      </c>
      <c r="CD66" s="165">
        <f t="shared" ref="CD66:CE66" si="446">CD57/CD65</f>
        <v>-0.21506366380016598</v>
      </c>
      <c r="CE66" s="165">
        <f t="shared" si="446"/>
        <v>-0.14181237099413765</v>
      </c>
      <c r="CF66" s="165">
        <f t="shared" ca="1" si="444"/>
        <v>-0.18064176780295899</v>
      </c>
      <c r="CG66" s="165">
        <f t="shared" ca="1" si="444"/>
        <v>-0.21909663749898858</v>
      </c>
      <c r="CH66" s="166">
        <f t="shared" ca="1" si="444"/>
        <v>-0.21909663749898858</v>
      </c>
      <c r="CI66" s="165">
        <f t="shared" ca="1" si="444"/>
        <v>-0.32301770148519082</v>
      </c>
      <c r="CJ66" s="165">
        <f t="shared" ca="1" si="444"/>
        <v>-0.21231091497654175</v>
      </c>
      <c r="CK66" s="165">
        <f t="shared" ca="1" si="444"/>
        <v>-0.19757307493246379</v>
      </c>
      <c r="CL66" s="165">
        <f t="shared" ca="1" si="444"/>
        <v>-0.19194476604332478</v>
      </c>
      <c r="CM66" s="166">
        <f t="shared" ca="1" si="444"/>
        <v>-0.19194476604332478</v>
      </c>
      <c r="CN66" s="165">
        <f t="shared" ca="1" si="444"/>
        <v>-0.32184975020599427</v>
      </c>
      <c r="CO66" s="165">
        <f t="shared" ca="1" si="444"/>
        <v>-0.19106570080845103</v>
      </c>
      <c r="CP66" s="165">
        <f t="shared" ca="1" si="444"/>
        <v>-0.18566813885288322</v>
      </c>
      <c r="CQ66" s="165">
        <f t="shared" ca="1" si="444"/>
        <v>-0.17323974556514471</v>
      </c>
      <c r="CR66" s="166">
        <f t="shared" ca="1" si="444"/>
        <v>-0.17323974556514471</v>
      </c>
      <c r="CS66" s="165">
        <f t="shared" ca="1" si="444"/>
        <v>-0.31257455386331207</v>
      </c>
      <c r="CT66" s="165">
        <f t="shared" ref="CT66:DB66" ca="1" si="447">CT57/CT65</f>
        <v>-0.17260399693359196</v>
      </c>
      <c r="CU66" s="165">
        <f t="shared" ca="1" si="447"/>
        <v>-0.16749256554826647</v>
      </c>
      <c r="CV66" s="165">
        <f t="shared" ca="1" si="447"/>
        <v>-0.16266694907372725</v>
      </c>
      <c r="CW66" s="166">
        <f t="shared" ca="1" si="447"/>
        <v>-0.16266694907372725</v>
      </c>
      <c r="CX66" s="165">
        <f t="shared" ca="1" si="447"/>
        <v>-0.3040958757915892</v>
      </c>
      <c r="CY66" s="165">
        <f t="shared" ca="1" si="447"/>
        <v>-0.17001159229226967</v>
      </c>
      <c r="CZ66" s="165">
        <f t="shared" ca="1" si="447"/>
        <v>-0.16309382709792353</v>
      </c>
      <c r="DA66" s="165">
        <f t="shared" ca="1" si="447"/>
        <v>-0.15445457305881544</v>
      </c>
      <c r="DB66" s="166">
        <f t="shared" ca="1" si="447"/>
        <v>-0.15445457305881544</v>
      </c>
    </row>
    <row r="67" spans="1:106" ht="11.5" customHeight="1" x14ac:dyDescent="0.35">
      <c r="A67" s="207" t="s">
        <v>132</v>
      </c>
      <c r="B67" s="196" t="e">
        <f t="shared" ref="B67:AE67" si="448">B64/B65</f>
        <v>#DIV/0!</v>
      </c>
      <c r="C67" s="196" t="e">
        <f t="shared" si="448"/>
        <v>#DIV/0!</v>
      </c>
      <c r="D67" s="196" t="e">
        <f t="shared" si="448"/>
        <v>#DIV/0!</v>
      </c>
      <c r="E67" s="196" t="e">
        <f t="shared" si="448"/>
        <v>#DIV/0!</v>
      </c>
      <c r="F67" s="57" t="e">
        <f t="shared" si="448"/>
        <v>#DIV/0!</v>
      </c>
      <c r="G67" s="196" t="e">
        <f t="shared" si="448"/>
        <v>#DIV/0!</v>
      </c>
      <c r="H67" s="196" t="e">
        <f t="shared" si="448"/>
        <v>#DIV/0!</v>
      </c>
      <c r="I67" s="196" t="e">
        <f t="shared" si="448"/>
        <v>#DIV/0!</v>
      </c>
      <c r="J67" s="196" t="e">
        <f t="shared" si="448"/>
        <v>#DIV/0!</v>
      </c>
      <c r="K67" s="57" t="e">
        <f t="shared" si="448"/>
        <v>#DIV/0!</v>
      </c>
      <c r="L67" s="196" t="e">
        <f t="shared" si="448"/>
        <v>#DIV/0!</v>
      </c>
      <c r="M67" s="196" t="e">
        <f t="shared" si="448"/>
        <v>#DIV/0!</v>
      </c>
      <c r="N67" s="196" t="e">
        <f t="shared" si="448"/>
        <v>#DIV/0!</v>
      </c>
      <c r="O67" s="196" t="e">
        <f t="shared" si="448"/>
        <v>#DIV/0!</v>
      </c>
      <c r="P67" s="57" t="e">
        <f t="shared" si="448"/>
        <v>#DIV/0!</v>
      </c>
      <c r="Q67" s="196" t="e">
        <f t="shared" si="448"/>
        <v>#DIV/0!</v>
      </c>
      <c r="R67" s="196" t="e">
        <f t="shared" si="448"/>
        <v>#DIV/0!</v>
      </c>
      <c r="S67" s="196" t="e">
        <f t="shared" si="448"/>
        <v>#DIV/0!</v>
      </c>
      <c r="T67" s="196" t="e">
        <f t="shared" si="448"/>
        <v>#DIV/0!</v>
      </c>
      <c r="U67" s="57" t="e">
        <f t="shared" si="448"/>
        <v>#DIV/0!</v>
      </c>
      <c r="V67" s="196" t="e">
        <f t="shared" si="448"/>
        <v>#DIV/0!</v>
      </c>
      <c r="W67" s="196" t="e">
        <f t="shared" si="448"/>
        <v>#DIV/0!</v>
      </c>
      <c r="X67" s="196" t="e">
        <f t="shared" si="448"/>
        <v>#DIV/0!</v>
      </c>
      <c r="Y67" s="196" t="e">
        <f t="shared" si="448"/>
        <v>#DIV/0!</v>
      </c>
      <c r="Z67" s="57" t="e">
        <f t="shared" si="448"/>
        <v>#DIV/0!</v>
      </c>
      <c r="AA67" s="196" t="e">
        <f t="shared" si="448"/>
        <v>#DIV/0!</v>
      </c>
      <c r="AB67" s="196" t="e">
        <f t="shared" si="448"/>
        <v>#DIV/0!</v>
      </c>
      <c r="AC67" s="196" t="e">
        <f t="shared" si="448"/>
        <v>#DIV/0!</v>
      </c>
      <c r="AD67" s="196" t="e">
        <f t="shared" si="448"/>
        <v>#DIV/0!</v>
      </c>
      <c r="AE67" s="57" t="e">
        <f t="shared" si="448"/>
        <v>#DIV/0!</v>
      </c>
      <c r="AF67" s="196" t="e">
        <f t="shared" ref="AF67:AG67" si="449">AF64/AF65</f>
        <v>#DIV/0!</v>
      </c>
      <c r="AG67" s="196" t="e">
        <f t="shared" si="449"/>
        <v>#DIV/0!</v>
      </c>
      <c r="AH67" s="196" t="e">
        <f t="shared" ref="AH67:BM67" si="450">AH64/AH65</f>
        <v>#DIV/0!</v>
      </c>
      <c r="AI67" s="196" t="e">
        <f t="shared" si="450"/>
        <v>#DIV/0!</v>
      </c>
      <c r="AJ67" s="57" t="e">
        <f t="shared" si="450"/>
        <v>#DIV/0!</v>
      </c>
      <c r="AK67" s="196">
        <f t="shared" si="450"/>
        <v>0.17411622409148386</v>
      </c>
      <c r="AL67" s="196">
        <f t="shared" si="450"/>
        <v>0.19245809915822298</v>
      </c>
      <c r="AM67" s="196">
        <f t="shared" si="450"/>
        <v>0.17418081771643776</v>
      </c>
      <c r="AN67" s="196">
        <f t="shared" si="450"/>
        <v>6.7772699057615265E-2</v>
      </c>
      <c r="AO67" s="57">
        <f t="shared" si="450"/>
        <v>6.7772699057615265E-2</v>
      </c>
      <c r="AP67" s="196">
        <f t="shared" si="450"/>
        <v>5.7201247205739041E-2</v>
      </c>
      <c r="AQ67" s="196">
        <f t="shared" si="450"/>
        <v>-1.5386958446169443E-2</v>
      </c>
      <c r="AR67" s="196">
        <f t="shared" si="450"/>
        <v>0.18130712948860409</v>
      </c>
      <c r="AS67" s="196">
        <f t="shared" si="450"/>
        <v>0.12268965258606017</v>
      </c>
      <c r="AT67" s="57">
        <f t="shared" si="450"/>
        <v>0.12268965258606017</v>
      </c>
      <c r="AU67" s="196">
        <f t="shared" si="450"/>
        <v>8.9173984784221658E-2</v>
      </c>
      <c r="AV67" s="196">
        <f t="shared" si="450"/>
        <v>-2.2575839092827878E-2</v>
      </c>
      <c r="AW67" s="196">
        <f t="shared" si="450"/>
        <v>-4.9434031427951455E-2</v>
      </c>
      <c r="AX67" s="196">
        <f t="shared" si="450"/>
        <v>1.3469050047141676E-2</v>
      </c>
      <c r="AY67" s="57">
        <f t="shared" si="450"/>
        <v>1.3469050047141676E-2</v>
      </c>
      <c r="AZ67" s="196">
        <f t="shared" si="450"/>
        <v>-6.7940280706238155E-3</v>
      </c>
      <c r="BA67" s="196">
        <f t="shared" si="450"/>
        <v>-0.16450874405330526</v>
      </c>
      <c r="BB67" s="196">
        <f t="shared" si="450"/>
        <v>-0.46936917936707034</v>
      </c>
      <c r="BC67" s="196">
        <f t="shared" si="450"/>
        <v>-0.22832653836394573</v>
      </c>
      <c r="BD67" s="57">
        <f t="shared" si="450"/>
        <v>-0.22832653836394573</v>
      </c>
      <c r="BE67" s="196">
        <f t="shared" si="450"/>
        <v>-0.22359758690528531</v>
      </c>
      <c r="BF67" s="196">
        <f t="shared" si="450"/>
        <v>-0.31957592368940607</v>
      </c>
      <c r="BG67" s="196">
        <f t="shared" si="450"/>
        <v>-0.2165250029054718</v>
      </c>
      <c r="BH67" s="196">
        <f t="shared" si="450"/>
        <v>-0.27529634525576707</v>
      </c>
      <c r="BI67" s="57">
        <f t="shared" si="450"/>
        <v>-0.27529634525576707</v>
      </c>
      <c r="BJ67" s="196">
        <f t="shared" si="450"/>
        <v>-0.26725763815073561</v>
      </c>
      <c r="BK67" s="196">
        <f t="shared" si="450"/>
        <v>-0.35291229092516635</v>
      </c>
      <c r="BL67" s="196">
        <f t="shared" si="450"/>
        <v>-0.20506733093898774</v>
      </c>
      <c r="BM67" s="196">
        <f t="shared" si="450"/>
        <v>-0.35139698410022013</v>
      </c>
      <c r="BN67" s="57">
        <f t="shared" ref="BN67:CS67" si="451">BN64/BN65</f>
        <v>-0.35139698410022013</v>
      </c>
      <c r="BO67" s="196">
        <f t="shared" si="451"/>
        <v>-0.26329625133939666</v>
      </c>
      <c r="BP67" s="196">
        <f t="shared" si="451"/>
        <v>-0.3045686706509918</v>
      </c>
      <c r="BQ67" s="196">
        <f t="shared" si="451"/>
        <v>-0.43871595699152782</v>
      </c>
      <c r="BR67" s="196">
        <f t="shared" si="451"/>
        <v>-0.38006479568296253</v>
      </c>
      <c r="BS67" s="57">
        <f t="shared" si="451"/>
        <v>-0.38006479568296253</v>
      </c>
      <c r="BT67" s="196">
        <f t="shared" si="451"/>
        <v>-0.35373199521426191</v>
      </c>
      <c r="BU67" s="196">
        <f t="shared" si="451"/>
        <v>-0.45327217299638167</v>
      </c>
      <c r="BV67" s="196">
        <f t="shared" si="451"/>
        <v>-0.26164336911750397</v>
      </c>
      <c r="BW67" s="196">
        <f t="shared" si="451"/>
        <v>-0.32824833777382728</v>
      </c>
      <c r="BX67" s="57">
        <f t="shared" si="451"/>
        <v>-0.32824833777382728</v>
      </c>
      <c r="BY67" s="196">
        <f t="shared" si="451"/>
        <v>-0.19169891089428887</v>
      </c>
      <c r="BZ67" s="196">
        <f t="shared" ref="BZ67:CA67" si="452">BZ64/BZ65</f>
        <v>-0.14430961531881892</v>
      </c>
      <c r="CA67" s="196">
        <f t="shared" si="452"/>
        <v>-0.27416664586034351</v>
      </c>
      <c r="CB67" s="196">
        <f t="shared" si="451"/>
        <v>-0.1901562765108715</v>
      </c>
      <c r="CC67" s="57">
        <f t="shared" si="451"/>
        <v>-0.1901562765108715</v>
      </c>
      <c r="CD67" s="196">
        <f t="shared" ref="CD67:CE67" si="453">CD64/CD65</f>
        <v>-0.21506366380016598</v>
      </c>
      <c r="CE67" s="196">
        <f t="shared" si="453"/>
        <v>-0.14181237099413765</v>
      </c>
      <c r="CF67" s="196">
        <f t="shared" ca="1" si="451"/>
        <v>-0.18064176780295899</v>
      </c>
      <c r="CG67" s="196">
        <f t="shared" ca="1" si="451"/>
        <v>-0.21909663749898858</v>
      </c>
      <c r="CH67" s="57">
        <f t="shared" ca="1" si="451"/>
        <v>-0.21909663749898858</v>
      </c>
      <c r="CI67" s="196">
        <f t="shared" ca="1" si="451"/>
        <v>-0.32301770148519082</v>
      </c>
      <c r="CJ67" s="196">
        <f t="shared" ca="1" si="451"/>
        <v>-0.21231091497654175</v>
      </c>
      <c r="CK67" s="196">
        <f t="shared" ca="1" si="451"/>
        <v>-0.19757307493246379</v>
      </c>
      <c r="CL67" s="196">
        <f t="shared" ca="1" si="451"/>
        <v>-0.19194476604332478</v>
      </c>
      <c r="CM67" s="57">
        <f t="shared" ca="1" si="451"/>
        <v>-0.19194476604332478</v>
      </c>
      <c r="CN67" s="196">
        <f t="shared" ca="1" si="451"/>
        <v>-0.32184975020599427</v>
      </c>
      <c r="CO67" s="196">
        <f t="shared" ca="1" si="451"/>
        <v>-0.19106570080845103</v>
      </c>
      <c r="CP67" s="196">
        <f t="shared" ca="1" si="451"/>
        <v>-0.18566813885288322</v>
      </c>
      <c r="CQ67" s="196">
        <f t="shared" ca="1" si="451"/>
        <v>-0.17323974556514471</v>
      </c>
      <c r="CR67" s="57">
        <f t="shared" ca="1" si="451"/>
        <v>-0.17323974556514471</v>
      </c>
      <c r="CS67" s="196">
        <f t="shared" ca="1" si="451"/>
        <v>-0.31257455386331207</v>
      </c>
      <c r="CT67" s="196">
        <f t="shared" ref="CT67:DB67" ca="1" si="454">CT64/CT65</f>
        <v>-0.17260399693359196</v>
      </c>
      <c r="CU67" s="196">
        <f t="shared" ca="1" si="454"/>
        <v>-0.16749256554826647</v>
      </c>
      <c r="CV67" s="196">
        <f t="shared" ca="1" si="454"/>
        <v>-0.16266694907372725</v>
      </c>
      <c r="CW67" s="57">
        <f t="shared" ca="1" si="454"/>
        <v>-0.16266694907372725</v>
      </c>
      <c r="CX67" s="196">
        <f t="shared" ca="1" si="454"/>
        <v>-0.3040958757915892</v>
      </c>
      <c r="CY67" s="196">
        <f t="shared" ca="1" si="454"/>
        <v>-0.17001159229226967</v>
      </c>
      <c r="CZ67" s="196">
        <f t="shared" ca="1" si="454"/>
        <v>-0.16309382709792353</v>
      </c>
      <c r="DA67" s="196">
        <f t="shared" ca="1" si="454"/>
        <v>-0.15445457305881544</v>
      </c>
      <c r="DB67" s="57">
        <f t="shared" ca="1" si="454"/>
        <v>-0.15445457305881544</v>
      </c>
    </row>
    <row r="68" spans="1:106" ht="11.5" customHeight="1" x14ac:dyDescent="0.35">
      <c r="A68" s="31" t="s">
        <v>18</v>
      </c>
      <c r="B68" s="452" t="e">
        <f>B57/(IS!B65*4)</f>
        <v>#DIV/0!</v>
      </c>
      <c r="C68" s="452" t="e">
        <f>C57/(IS!C65*4)</f>
        <v>#DIV/0!</v>
      </c>
      <c r="D68" s="452" t="e">
        <f>D57/(IS!D65*4)</f>
        <v>#DIV/0!</v>
      </c>
      <c r="E68" s="452" t="e">
        <f>E57/(IS!E65*4)</f>
        <v>#DIV/0!</v>
      </c>
      <c r="F68" s="453" t="e">
        <f>F57/IS!F65</f>
        <v>#DIV/0!</v>
      </c>
      <c r="G68" s="452" t="e">
        <f>G57/(IS!G65*4)</f>
        <v>#DIV/0!</v>
      </c>
      <c r="H68" s="452" t="e">
        <f>H57/(IS!H65*4)</f>
        <v>#DIV/0!</v>
      </c>
      <c r="I68" s="452" t="e">
        <f>I57/(IS!I65*4)</f>
        <v>#DIV/0!</v>
      </c>
      <c r="J68" s="452" t="e">
        <f>J57/(IS!J65*4)</f>
        <v>#DIV/0!</v>
      </c>
      <c r="K68" s="453" t="e">
        <f>K57/IS!K65</f>
        <v>#DIV/0!</v>
      </c>
      <c r="L68" s="452" t="e">
        <f>L57/(IS!L65*4)</f>
        <v>#DIV/0!</v>
      </c>
      <c r="M68" s="452" t="e">
        <f>M57/(IS!M65*4)</f>
        <v>#DIV/0!</v>
      </c>
      <c r="N68" s="452" t="e">
        <f>N57/(IS!N65*4)</f>
        <v>#DIV/0!</v>
      </c>
      <c r="O68" s="452" t="e">
        <f>O57/(IS!O65*4)</f>
        <v>#DIV/0!</v>
      </c>
      <c r="P68" s="453" t="e">
        <f>P57/IS!P65</f>
        <v>#DIV/0!</v>
      </c>
      <c r="Q68" s="452" t="e">
        <f>Q57/(IS!Q65*4)</f>
        <v>#DIV/0!</v>
      </c>
      <c r="R68" s="452" t="e">
        <f>R57/(IS!R65*4)</f>
        <v>#DIV/0!</v>
      </c>
      <c r="S68" s="452" t="e">
        <f>S57/(IS!S65*4)</f>
        <v>#DIV/0!</v>
      </c>
      <c r="T68" s="452" t="e">
        <f>T57/(IS!T65*4)</f>
        <v>#DIV/0!</v>
      </c>
      <c r="U68" s="453" t="e">
        <f>U57/IS!U65</f>
        <v>#DIV/0!</v>
      </c>
      <c r="V68" s="452" t="e">
        <f>V57/(IS!V65*4)</f>
        <v>#DIV/0!</v>
      </c>
      <c r="W68" s="452" t="e">
        <f>W57/(IS!W65*4)</f>
        <v>#DIV/0!</v>
      </c>
      <c r="X68" s="452" t="e">
        <f>X57/(IS!X65*4)</f>
        <v>#DIV/0!</v>
      </c>
      <c r="Y68" s="452" t="e">
        <f>Y57/(IS!Y65*4)</f>
        <v>#DIV/0!</v>
      </c>
      <c r="Z68" s="453" t="e">
        <f>Z57/IS!Z65</f>
        <v>#DIV/0!</v>
      </c>
      <c r="AA68" s="452" t="e">
        <f>AA57/(IS!AA65*4)</f>
        <v>#DIV/0!</v>
      </c>
      <c r="AB68" s="452" t="e">
        <f>AB57/(IS!AB65*4)</f>
        <v>#DIV/0!</v>
      </c>
      <c r="AC68" s="452" t="e">
        <f>AC57/(IS!AC65*4)</f>
        <v>#DIV/0!</v>
      </c>
      <c r="AD68" s="452" t="e">
        <f>AD57/(IS!AD65*4)</f>
        <v>#DIV/0!</v>
      </c>
      <c r="AE68" s="453" t="e">
        <f>AE57/IS!AE65</f>
        <v>#DIV/0!</v>
      </c>
      <c r="AF68" s="452" t="e">
        <f>AF57/(IS!AF65*4)</f>
        <v>#DIV/0!</v>
      </c>
      <c r="AG68" s="452" t="e">
        <f>AG57/(IS!AG65*4)</f>
        <v>#DIV/0!</v>
      </c>
      <c r="AH68" s="452" t="e">
        <f>AH57/(IS!AH65*4)</f>
        <v>#DIV/0!</v>
      </c>
      <c r="AI68" s="452" t="e">
        <f>AI57/(IS!AI65*4)</f>
        <v>#DIV/0!</v>
      </c>
      <c r="AJ68" s="453" t="e">
        <f>AJ57/IS!AJ65</f>
        <v>#DIV/0!</v>
      </c>
      <c r="AK68" s="452">
        <f>AK57/(IS!AK65*4)</f>
        <v>1.0350337615553258</v>
      </c>
      <c r="AL68" s="452">
        <f>AL57/(IS!AL65*4)</f>
        <v>1.0197294991888077</v>
      </c>
      <c r="AM68" s="452">
        <f>AM57/(IS!AM65*4)</f>
        <v>0.3596972626452748</v>
      </c>
      <c r="AN68" s="452">
        <f>AN57/(IS!AN65*4)</f>
        <v>-5.225698206382591E-2</v>
      </c>
      <c r="AO68" s="453">
        <f>AO57/IS!AO65</f>
        <v>-8.6508484444319078E-2</v>
      </c>
      <c r="AP68" s="452">
        <f>AP57/(IS!AP65*4)</f>
        <v>0.10277356385269835</v>
      </c>
      <c r="AQ68" s="452">
        <f>AQ57/(IS!AQ65*4)</f>
        <v>-0.10731796339967246</v>
      </c>
      <c r="AR68" s="452">
        <f>AR57/(IS!AR65*4)</f>
        <v>7.0261004168009289E-2</v>
      </c>
      <c r="AS68" s="452">
        <f>AS57/(IS!AS65*4)</f>
        <v>-0.12142850259196447</v>
      </c>
      <c r="AT68" s="453">
        <f>AT57/IS!AT65</f>
        <v>-0.173326766951063</v>
      </c>
      <c r="AU68" s="452">
        <f>AU57/(IS!AU65*4)</f>
        <v>-0.17088849481762314</v>
      </c>
      <c r="AV68" s="452">
        <f>AV57/(IS!AV65*4)</f>
        <v>-0.14401841616122091</v>
      </c>
      <c r="AW68" s="452">
        <f>AW57/(IS!AW65*4)</f>
        <v>-0.37048905051468545</v>
      </c>
      <c r="AX68" s="452">
        <f>AX57/(IS!AX65*4)</f>
        <v>-8.6967432877164894E-2</v>
      </c>
      <c r="AY68" s="453">
        <f>AY57/IS!AY65</f>
        <v>-0.11242936461002694</v>
      </c>
      <c r="AZ68" s="452">
        <f>AZ57/(IS!AZ65*4)</f>
        <v>-0.26186305456311354</v>
      </c>
      <c r="BA68" s="452">
        <f>BA57/(IS!BA65*4)</f>
        <v>-0.44514473840313207</v>
      </c>
      <c r="BB68" s="452">
        <f>BB57/(IS!BB65*4)</f>
        <v>-1.1202244455265837</v>
      </c>
      <c r="BC68" s="452">
        <f>BC57/(IS!BC65*4)</f>
        <v>-0.47435274284448603</v>
      </c>
      <c r="BD68" s="453">
        <f>BD57/IS!BD65</f>
        <v>-0.67500306431560697</v>
      </c>
      <c r="BE68" s="452">
        <f>BE57/(IS!BE65*4)</f>
        <v>-0.61554107424960502</v>
      </c>
      <c r="BF68" s="452">
        <f>BF57/(IS!BF65*4)</f>
        <v>-0.61916837965859328</v>
      </c>
      <c r="BG68" s="452">
        <f>BG57/(IS!BG65*4)</f>
        <v>-0.46952290272187192</v>
      </c>
      <c r="BH68" s="452">
        <f>BH57/(IS!BH65*4)</f>
        <v>-0.3690143350955673</v>
      </c>
      <c r="BI68" s="453">
        <f>BI57/IS!BI65</f>
        <v>-0.53741939066081812</v>
      </c>
      <c r="BJ68" s="452">
        <f>BJ57/(IS!BJ65*4)</f>
        <v>-0.65792156131518431</v>
      </c>
      <c r="BK68" s="452">
        <f>BK57/(IS!BK65*4)</f>
        <v>-0.6208134499823259</v>
      </c>
      <c r="BL68" s="452">
        <f>BL57/(IS!BL65*4)</f>
        <v>-0.38885096948091469</v>
      </c>
      <c r="BM68" s="452">
        <f>BM57/(IS!BM65*4)</f>
        <v>-0.61401224688054912</v>
      </c>
      <c r="BN68" s="453">
        <f>BN57/IS!BN65</f>
        <v>-0.7103625534894219</v>
      </c>
      <c r="BO68" s="452">
        <f>BO57/(IS!BO65*4)</f>
        <v>-0.54542774373830338</v>
      </c>
      <c r="BP68" s="452">
        <f>BP57/(IS!BP65*4)</f>
        <v>-0.56223962868203559</v>
      </c>
      <c r="BQ68" s="452">
        <f>BQ57/(IS!BQ65*4)</f>
        <v>-0.83913941106161039</v>
      </c>
      <c r="BR68" s="452">
        <f>BR57/(IS!BR65*4)</f>
        <v>-0.51243779076057561</v>
      </c>
      <c r="BS68" s="453">
        <f>BS57/IS!BS65</f>
        <v>-0.64306928340619651</v>
      </c>
      <c r="BT68" s="452">
        <f>BT57/(IS!BT65*4)</f>
        <v>-0.56831836413161063</v>
      </c>
      <c r="BU68" s="452">
        <f>BU57/(IS!BU65*4)</f>
        <v>-0.59073063746361165</v>
      </c>
      <c r="BV68" s="452">
        <f>BV57/(IS!BV65*4)</f>
        <v>-0.38309850459922407</v>
      </c>
      <c r="BW68" s="452">
        <f>BW57/(IS!BW65*4)</f>
        <v>-0.46855883391686903</v>
      </c>
      <c r="BX68" s="453">
        <f>BX57/IS!BX65</f>
        <v>-0.52282543254173386</v>
      </c>
      <c r="BY68" s="452">
        <f>BY57/(IS!BY65*4)</f>
        <v>-0.23263742806819884</v>
      </c>
      <c r="BZ68" s="452">
        <f>BZ57/(IS!BZ65*4)</f>
        <v>-0.17972813873036717</v>
      </c>
      <c r="CA68" s="452">
        <f>CA57/(IS!CA65*4)</f>
        <v>-0.34161904010343791</v>
      </c>
      <c r="CB68" s="452">
        <f>CB57/(IS!CB65*4)</f>
        <v>-0.22748669845218353</v>
      </c>
      <c r="CC68" s="453">
        <f>CC57/IS!CC65</f>
        <v>-0.24805920456231148</v>
      </c>
      <c r="CD68" s="452">
        <f>CD57/(IS!CD65*4)</f>
        <v>-0.25097207624630535</v>
      </c>
      <c r="CE68" s="452">
        <f>CE57/(IS!CE65*4)</f>
        <v>-0.18971215825158533</v>
      </c>
      <c r="CF68" s="452">
        <f ca="1">CF57/(IS!CF65*4)</f>
        <v>-0.24557297453802468</v>
      </c>
      <c r="CG68" s="452">
        <f ca="1">CG57/(IS!CG65*4)</f>
        <v>-0.29375230654807072</v>
      </c>
      <c r="CH68" s="453">
        <f ca="1">CH57/IS!CH65</f>
        <v>-0.31146573624056917</v>
      </c>
      <c r="CI68" s="452">
        <f ca="1">CI57/(IS!CI65*4)</f>
        <v>-0.43421479133284518</v>
      </c>
      <c r="CJ68" s="452">
        <f ca="1">CJ57/(IS!CJ65*4)</f>
        <v>-0.27934274060770675</v>
      </c>
      <c r="CK68" s="452">
        <f ca="1">CK57/(IS!CK65*4)</f>
        <v>-0.25296686655136114</v>
      </c>
      <c r="CL68" s="452">
        <f ca="1">CL57/(IS!CL65*4)</f>
        <v>-0.261295875610705</v>
      </c>
      <c r="CM68" s="453">
        <f ca="1">CM57/IS!CM65</f>
        <v>-0.27149083739467089</v>
      </c>
      <c r="CN68" s="452">
        <f ca="1">CN57/(IS!CN65*4)</f>
        <v>-0.43399718404210452</v>
      </c>
      <c r="CO68" s="452">
        <f ca="1">CO57/(IS!CO65*4)</f>
        <v>-0.2656388199913573</v>
      </c>
      <c r="CP68" s="452">
        <f ca="1">CP57/(IS!CP65*4)</f>
        <v>-0.24994559013164513</v>
      </c>
      <c r="CQ68" s="452">
        <f ca="1">CQ57/(IS!CQ65*4)</f>
        <v>-0.23645331814752441</v>
      </c>
      <c r="CR68" s="453">
        <f ca="1">CR57/IS!CR65</f>
        <v>-0.24269563214000883</v>
      </c>
      <c r="CS68" s="452">
        <f ca="1">CS57/(IS!CS65*4)</f>
        <v>-0.42432543193382022</v>
      </c>
      <c r="CT68" s="452">
        <f ca="1">CT57/(IS!CT65*4)</f>
        <v>-0.24447374403364594</v>
      </c>
      <c r="CU68" s="452">
        <f ca="1">CU57/(IS!CU65*4)</f>
        <v>-0.2312628543699306</v>
      </c>
      <c r="CV68" s="452">
        <f ca="1">CV57/(IS!CV65*4)</f>
        <v>-0.22842819361848821</v>
      </c>
      <c r="CW68" s="453">
        <f ca="1">CW57/IS!CW65</f>
        <v>-0.23152708036212311</v>
      </c>
      <c r="CX68" s="452">
        <f ca="1">CX57/(IS!CX65*4)</f>
        <v>-0.42032408065706028</v>
      </c>
      <c r="CY68" s="452">
        <f ca="1">CY57/(IS!CY65*4)</f>
        <v>-0.24545155472403732</v>
      </c>
      <c r="CZ68" s="452">
        <f ca="1">CZ57/(IS!CZ65*4)</f>
        <v>-0.22968565405893737</v>
      </c>
      <c r="DA68" s="452">
        <f ca="1">DA57/(IS!DA65*4)</f>
        <v>-0.22108529981369349</v>
      </c>
      <c r="DB68" s="453">
        <f ca="1">DB57/IS!DB65</f>
        <v>-0.22315008639358308</v>
      </c>
    </row>
    <row r="69" spans="1:106" ht="11.5" customHeight="1" x14ac:dyDescent="0.35">
      <c r="A69" s="16"/>
      <c r="B69" s="115"/>
      <c r="C69" s="115"/>
      <c r="D69" s="115"/>
      <c r="E69" s="115"/>
      <c r="F69" s="38"/>
      <c r="G69" s="115"/>
      <c r="H69" s="115"/>
      <c r="I69" s="115"/>
      <c r="J69" s="115"/>
      <c r="K69" s="38"/>
      <c r="L69" s="115"/>
      <c r="M69" s="115"/>
      <c r="N69" s="115"/>
      <c r="O69" s="115"/>
      <c r="P69" s="38"/>
      <c r="Q69" s="115"/>
      <c r="R69" s="115"/>
      <c r="S69" s="115"/>
      <c r="T69" s="115"/>
      <c r="U69" s="38"/>
      <c r="V69" s="115"/>
      <c r="W69" s="115"/>
      <c r="X69" s="115"/>
      <c r="Y69" s="115"/>
      <c r="Z69" s="38"/>
      <c r="AA69" s="115"/>
      <c r="AB69" s="115"/>
      <c r="AC69" s="115"/>
      <c r="AD69" s="115"/>
      <c r="AE69" s="38"/>
      <c r="AF69" s="115"/>
      <c r="AG69" s="115"/>
      <c r="AH69" s="115"/>
      <c r="AI69" s="115"/>
      <c r="AJ69" s="38"/>
      <c r="AK69" s="115"/>
      <c r="AL69" s="115"/>
      <c r="AM69" s="115"/>
      <c r="AN69" s="115"/>
      <c r="AO69" s="38"/>
      <c r="AP69" s="115"/>
      <c r="AQ69" s="115"/>
      <c r="AR69" s="115"/>
      <c r="AS69" s="115"/>
      <c r="AT69" s="38"/>
      <c r="AU69" s="115"/>
      <c r="AV69" s="115"/>
      <c r="AW69" s="115"/>
      <c r="AX69" s="115"/>
      <c r="AY69" s="38"/>
      <c r="AZ69" s="115"/>
      <c r="BA69" s="115"/>
      <c r="BB69" s="115"/>
      <c r="BC69" s="115"/>
      <c r="BD69" s="38"/>
      <c r="BE69" s="115"/>
      <c r="BF69" s="115"/>
      <c r="BG69" s="115"/>
      <c r="BH69" s="115"/>
      <c r="BI69" s="38"/>
      <c r="BJ69" s="115"/>
      <c r="BK69" s="115"/>
      <c r="BL69" s="115"/>
      <c r="BM69" s="115"/>
      <c r="BN69" s="38"/>
      <c r="BO69" s="115"/>
      <c r="BP69" s="115"/>
      <c r="BQ69" s="115"/>
      <c r="BR69" s="115"/>
      <c r="BS69" s="38"/>
      <c r="BT69" s="305"/>
      <c r="BU69" s="305"/>
      <c r="BV69" s="305"/>
      <c r="BW69" s="305"/>
      <c r="BX69" s="38"/>
      <c r="BY69" s="305"/>
      <c r="BZ69" s="305"/>
      <c r="CA69" s="564"/>
      <c r="CB69" s="68"/>
      <c r="CC69" s="352">
        <f>CC75/IS!CC45</f>
        <v>0.74185063390792338</v>
      </c>
      <c r="CD69" s="305"/>
      <c r="CE69" s="305"/>
      <c r="CF69" s="305"/>
      <c r="CG69" s="305"/>
      <c r="CH69" s="352">
        <f ca="1">CH75/IS!CH45</f>
        <v>0.73291756584737289</v>
      </c>
      <c r="CI69" s="305"/>
      <c r="CJ69" s="305"/>
      <c r="CK69" s="305"/>
      <c r="CL69" s="305"/>
      <c r="CM69" s="352">
        <f ca="1">CM75/IS!CM45</f>
        <v>0.74143848742427509</v>
      </c>
      <c r="CN69" s="115"/>
      <c r="CO69" s="115"/>
      <c r="CP69" s="115"/>
      <c r="CQ69" s="115"/>
      <c r="CR69" s="352">
        <f ca="1">CR75/IS!CR45</f>
        <v>0.86678119339443804</v>
      </c>
      <c r="CS69" s="115"/>
      <c r="CT69" s="115"/>
      <c r="CU69" s="115"/>
      <c r="CV69" s="115"/>
      <c r="CW69" s="352">
        <f ca="1">CW75/IS!CW45</f>
        <v>0.89457700255589878</v>
      </c>
      <c r="CX69" s="115"/>
      <c r="CY69" s="115"/>
      <c r="CZ69" s="115"/>
      <c r="DA69" s="115"/>
      <c r="DB69" s="352"/>
    </row>
    <row r="70" spans="1:106" ht="11.5" customHeight="1" thickBot="1" x14ac:dyDescent="0.4">
      <c r="A70" s="34" t="s">
        <v>144</v>
      </c>
      <c r="B70" s="43" t="str">
        <f>Macro!B$3</f>
        <v>1Q10</v>
      </c>
      <c r="C70" s="43" t="str">
        <f>Macro!C$3</f>
        <v>2Q10</v>
      </c>
      <c r="D70" s="43" t="str">
        <f>Macro!D$3</f>
        <v>3Q10</v>
      </c>
      <c r="E70" s="44" t="str">
        <f>Macro!E$3</f>
        <v>4Q10</v>
      </c>
      <c r="F70" s="42" t="str">
        <f>Macro!F$3</f>
        <v>2010</v>
      </c>
      <c r="G70" s="43" t="str">
        <f>Macro!G$3</f>
        <v>1Q11</v>
      </c>
      <c r="H70" s="43" t="str">
        <f>Macro!H$3</f>
        <v>2Q11</v>
      </c>
      <c r="I70" s="43" t="str">
        <f>Macro!I$3</f>
        <v>3Q11</v>
      </c>
      <c r="J70" s="44" t="str">
        <f>Macro!J$3</f>
        <v>4Q11</v>
      </c>
      <c r="K70" s="42" t="str">
        <f>Macro!K$3</f>
        <v>2011</v>
      </c>
      <c r="L70" s="43" t="str">
        <f>Macro!L$3</f>
        <v>1Q12</v>
      </c>
      <c r="M70" s="43" t="str">
        <f>Macro!M$3</f>
        <v>2Q12</v>
      </c>
      <c r="N70" s="43" t="str">
        <f>Macro!N$3</f>
        <v>3Q12</v>
      </c>
      <c r="O70" s="44" t="str">
        <f>Macro!O$3</f>
        <v>4Q12</v>
      </c>
      <c r="P70" s="42" t="str">
        <f>Macro!P$3</f>
        <v>2012</v>
      </c>
      <c r="Q70" s="43" t="str">
        <f>Macro!Q$3</f>
        <v>1Q13</v>
      </c>
      <c r="R70" s="43" t="str">
        <f>Macro!R$3</f>
        <v>2Q13</v>
      </c>
      <c r="S70" s="43" t="str">
        <f>Macro!S$3</f>
        <v>3Q13</v>
      </c>
      <c r="T70" s="44" t="str">
        <f>Macro!T$3</f>
        <v>4Q13</v>
      </c>
      <c r="U70" s="42" t="str">
        <f>Macro!U$3</f>
        <v>2013</v>
      </c>
      <c r="V70" s="43" t="str">
        <f>Macro!V$3</f>
        <v>1Q14</v>
      </c>
      <c r="W70" s="43" t="str">
        <f>Macro!W$3</f>
        <v>2Q14</v>
      </c>
      <c r="X70" s="43" t="str">
        <f>Macro!X$3</f>
        <v>3Q14</v>
      </c>
      <c r="Y70" s="44" t="str">
        <f>Macro!Y$3</f>
        <v>4Q14</v>
      </c>
      <c r="Z70" s="42" t="str">
        <f>Macro!Z$3</f>
        <v>2014</v>
      </c>
      <c r="AA70" s="43" t="str">
        <f>Macro!AA$3</f>
        <v>1Q15</v>
      </c>
      <c r="AB70" s="43" t="str">
        <f>Macro!AB$3</f>
        <v>2Q15</v>
      </c>
      <c r="AC70" s="43" t="str">
        <f>Macro!AC$3</f>
        <v>3Q15</v>
      </c>
      <c r="AD70" s="44" t="str">
        <f>Macro!AD$3</f>
        <v>4Q15</v>
      </c>
      <c r="AE70" s="42" t="str">
        <f>Macro!AE$3</f>
        <v>2015</v>
      </c>
      <c r="AF70" s="43" t="str">
        <f>Macro!AF$3</f>
        <v>1Q16</v>
      </c>
      <c r="AG70" s="43" t="str">
        <f>Macro!AG$3</f>
        <v>2Q16</v>
      </c>
      <c r="AH70" s="43" t="str">
        <f>Macro!AH$3</f>
        <v>3Q16</v>
      </c>
      <c r="AI70" s="44" t="str">
        <f>Macro!AI$3</f>
        <v>4Q16</v>
      </c>
      <c r="AJ70" s="42" t="str">
        <f>Macro!AJ$3</f>
        <v>2016</v>
      </c>
      <c r="AK70" s="43" t="str">
        <f>Macro!AK$3</f>
        <v>1Q17</v>
      </c>
      <c r="AL70" s="43" t="str">
        <f>Macro!AL$3</f>
        <v>2Q17</v>
      </c>
      <c r="AM70" s="43" t="str">
        <f>Macro!AM$3</f>
        <v>3Q17</v>
      </c>
      <c r="AN70" s="44" t="str">
        <f>Macro!AN$3</f>
        <v>4Q17</v>
      </c>
      <c r="AO70" s="42" t="str">
        <f>Macro!AO$3</f>
        <v>2017</v>
      </c>
      <c r="AP70" s="43" t="str">
        <f>Macro!AP$3</f>
        <v>1Q18</v>
      </c>
      <c r="AQ70" s="43" t="str">
        <f>Macro!AQ$3</f>
        <v>2Q18</v>
      </c>
      <c r="AR70" s="43" t="str">
        <f>Macro!AR$3</f>
        <v>3Q18</v>
      </c>
      <c r="AS70" s="44" t="str">
        <f>Macro!AS$3</f>
        <v>4Q18</v>
      </c>
      <c r="AT70" s="42" t="str">
        <f>Macro!AT$3</f>
        <v>2018</v>
      </c>
      <c r="AU70" s="43" t="str">
        <f>Macro!AU$3</f>
        <v>1Q19</v>
      </c>
      <c r="AV70" s="43" t="str">
        <f>Macro!AV$3</f>
        <v>2Q19</v>
      </c>
      <c r="AW70" s="43" t="str">
        <f>Macro!AW$3</f>
        <v>3Q19</v>
      </c>
      <c r="AX70" s="44" t="str">
        <f>Macro!AX$3</f>
        <v>4Q19</v>
      </c>
      <c r="AY70" s="42" t="str">
        <f>Macro!AY$3</f>
        <v>2019</v>
      </c>
      <c r="AZ70" s="43" t="str">
        <f>Macro!AZ$3</f>
        <v>1Q20</v>
      </c>
      <c r="BA70" s="43" t="str">
        <f>Macro!BA$3</f>
        <v>2Q20</v>
      </c>
      <c r="BB70" s="43" t="str">
        <f>Macro!BB$3</f>
        <v>3Q20</v>
      </c>
      <c r="BC70" s="44" t="str">
        <f>Macro!BC$3</f>
        <v>4Q20</v>
      </c>
      <c r="BD70" s="42" t="str">
        <f>Macro!BD$3</f>
        <v>2020</v>
      </c>
      <c r="BE70" s="43" t="str">
        <f>Macro!BE$3</f>
        <v>1Q21</v>
      </c>
      <c r="BF70" s="43" t="str">
        <f>Macro!BF$3</f>
        <v>2Q21</v>
      </c>
      <c r="BG70" s="43" t="str">
        <f>Macro!BG$3</f>
        <v>3Q21</v>
      </c>
      <c r="BH70" s="44" t="str">
        <f>Macro!BH$3</f>
        <v>4Q21</v>
      </c>
      <c r="BI70" s="42" t="str">
        <f>Macro!BI$3</f>
        <v>2021</v>
      </c>
      <c r="BJ70" s="43" t="str">
        <f>Macro!BJ$3</f>
        <v>1Q22</v>
      </c>
      <c r="BK70" s="43" t="str">
        <f>Macro!BK$3</f>
        <v>2Q22</v>
      </c>
      <c r="BL70" s="43" t="str">
        <f>Macro!BL$3</f>
        <v>3Q22</v>
      </c>
      <c r="BM70" s="44" t="str">
        <f>Macro!BM$3</f>
        <v>4Q22</v>
      </c>
      <c r="BN70" s="42" t="str">
        <f>Macro!BN$3</f>
        <v>2022</v>
      </c>
      <c r="BO70" s="43" t="str">
        <f>Macro!BO$3</f>
        <v>1Q23</v>
      </c>
      <c r="BP70" s="43" t="str">
        <f>Macro!BP$3</f>
        <v>2Q23</v>
      </c>
      <c r="BQ70" s="43" t="str">
        <f>Macro!BQ$3</f>
        <v>3Q23</v>
      </c>
      <c r="BR70" s="44" t="str">
        <f>Macro!BR$3</f>
        <v>4Q23</v>
      </c>
      <c r="BS70" s="42" t="str">
        <f>Macro!BS$3</f>
        <v>2023</v>
      </c>
      <c r="BT70" s="43" t="str">
        <f>Macro!BT$3</f>
        <v>1Q24</v>
      </c>
      <c r="BU70" s="43" t="str">
        <f>Macro!BU$3</f>
        <v>2Q24</v>
      </c>
      <c r="BV70" s="43" t="str">
        <f>Macro!BV$3</f>
        <v>3Q24</v>
      </c>
      <c r="BW70" s="44" t="str">
        <f>Macro!BW$3</f>
        <v>4Q24</v>
      </c>
      <c r="BX70" s="42" t="str">
        <f>Macro!BX$3</f>
        <v>2024</v>
      </c>
      <c r="BY70" s="43" t="str">
        <f>Macro!BY$3</f>
        <v>1Q25</v>
      </c>
      <c r="BZ70" s="35" t="str">
        <f>Macro!BZ$3</f>
        <v>2Q25</v>
      </c>
      <c r="CA70" s="35" t="str">
        <f>Macro!CA$3</f>
        <v>3Q25</v>
      </c>
      <c r="CB70" s="35" t="str">
        <f>Macro!CB$3</f>
        <v>4Q25</v>
      </c>
      <c r="CC70" s="36" t="str">
        <f>Macro!CC$3</f>
        <v>2025</v>
      </c>
      <c r="CD70" s="35" t="str">
        <f>Macro!CD$3</f>
        <v>1Q26</v>
      </c>
      <c r="CE70" s="35" t="str">
        <f>Macro!CE$3</f>
        <v>2Q26E</v>
      </c>
      <c r="CF70" s="35" t="str">
        <f>Macro!CF$3</f>
        <v>3Q26E</v>
      </c>
      <c r="CG70" s="35" t="str">
        <f>Macro!CG$3</f>
        <v>4Q26E</v>
      </c>
      <c r="CH70" s="36" t="str">
        <f>Macro!CH$3</f>
        <v>2026E</v>
      </c>
      <c r="CI70" s="35" t="str">
        <f>Macro!CI$3</f>
        <v>1Q27E</v>
      </c>
      <c r="CJ70" s="35" t="str">
        <f>Macro!CJ$3</f>
        <v>2Q27E</v>
      </c>
      <c r="CK70" s="35" t="str">
        <f>Macro!CK$3</f>
        <v>3Q27E</v>
      </c>
      <c r="CL70" s="35" t="str">
        <f>Macro!CL$3</f>
        <v>4Q27E</v>
      </c>
      <c r="CM70" s="36" t="str">
        <f>Macro!CM$3</f>
        <v>2027E</v>
      </c>
      <c r="CN70" s="35" t="str">
        <f>Macro!CN$3</f>
        <v>1Q28E</v>
      </c>
      <c r="CO70" s="35" t="str">
        <f>Macro!CO$3</f>
        <v>2Q28E</v>
      </c>
      <c r="CP70" s="35" t="str">
        <f>Macro!CP$3</f>
        <v>3Q28E</v>
      </c>
      <c r="CQ70" s="35" t="str">
        <f>Macro!CQ$3</f>
        <v>4Q28E</v>
      </c>
      <c r="CR70" s="36" t="str">
        <f>Macro!CR$3</f>
        <v>2028E</v>
      </c>
      <c r="CS70" s="35" t="str">
        <f>Macro!CS$3</f>
        <v>1Q29E</v>
      </c>
      <c r="CT70" s="35" t="str">
        <f>Macro!CT$3</f>
        <v>2Q29E</v>
      </c>
      <c r="CU70" s="35" t="str">
        <f>Macro!CU$3</f>
        <v>3Q29E</v>
      </c>
      <c r="CV70" s="35" t="str">
        <f>Macro!CV$3</f>
        <v>4Q29E</v>
      </c>
      <c r="CW70" s="36" t="str">
        <f>Macro!CW$3</f>
        <v>2029E</v>
      </c>
      <c r="CX70" s="35" t="str">
        <f>Macro!CX$3</f>
        <v>1Q30E</v>
      </c>
      <c r="CY70" s="35" t="str">
        <f>Macro!CY$3</f>
        <v>2Q30E</v>
      </c>
      <c r="CZ70" s="35" t="str">
        <f>Macro!CZ$3</f>
        <v>3Q30E</v>
      </c>
      <c r="DA70" s="35" t="str">
        <f>Macro!DA$3</f>
        <v>4Q30E</v>
      </c>
      <c r="DB70" s="36" t="str">
        <f>Macro!DB$3</f>
        <v>2030E</v>
      </c>
    </row>
    <row r="71" spans="1:106" ht="11.5" customHeight="1" x14ac:dyDescent="0.35">
      <c r="A71" s="16" t="s">
        <v>127</v>
      </c>
      <c r="B71" s="115" t="e">
        <f t="shared" ref="B71:E71" si="455">B64-A64</f>
        <v>#VALUE!</v>
      </c>
      <c r="C71" s="115">
        <f t="shared" si="455"/>
        <v>0</v>
      </c>
      <c r="D71" s="115">
        <f t="shared" si="455"/>
        <v>0</v>
      </c>
      <c r="E71" s="115">
        <f t="shared" si="455"/>
        <v>0</v>
      </c>
      <c r="F71" s="38" t="e">
        <f t="shared" ref="F71" si="456">F64-A64</f>
        <v>#VALUE!</v>
      </c>
      <c r="G71" s="115">
        <f t="shared" ref="G71:J71" si="457">G64-F64</f>
        <v>0</v>
      </c>
      <c r="H71" s="115">
        <f t="shared" si="457"/>
        <v>0</v>
      </c>
      <c r="I71" s="115">
        <f t="shared" si="457"/>
        <v>0</v>
      </c>
      <c r="J71" s="115">
        <f t="shared" si="457"/>
        <v>0</v>
      </c>
      <c r="K71" s="38">
        <f t="shared" ref="K71" si="458">K64-F64</f>
        <v>0</v>
      </c>
      <c r="L71" s="115">
        <f t="shared" ref="L71:O71" si="459">L64-K64</f>
        <v>0</v>
      </c>
      <c r="M71" s="115">
        <f t="shared" si="459"/>
        <v>0</v>
      </c>
      <c r="N71" s="115">
        <f t="shared" si="459"/>
        <v>0</v>
      </c>
      <c r="O71" s="115">
        <f t="shared" si="459"/>
        <v>0</v>
      </c>
      <c r="P71" s="38">
        <f t="shared" ref="P71" si="460">P64-K64</f>
        <v>0</v>
      </c>
      <c r="Q71" s="115">
        <f t="shared" ref="Q71:T71" si="461">Q64-P64</f>
        <v>0</v>
      </c>
      <c r="R71" s="115">
        <f t="shared" si="461"/>
        <v>0</v>
      </c>
      <c r="S71" s="115">
        <f t="shared" si="461"/>
        <v>0</v>
      </c>
      <c r="T71" s="115">
        <f t="shared" si="461"/>
        <v>0</v>
      </c>
      <c r="U71" s="38">
        <f t="shared" ref="U71" si="462">U64-P64</f>
        <v>0</v>
      </c>
      <c r="V71" s="115">
        <f t="shared" ref="V71:Y71" si="463">V64-U64</f>
        <v>0</v>
      </c>
      <c r="W71" s="115">
        <f t="shared" si="463"/>
        <v>0</v>
      </c>
      <c r="X71" s="115">
        <f t="shared" si="463"/>
        <v>0</v>
      </c>
      <c r="Y71" s="115">
        <f t="shared" si="463"/>
        <v>0</v>
      </c>
      <c r="Z71" s="38">
        <f t="shared" ref="Z71" si="464">Z64-U64</f>
        <v>0</v>
      </c>
      <c r="AA71" s="115">
        <f t="shared" ref="AA71:AD71" si="465">AA64-Z64</f>
        <v>0</v>
      </c>
      <c r="AB71" s="115">
        <f t="shared" si="465"/>
        <v>0</v>
      </c>
      <c r="AC71" s="115">
        <f t="shared" si="465"/>
        <v>0</v>
      </c>
      <c r="AD71" s="115">
        <f t="shared" si="465"/>
        <v>0</v>
      </c>
      <c r="AE71" s="38">
        <f t="shared" ref="AE71" si="466">AE64-Z64</f>
        <v>0</v>
      </c>
      <c r="AF71" s="115">
        <f>AF64-AE64</f>
        <v>0</v>
      </c>
      <c r="AG71" s="115">
        <f>AG64-AF64</f>
        <v>0</v>
      </c>
      <c r="AH71" s="115">
        <f>AH64-AG64</f>
        <v>0</v>
      </c>
      <c r="AI71" s="115">
        <f>AI64-AH64</f>
        <v>0</v>
      </c>
      <c r="AJ71" s="38">
        <f>AJ64-AE64</f>
        <v>0</v>
      </c>
      <c r="AK71" s="115">
        <f>AK64-AJ64</f>
        <v>66507</v>
      </c>
      <c r="AL71" s="115">
        <f>AL64-AK64</f>
        <v>10268</v>
      </c>
      <c r="AM71" s="115">
        <f>AM64-AL64</f>
        <v>462</v>
      </c>
      <c r="AN71" s="115">
        <f>AN64-AM64</f>
        <v>-54418</v>
      </c>
      <c r="AO71" s="38">
        <f>AO64-AJ64</f>
        <v>22819</v>
      </c>
      <c r="AP71" s="115">
        <f>AP64-AO64</f>
        <v>-1043</v>
      </c>
      <c r="AQ71" s="115">
        <f>AQ64-AP64</f>
        <v>-28242</v>
      </c>
      <c r="AR71" s="115">
        <f>AR64-AQ64</f>
        <v>86580</v>
      </c>
      <c r="AS71" s="115">
        <f>AS64-AR64</f>
        <v>-37584</v>
      </c>
      <c r="AT71" s="38">
        <f>AT64-AO64</f>
        <v>19711</v>
      </c>
      <c r="AU71" s="115">
        <f>AU64-AT64</f>
        <v>-10320</v>
      </c>
      <c r="AV71" s="115">
        <f>AV64-AU64</f>
        <v>-42029</v>
      </c>
      <c r="AW71" s="115">
        <f>AW64-AV64</f>
        <v>-13646</v>
      </c>
      <c r="AX71" s="115">
        <f>AX64-AW64</f>
        <v>28365</v>
      </c>
      <c r="AY71" s="38">
        <f>AY64-AT64</f>
        <v>-37630</v>
      </c>
      <c r="AZ71" s="115">
        <f>AZ64-AY64</f>
        <v>-7452</v>
      </c>
      <c r="BA71" s="115">
        <f>BA64-AZ64</f>
        <v>-66504</v>
      </c>
      <c r="BB71" s="115">
        <f>BB64-BA64</f>
        <v>-226939</v>
      </c>
      <c r="BC71" s="115">
        <f>BC64-BB64</f>
        <v>149321</v>
      </c>
      <c r="BD71" s="38">
        <f>BD64-AY64</f>
        <v>-151574</v>
      </c>
      <c r="BE71" s="115">
        <f>BE64-BD64</f>
        <v>-8439</v>
      </c>
      <c r="BF71" s="115">
        <f>BF64-BE64</f>
        <v>-65837</v>
      </c>
      <c r="BG71" s="115">
        <f>BG64-BF64</f>
        <v>56999</v>
      </c>
      <c r="BH71" s="115">
        <f>BH64-BG64</f>
        <v>-39308</v>
      </c>
      <c r="BI71" s="38">
        <f>BI64-BD64</f>
        <v>-56585</v>
      </c>
      <c r="BJ71" s="115">
        <f>BJ64-BI64</f>
        <v>-8447</v>
      </c>
      <c r="BK71" s="115">
        <f>BK64-BJ64</f>
        <v>-69299</v>
      </c>
      <c r="BL71" s="115">
        <f>BL64-BK64</f>
        <v>102118</v>
      </c>
      <c r="BM71" s="115">
        <f>BM64-BL64</f>
        <v>-129551</v>
      </c>
      <c r="BN71" s="38">
        <f>BN64-BI64</f>
        <v>-105179</v>
      </c>
      <c r="BO71" s="115">
        <f>BO64-BN64</f>
        <v>53132</v>
      </c>
      <c r="BP71" s="115">
        <f>BP64-BO64</f>
        <v>-80477</v>
      </c>
      <c r="BQ71" s="115">
        <f>BQ64-BP64</f>
        <v>-127573</v>
      </c>
      <c r="BR71" s="115">
        <f>BR64-BQ64</f>
        <v>84439</v>
      </c>
      <c r="BS71" s="38">
        <f>BS64-BN64</f>
        <v>-70479</v>
      </c>
      <c r="BT71" s="115">
        <f>BT64-BS64</f>
        <v>-30861</v>
      </c>
      <c r="BU71" s="115">
        <f>BU64-BT64</f>
        <v>-67504</v>
      </c>
      <c r="BV71" s="115">
        <f>BV64-BU64</f>
        <v>154592</v>
      </c>
      <c r="BW71" s="115">
        <f>BW64-BV64</f>
        <v>-107164</v>
      </c>
      <c r="BX71" s="38">
        <f>BX64-BS64</f>
        <v>-50937</v>
      </c>
      <c r="BY71" s="115">
        <f>BY64-BX64</f>
        <v>168859</v>
      </c>
      <c r="BZ71" s="115">
        <f>BZ64-BY64</f>
        <v>33232</v>
      </c>
      <c r="CA71" s="115">
        <f>CA64-BZ64</f>
        <v>-222454</v>
      </c>
      <c r="CB71" s="115">
        <f>CB64-CA64</f>
        <v>134167</v>
      </c>
      <c r="CC71" s="38">
        <f>CC64-BX64</f>
        <v>113804</v>
      </c>
      <c r="CD71" s="115">
        <f>CD64-CC64</f>
        <v>-90844</v>
      </c>
      <c r="CE71" s="115">
        <f>CE64-CD64</f>
        <v>116343</v>
      </c>
      <c r="CF71" s="115">
        <f ca="1">CF64-CE64</f>
        <v>-101312.86679062527</v>
      </c>
      <c r="CG71" s="115">
        <f ca="1">CG64-CF64</f>
        <v>-111249.28058060259</v>
      </c>
      <c r="CH71" s="38">
        <f ca="1">CH64-CC64</f>
        <v>-187063.14737122785</v>
      </c>
      <c r="CI71" s="115">
        <f ca="1">CI64-CH64</f>
        <v>-277993.91778857587</v>
      </c>
      <c r="CJ71" s="115">
        <f ca="1">CJ64-CI64</f>
        <v>238625.06023921166</v>
      </c>
      <c r="CK71" s="115">
        <f ca="1">CK64-CJ64</f>
        <v>10428.689142380608</v>
      </c>
      <c r="CL71" s="115">
        <f ca="1">CL64-CK64</f>
        <v>-3792.7838832437992</v>
      </c>
      <c r="CM71" s="38">
        <f ca="1">CM64-CH64</f>
        <v>-32732.952290227404</v>
      </c>
      <c r="CN71" s="115">
        <f ca="1">CN64-CM64</f>
        <v>-400190.98156570969</v>
      </c>
      <c r="CO71" s="115">
        <f ca="1">CO64-CN64</f>
        <v>372117.93113021948</v>
      </c>
      <c r="CP71" s="115">
        <f ca="1">CP64-CO64</f>
        <v>3708.8422415051609</v>
      </c>
      <c r="CQ71" s="115">
        <f ca="1">CQ64-CP64</f>
        <v>27988.214112748625</v>
      </c>
      <c r="CR71" s="38">
        <f ca="1">CR64-CM64</f>
        <v>3624.0059187635779</v>
      </c>
      <c r="CS71" s="115">
        <f ca="1">CS64-CR64</f>
        <v>-456965.00483710016</v>
      </c>
      <c r="CT71" s="115">
        <f ca="1">CT64-CS64</f>
        <v>436516.45451719593</v>
      </c>
      <c r="CU71" s="115">
        <f ca="1">CU64-CT64</f>
        <v>5911.7292822774034</v>
      </c>
      <c r="CV71" s="115">
        <f ca="1">CV64-CU64</f>
        <v>7479.5842161593027</v>
      </c>
      <c r="CW71" s="38">
        <f ca="1">CW64-CR64</f>
        <v>-7057.2368214675225</v>
      </c>
      <c r="CX71" s="115">
        <f ca="1">CX64-CW64</f>
        <v>-499801.3041729359</v>
      </c>
      <c r="CY71" s="115">
        <f ca="1">CY64-CX64</f>
        <v>452482.68627439882</v>
      </c>
      <c r="CZ71" s="115">
        <f ca="1">CZ64-CY64</f>
        <v>14507.760019213194</v>
      </c>
      <c r="DA71" s="115">
        <f ca="1">DA64-CZ64</f>
        <v>23462.260001338087</v>
      </c>
      <c r="DB71" s="38">
        <f ca="1">DB64-CW64</f>
        <v>-9348.5978779857978</v>
      </c>
    </row>
    <row r="72" spans="1:106" ht="11.5" customHeight="1" x14ac:dyDescent="0.35">
      <c r="A72" s="19" t="s">
        <v>125</v>
      </c>
      <c r="B72" s="421">
        <v>0</v>
      </c>
      <c r="C72" s="421">
        <v>0</v>
      </c>
      <c r="D72" s="421">
        <v>0</v>
      </c>
      <c r="E72" s="421">
        <v>0</v>
      </c>
      <c r="F72" s="28">
        <f t="shared" ref="F72:F74" si="467">SUM(B72:E72)</f>
        <v>0</v>
      </c>
      <c r="G72" s="421">
        <v>0</v>
      </c>
      <c r="H72" s="421">
        <v>0</v>
      </c>
      <c r="I72" s="421">
        <v>0</v>
      </c>
      <c r="J72" s="421">
        <v>0</v>
      </c>
      <c r="K72" s="28">
        <f t="shared" ref="K72:K74" si="468">SUM(G72:J72)</f>
        <v>0</v>
      </c>
      <c r="L72" s="421">
        <v>0</v>
      </c>
      <c r="M72" s="421">
        <v>0</v>
      </c>
      <c r="N72" s="421">
        <v>0</v>
      </c>
      <c r="O72" s="421">
        <v>0</v>
      </c>
      <c r="P72" s="28">
        <f t="shared" ref="P72:P74" si="469">SUM(L72:O72)</f>
        <v>0</v>
      </c>
      <c r="Q72" s="421">
        <v>0</v>
      </c>
      <c r="R72" s="421">
        <v>0</v>
      </c>
      <c r="S72" s="421">
        <v>0</v>
      </c>
      <c r="T72" s="421">
        <v>0</v>
      </c>
      <c r="U72" s="28">
        <f t="shared" ref="U72:U74" si="470">SUM(Q72:T72)</f>
        <v>0</v>
      </c>
      <c r="V72" s="421">
        <v>0</v>
      </c>
      <c r="W72" s="421">
        <v>0</v>
      </c>
      <c r="X72" s="421">
        <v>0</v>
      </c>
      <c r="Y72" s="421">
        <v>0</v>
      </c>
      <c r="Z72" s="28">
        <f t="shared" ref="Z72:Z74" si="471">SUM(V72:Y72)</f>
        <v>0</v>
      </c>
      <c r="AA72" s="421">
        <v>0</v>
      </c>
      <c r="AB72" s="421">
        <v>0</v>
      </c>
      <c r="AC72" s="421">
        <v>0</v>
      </c>
      <c r="AD72" s="421">
        <v>0</v>
      </c>
      <c r="AE72" s="28">
        <f t="shared" ref="AE72:AE74" si="472">SUM(AA72:AD72)</f>
        <v>0</v>
      </c>
      <c r="AF72" s="421">
        <v>0</v>
      </c>
      <c r="AG72" s="421">
        <v>0</v>
      </c>
      <c r="AH72" s="421">
        <v>0</v>
      </c>
      <c r="AI72" s="421">
        <v>0</v>
      </c>
      <c r="AJ72" s="28">
        <f>SUM(AF72:AI72)</f>
        <v>0</v>
      </c>
      <c r="AK72" s="421">
        <v>0</v>
      </c>
      <c r="AL72" s="421">
        <v>0</v>
      </c>
      <c r="AM72" s="421">
        <v>0</v>
      </c>
      <c r="AN72" s="421">
        <v>-69023</v>
      </c>
      <c r="AO72" s="28">
        <f>SUM(AK72:AN72)</f>
        <v>-69023</v>
      </c>
      <c r="AP72" s="421">
        <v>0</v>
      </c>
      <c r="AQ72" s="421">
        <v>0</v>
      </c>
      <c r="AR72" s="421">
        <v>0</v>
      </c>
      <c r="AS72" s="421">
        <v>-141000</v>
      </c>
      <c r="AT72" s="28">
        <f t="shared" ref="AT72" si="473">SUM(AP72:AS72)</f>
        <v>-141000</v>
      </c>
      <c r="AU72" s="421">
        <v>-10880</v>
      </c>
      <c r="AV72" s="421">
        <v>-1232</v>
      </c>
      <c r="AW72" s="421">
        <v>12112</v>
      </c>
      <c r="AX72" s="421">
        <f>-134369-SUM(AU72:AW72)</f>
        <v>-134369</v>
      </c>
      <c r="AY72" s="28">
        <f t="shared" ref="AY72" si="474">SUM(AU72:AX72)</f>
        <v>-134369</v>
      </c>
      <c r="AZ72" s="421">
        <v>0</v>
      </c>
      <c r="BA72" s="421">
        <v>0</v>
      </c>
      <c r="BB72" s="421">
        <v>0</v>
      </c>
      <c r="BC72" s="421">
        <f>-170000-SUM(AZ72:BB72)</f>
        <v>-170000</v>
      </c>
      <c r="BD72" s="28">
        <f t="shared" ref="BD72" si="475">SUM(AZ72:BC72)</f>
        <v>-170000</v>
      </c>
      <c r="BE72" s="421">
        <v>0</v>
      </c>
      <c r="BF72" s="421">
        <v>0</v>
      </c>
      <c r="BG72" s="421">
        <f>-115000-SUM(BE72:BF72)</f>
        <v>-115000</v>
      </c>
      <c r="BH72" s="421">
        <f>-165000-SUM(BE72:BG72)</f>
        <v>-50000</v>
      </c>
      <c r="BI72" s="28">
        <f t="shared" ref="BI72" si="476">SUM(BE72:BH72)</f>
        <v>-165000</v>
      </c>
      <c r="BJ72" s="421">
        <v>0</v>
      </c>
      <c r="BK72" s="421">
        <v>0</v>
      </c>
      <c r="BL72" s="421">
        <f>-150000-SUM(BJ72:BK72)</f>
        <v>-150000</v>
      </c>
      <c r="BM72" s="421">
        <f>-150000-SUM(BJ72:BL72)</f>
        <v>0</v>
      </c>
      <c r="BN72" s="28">
        <f t="shared" ref="BN72" si="477">SUM(BJ72:BM72)</f>
        <v>-150000</v>
      </c>
      <c r="BO72" s="421">
        <v>-60000</v>
      </c>
      <c r="BP72" s="421">
        <f>-78348-BO72</f>
        <v>-18348</v>
      </c>
      <c r="BQ72" s="421">
        <f>-78348-SUM(BO72:BP72)</f>
        <v>0</v>
      </c>
      <c r="BR72" s="421">
        <f>-328348-SUM(BO72:BQ72)</f>
        <v>-250000</v>
      </c>
      <c r="BS72" s="28">
        <f>SUM(BO72:BR72)</f>
        <v>-328348</v>
      </c>
      <c r="BT72" s="421">
        <v>0</v>
      </c>
      <c r="BU72" s="421">
        <f>-118537-BT72</f>
        <v>-118537</v>
      </c>
      <c r="BV72" s="421">
        <f>-383537-SUM(BT72:BU72)</f>
        <v>-265000</v>
      </c>
      <c r="BW72" s="421">
        <f>-483537-SUM(BT72:BV72)</f>
        <v>-100000</v>
      </c>
      <c r="BX72" s="28">
        <f>SUM(BT72:BW72)</f>
        <v>-483537</v>
      </c>
      <c r="BY72" s="421">
        <v>-175000</v>
      </c>
      <c r="BZ72" s="421">
        <f>-329338-BY72</f>
        <v>-154338</v>
      </c>
      <c r="CA72" s="421">
        <f>-329338-BZ72-BY72</f>
        <v>0</v>
      </c>
      <c r="CB72" s="421">
        <f>-1352338-SUM(BY72:CA72)</f>
        <v>-1023000</v>
      </c>
      <c r="CC72" s="28">
        <f>SUM(BY72:CB72)</f>
        <v>-1352338</v>
      </c>
      <c r="CD72" s="421">
        <v>0</v>
      </c>
      <c r="CE72" s="421">
        <v>-270000</v>
      </c>
      <c r="CF72" s="423">
        <f>-IS!CF55+(CF39-CE39)</f>
        <v>-220000</v>
      </c>
      <c r="CG72" s="423">
        <f ca="1">-IS!CG55+(CG39-CF39)</f>
        <v>-213882.54970590794</v>
      </c>
      <c r="CH72" s="28">
        <f ca="1">SUM(CD72:CG72)</f>
        <v>-703882.54970590794</v>
      </c>
      <c r="CI72" s="423">
        <f ca="1">-IS!CI55+(CI39-CH39)</f>
        <v>0</v>
      </c>
      <c r="CJ72" s="423">
        <f ca="1">-IS!CJ55+(CJ39-CI39)</f>
        <v>-512202.89636864694</v>
      </c>
      <c r="CK72" s="423">
        <f ca="1">-IS!CK55+(CK39-CJ39)</f>
        <v>-281692.70141805016</v>
      </c>
      <c r="CL72" s="423">
        <f ca="1">-IS!CL55+(CL39-CK39)</f>
        <v>-306985.42032867251</v>
      </c>
      <c r="CM72" s="28">
        <f ca="1">SUM(CI72:CL72)</f>
        <v>-1100881.0181153696</v>
      </c>
      <c r="CN72" s="423">
        <f ca="1">-IS!CN55+(CN39-CM39)</f>
        <v>0</v>
      </c>
      <c r="CO72" s="423">
        <f ca="1">-IS!CO55+(CO39-CN39)</f>
        <v>-763161.86835249537</v>
      </c>
      <c r="CP72" s="423">
        <f ca="1">-IS!CP55+(CP39-CO39)</f>
        <v>-393217.15833893727</v>
      </c>
      <c r="CQ72" s="423">
        <f ca="1">-IS!CQ55+(CQ39-CP39)</f>
        <v>-411871.78247888427</v>
      </c>
      <c r="CR72" s="28">
        <f ca="1">SUM(CN72:CQ72)</f>
        <v>-1568250.8091703169</v>
      </c>
      <c r="CS72" s="423">
        <f ca="1">-IS!CS55+(CS39-CR39)</f>
        <v>0</v>
      </c>
      <c r="CT72" s="423">
        <f ca="1">-IS!CT55+(CT39-CS39)</f>
        <v>-851847.29830371239</v>
      </c>
      <c r="CU72" s="423">
        <f ca="1">-IS!CU55+(CU39-CT39)</f>
        <v>-417663.13594731269</v>
      </c>
      <c r="CV72" s="423">
        <f ca="1">-IS!CV55+(CV39-CU39)</f>
        <v>-431851.04675325821</v>
      </c>
      <c r="CW72" s="28">
        <f ca="1">SUM(CS72:CV72)</f>
        <v>-1701361.4810042833</v>
      </c>
      <c r="CX72" s="423">
        <f ca="1">-IS!CX55+(CX39-CW39)</f>
        <v>0</v>
      </c>
      <c r="CY72" s="423">
        <f ca="1">-IS!CY55+(CY39-CX39)</f>
        <v>-895009.75412111077</v>
      </c>
      <c r="CZ72" s="423">
        <f ca="1">-IS!CZ55+(CZ39-CY39)</f>
        <v>-441367.39086245006</v>
      </c>
      <c r="DA72" s="423">
        <f ca="1">-IS!DA55+(DA39-CZ39)</f>
        <v>-454896.57748649246</v>
      </c>
      <c r="DB72" s="28">
        <f ca="1">SUM(CX72:DA72)</f>
        <v>-1791273.7224700532</v>
      </c>
    </row>
    <row r="73" spans="1:106" ht="11.5" customHeight="1" x14ac:dyDescent="0.35">
      <c r="A73" s="19" t="s">
        <v>126</v>
      </c>
      <c r="B73" s="421">
        <v>0</v>
      </c>
      <c r="C73" s="421">
        <v>0</v>
      </c>
      <c r="D73" s="421">
        <v>0</v>
      </c>
      <c r="E73" s="421">
        <v>0</v>
      </c>
      <c r="F73" s="28">
        <f t="shared" si="467"/>
        <v>0</v>
      </c>
      <c r="G73" s="421">
        <v>0</v>
      </c>
      <c r="H73" s="421">
        <v>0</v>
      </c>
      <c r="I73" s="421">
        <v>0</v>
      </c>
      <c r="J73" s="421">
        <v>0</v>
      </c>
      <c r="K73" s="28">
        <f t="shared" si="468"/>
        <v>0</v>
      </c>
      <c r="L73" s="421">
        <v>0</v>
      </c>
      <c r="M73" s="421">
        <v>0</v>
      </c>
      <c r="N73" s="421">
        <v>0</v>
      </c>
      <c r="O73" s="421">
        <v>0</v>
      </c>
      <c r="P73" s="28">
        <f t="shared" si="469"/>
        <v>0</v>
      </c>
      <c r="Q73" s="421">
        <v>0</v>
      </c>
      <c r="R73" s="421">
        <v>0</v>
      </c>
      <c r="S73" s="421">
        <v>0</v>
      </c>
      <c r="T73" s="421">
        <v>0</v>
      </c>
      <c r="U73" s="28">
        <f t="shared" si="470"/>
        <v>0</v>
      </c>
      <c r="V73" s="421">
        <v>0</v>
      </c>
      <c r="W73" s="421">
        <v>0</v>
      </c>
      <c r="X73" s="421">
        <v>0</v>
      </c>
      <c r="Y73" s="421">
        <v>0</v>
      </c>
      <c r="Z73" s="28">
        <f t="shared" si="471"/>
        <v>0</v>
      </c>
      <c r="AA73" s="421">
        <v>0</v>
      </c>
      <c r="AB73" s="421">
        <v>0</v>
      </c>
      <c r="AC73" s="421">
        <v>0</v>
      </c>
      <c r="AD73" s="421">
        <v>0</v>
      </c>
      <c r="AE73" s="28">
        <f t="shared" si="472"/>
        <v>0</v>
      </c>
      <c r="AF73" s="421">
        <v>0</v>
      </c>
      <c r="AG73" s="421">
        <v>0</v>
      </c>
      <c r="AH73" s="421">
        <v>0</v>
      </c>
      <c r="AI73" s="421">
        <v>0</v>
      </c>
      <c r="AJ73" s="28">
        <f>SUM(AF73:AI73)</f>
        <v>0</v>
      </c>
      <c r="AK73" s="421">
        <v>0</v>
      </c>
      <c r="AL73" s="421">
        <v>0</v>
      </c>
      <c r="AM73" s="421">
        <v>0</v>
      </c>
      <c r="AN73" s="421">
        <v>0</v>
      </c>
      <c r="AO73" s="28">
        <f>SUM(AK73:AN73)</f>
        <v>0</v>
      </c>
      <c r="AP73" s="421">
        <v>0</v>
      </c>
      <c r="AQ73" s="421">
        <v>0</v>
      </c>
      <c r="AR73" s="421">
        <v>0</v>
      </c>
      <c r="AS73" s="421">
        <v>0</v>
      </c>
      <c r="AT73" s="28">
        <f>SUM(AP73:AS73)</f>
        <v>0</v>
      </c>
      <c r="AU73" s="421">
        <v>0</v>
      </c>
      <c r="AV73" s="421">
        <v>0</v>
      </c>
      <c r="AW73" s="421">
        <v>0</v>
      </c>
      <c r="AX73" s="421">
        <v>0</v>
      </c>
      <c r="AY73" s="28">
        <f>SUM(AU73:AX73)</f>
        <v>0</v>
      </c>
      <c r="AZ73" s="421">
        <v>0</v>
      </c>
      <c r="BA73" s="421">
        <v>0</v>
      </c>
      <c r="BB73" s="421">
        <v>0</v>
      </c>
      <c r="BC73" s="421">
        <v>0</v>
      </c>
      <c r="BD73" s="28">
        <f>SUM(AZ73:BC73)</f>
        <v>0</v>
      </c>
      <c r="BE73" s="421">
        <v>0</v>
      </c>
      <c r="BF73" s="421">
        <v>0</v>
      </c>
      <c r="BG73" s="421">
        <v>0</v>
      </c>
      <c r="BH73" s="421">
        <v>-121</v>
      </c>
      <c r="BI73" s="28">
        <f>SUM(BE73:BH73)</f>
        <v>-121</v>
      </c>
      <c r="BJ73" s="421">
        <v>-4894</v>
      </c>
      <c r="BK73" s="421">
        <f>-12089-BJ73</f>
        <v>-7195</v>
      </c>
      <c r="BL73" s="421">
        <f>-12089-BK73-BJ73</f>
        <v>0</v>
      </c>
      <c r="BM73" s="421">
        <v>0</v>
      </c>
      <c r="BN73" s="28">
        <f>SUM(BJ73:BM73)</f>
        <v>-12089</v>
      </c>
      <c r="BO73" s="421">
        <v>0</v>
      </c>
      <c r="BP73" s="421">
        <v>0</v>
      </c>
      <c r="BQ73" s="421">
        <v>0</v>
      </c>
      <c r="BR73" s="421">
        <v>0</v>
      </c>
      <c r="BS73" s="28">
        <f>SUM(BO73:BR73)</f>
        <v>0</v>
      </c>
      <c r="BT73" s="421">
        <v>0</v>
      </c>
      <c r="BU73" s="421">
        <v>0</v>
      </c>
      <c r="BV73" s="421">
        <v>0</v>
      </c>
      <c r="BW73" s="421">
        <v>0</v>
      </c>
      <c r="BX73" s="28">
        <f>SUM(BT73:BW73)</f>
        <v>0</v>
      </c>
      <c r="BY73" s="421">
        <v>0</v>
      </c>
      <c r="BZ73" s="421">
        <v>59292</v>
      </c>
      <c r="CA73" s="421">
        <v>0</v>
      </c>
      <c r="CB73" s="421">
        <f>-59292-SUM(BY73:CA73)</f>
        <v>-118584</v>
      </c>
      <c r="CC73" s="28">
        <f>SUM(BY73:CB73)</f>
        <v>-59292</v>
      </c>
      <c r="CD73" s="421">
        <v>0</v>
      </c>
      <c r="CE73" s="421">
        <v>0</v>
      </c>
      <c r="CF73" s="423">
        <f>IS!CF50*Valuation!$B$6</f>
        <v>0</v>
      </c>
      <c r="CG73" s="423">
        <f>IS!CG50*Valuation!$B$6</f>
        <v>0</v>
      </c>
      <c r="CH73" s="28">
        <f>SUM(CD73:CG73)</f>
        <v>0</v>
      </c>
      <c r="CI73" s="423">
        <f>IS!CI50*Valuation!$B$6</f>
        <v>0</v>
      </c>
      <c r="CJ73" s="423">
        <f>IS!CJ50*Valuation!$B$6</f>
        <v>0</v>
      </c>
      <c r="CK73" s="423">
        <f>IS!CK50*Valuation!$B$6</f>
        <v>0</v>
      </c>
      <c r="CL73" s="423">
        <f>IS!CL50*Valuation!$B$6</f>
        <v>0</v>
      </c>
      <c r="CM73" s="28">
        <f t="shared" ref="CM73" si="478">SUM(CI73:CL73)</f>
        <v>0</v>
      </c>
      <c r="CN73" s="423">
        <f>IS!CN50*Valuation!$B$6</f>
        <v>0</v>
      </c>
      <c r="CO73" s="423">
        <f>IS!CO50*Valuation!$B$6</f>
        <v>0</v>
      </c>
      <c r="CP73" s="423">
        <f>IS!CP50*Valuation!$B$6</f>
        <v>0</v>
      </c>
      <c r="CQ73" s="423">
        <f>IS!CQ50*Valuation!$B$6</f>
        <v>0</v>
      </c>
      <c r="CR73" s="28">
        <f t="shared" ref="CR73" si="479">SUM(CN73:CQ73)</f>
        <v>0</v>
      </c>
      <c r="CS73" s="423">
        <f>IS!CS50*Valuation!$B$6</f>
        <v>0</v>
      </c>
      <c r="CT73" s="423">
        <f>IS!CT50*Valuation!$B$6</f>
        <v>0</v>
      </c>
      <c r="CU73" s="423">
        <f>IS!CU50*Valuation!$B$6</f>
        <v>0</v>
      </c>
      <c r="CV73" s="423">
        <f>IS!CV50*Valuation!$B$6</f>
        <v>0</v>
      </c>
      <c r="CW73" s="28">
        <f t="shared" ref="CW73" si="480">SUM(CS73:CV73)</f>
        <v>0</v>
      </c>
      <c r="CX73" s="423">
        <f>IS!CX50*Valuation!$B$6</f>
        <v>0</v>
      </c>
      <c r="CY73" s="423">
        <f>IS!CY50*Valuation!$B$6</f>
        <v>0</v>
      </c>
      <c r="CZ73" s="423">
        <f>IS!CZ50*Valuation!$B$6</f>
        <v>0</v>
      </c>
      <c r="DA73" s="423">
        <f>IS!DA50*Valuation!$B$6</f>
        <v>0</v>
      </c>
      <c r="DB73" s="28">
        <f t="shared" ref="DB73" si="481">SUM(CX73:DA73)</f>
        <v>0</v>
      </c>
    </row>
    <row r="74" spans="1:106" ht="11.5" customHeight="1" x14ac:dyDescent="0.35">
      <c r="A74" s="19" t="s">
        <v>128</v>
      </c>
      <c r="B74" s="421">
        <v>0</v>
      </c>
      <c r="C74" s="421">
        <v>0</v>
      </c>
      <c r="D74" s="421">
        <v>0</v>
      </c>
      <c r="E74" s="421">
        <v>0</v>
      </c>
      <c r="F74" s="28">
        <f t="shared" si="467"/>
        <v>0</v>
      </c>
      <c r="G74" s="421">
        <v>0</v>
      </c>
      <c r="H74" s="421">
        <v>0</v>
      </c>
      <c r="I74" s="421">
        <v>0</v>
      </c>
      <c r="J74" s="421">
        <v>0</v>
      </c>
      <c r="K74" s="28">
        <f t="shared" si="468"/>
        <v>0</v>
      </c>
      <c r="L74" s="421">
        <v>0</v>
      </c>
      <c r="M74" s="421">
        <v>0</v>
      </c>
      <c r="N74" s="421">
        <v>0</v>
      </c>
      <c r="O74" s="421">
        <v>0</v>
      </c>
      <c r="P74" s="28">
        <f t="shared" si="469"/>
        <v>0</v>
      </c>
      <c r="Q74" s="421">
        <v>0</v>
      </c>
      <c r="R74" s="421">
        <v>0</v>
      </c>
      <c r="S74" s="421">
        <v>0</v>
      </c>
      <c r="T74" s="421">
        <v>0</v>
      </c>
      <c r="U74" s="28">
        <f t="shared" si="470"/>
        <v>0</v>
      </c>
      <c r="V74" s="421">
        <v>0</v>
      </c>
      <c r="W74" s="421">
        <v>0</v>
      </c>
      <c r="X74" s="421">
        <v>0</v>
      </c>
      <c r="Y74" s="421">
        <v>0</v>
      </c>
      <c r="Z74" s="28">
        <f t="shared" si="471"/>
        <v>0</v>
      </c>
      <c r="AA74" s="421">
        <v>0</v>
      </c>
      <c r="AB74" s="421">
        <v>0</v>
      </c>
      <c r="AC74" s="421">
        <v>0</v>
      </c>
      <c r="AD74" s="421">
        <v>0</v>
      </c>
      <c r="AE74" s="28">
        <f t="shared" si="472"/>
        <v>0</v>
      </c>
      <c r="AF74" s="421">
        <v>0</v>
      </c>
      <c r="AG74" s="421">
        <v>0</v>
      </c>
      <c r="AH74" s="421">
        <v>0</v>
      </c>
      <c r="AI74" s="421">
        <v>0</v>
      </c>
      <c r="AJ74" s="28">
        <f>SUM(AF74:AI74)</f>
        <v>0</v>
      </c>
      <c r="AK74" s="421">
        <v>0</v>
      </c>
      <c r="AL74" s="421">
        <v>0</v>
      </c>
      <c r="AM74" s="421">
        <v>0</v>
      </c>
      <c r="AN74" s="421">
        <v>0</v>
      </c>
      <c r="AO74" s="28">
        <f>SUM(AK74:AN74)</f>
        <v>0</v>
      </c>
      <c r="AP74" s="421">
        <v>0</v>
      </c>
      <c r="AQ74" s="421">
        <v>0</v>
      </c>
      <c r="AR74" s="421">
        <v>0</v>
      </c>
      <c r="AS74" s="421">
        <v>0</v>
      </c>
      <c r="AT74" s="28">
        <f>SUM(AP74:AS74)</f>
        <v>0</v>
      </c>
      <c r="AU74" s="421">
        <v>0</v>
      </c>
      <c r="AV74" s="421">
        <v>0</v>
      </c>
      <c r="AW74" s="421">
        <v>0</v>
      </c>
      <c r="AX74" s="421">
        <f>10603-SUM(AU74:AW74)</f>
        <v>10603</v>
      </c>
      <c r="AY74" s="28">
        <f>SUM(AU74:AX74)</f>
        <v>10603</v>
      </c>
      <c r="AZ74" s="421">
        <v>0</v>
      </c>
      <c r="BA74" s="421">
        <v>0</v>
      </c>
      <c r="BB74" s="421">
        <f>154207-SUM(AZ74:BA74)</f>
        <v>154207</v>
      </c>
      <c r="BC74" s="421">
        <f>154207-SUM(AZ74:BB74)</f>
        <v>0</v>
      </c>
      <c r="BD74" s="28">
        <f>SUM(AZ74:BC74)</f>
        <v>154207</v>
      </c>
      <c r="BE74" s="421">
        <v>0</v>
      </c>
      <c r="BF74" s="421">
        <v>0</v>
      </c>
      <c r="BG74" s="421">
        <v>0</v>
      </c>
      <c r="BH74" s="421">
        <v>0</v>
      </c>
      <c r="BI74" s="28">
        <f>SUM(BE74:BH74)</f>
        <v>0</v>
      </c>
      <c r="BJ74" s="421">
        <v>0</v>
      </c>
      <c r="BK74" s="421">
        <v>0</v>
      </c>
      <c r="BL74" s="421">
        <v>0</v>
      </c>
      <c r="BM74" s="421">
        <v>0</v>
      </c>
      <c r="BN74" s="28">
        <f>SUM(BJ74:BM74)</f>
        <v>0</v>
      </c>
      <c r="BO74" s="421">
        <v>0</v>
      </c>
      <c r="BP74" s="421">
        <v>0</v>
      </c>
      <c r="BQ74" s="421">
        <v>0</v>
      </c>
      <c r="BR74" s="421">
        <v>0</v>
      </c>
      <c r="BS74" s="28">
        <f>SUM(BO74:BR74)</f>
        <v>0</v>
      </c>
      <c r="BT74" s="421">
        <v>0</v>
      </c>
      <c r="BU74" s="421">
        <v>0</v>
      </c>
      <c r="BV74" s="421">
        <v>0</v>
      </c>
      <c r="BW74" s="421">
        <v>0</v>
      </c>
      <c r="BX74" s="28">
        <f>SUM(BT74:BW74)</f>
        <v>0</v>
      </c>
      <c r="BY74" s="421">
        <v>0</v>
      </c>
      <c r="BZ74" s="421">
        <v>0</v>
      </c>
      <c r="CA74" s="421">
        <v>0</v>
      </c>
      <c r="CB74" s="421">
        <v>574124</v>
      </c>
      <c r="CC74" s="28">
        <f>SUM(BY74:CB74)</f>
        <v>574124</v>
      </c>
      <c r="CD74" s="421">
        <v>0</v>
      </c>
      <c r="CE74" s="421">
        <v>0</v>
      </c>
      <c r="CF74" s="427">
        <v>0</v>
      </c>
      <c r="CG74" s="427">
        <v>0</v>
      </c>
      <c r="CH74" s="28">
        <f>SUM(CD74:CG74)</f>
        <v>0</v>
      </c>
      <c r="CI74" s="427">
        <v>0</v>
      </c>
      <c r="CJ74" s="427">
        <v>0</v>
      </c>
      <c r="CK74" s="427">
        <v>0</v>
      </c>
      <c r="CL74" s="427">
        <v>0</v>
      </c>
      <c r="CM74" s="28">
        <f>SUM(CI74:CL74)</f>
        <v>0</v>
      </c>
      <c r="CN74" s="427">
        <v>0</v>
      </c>
      <c r="CO74" s="427">
        <v>0</v>
      </c>
      <c r="CP74" s="427">
        <v>0</v>
      </c>
      <c r="CQ74" s="427">
        <v>0</v>
      </c>
      <c r="CR74" s="28">
        <f>SUM(CN74:CQ74)</f>
        <v>0</v>
      </c>
      <c r="CS74" s="427">
        <v>0</v>
      </c>
      <c r="CT74" s="427">
        <v>0</v>
      </c>
      <c r="CU74" s="427">
        <v>0</v>
      </c>
      <c r="CV74" s="427">
        <v>0</v>
      </c>
      <c r="CW74" s="28">
        <f>SUM(CS74:CV74)</f>
        <v>0</v>
      </c>
      <c r="CX74" s="427">
        <v>0</v>
      </c>
      <c r="CY74" s="427">
        <v>0</v>
      </c>
      <c r="CZ74" s="427">
        <v>0</v>
      </c>
      <c r="DA74" s="427">
        <v>0</v>
      </c>
      <c r="DB74" s="28">
        <f>SUM(CX74:DA74)</f>
        <v>0</v>
      </c>
    </row>
    <row r="75" spans="1:106" ht="11.5" customHeight="1" x14ac:dyDescent="0.35">
      <c r="A75" s="31" t="s">
        <v>196</v>
      </c>
      <c r="B75" s="81" t="e">
        <f t="shared" ref="B75:C75" si="482">-(B71+SUM(B72:B74))</f>
        <v>#VALUE!</v>
      </c>
      <c r="C75" s="81">
        <f t="shared" si="482"/>
        <v>0</v>
      </c>
      <c r="D75" s="81">
        <f t="shared" ref="D75:F75" si="483">-(D71+SUM(D72:D74))</f>
        <v>0</v>
      </c>
      <c r="E75" s="81">
        <f t="shared" si="483"/>
        <v>0</v>
      </c>
      <c r="F75" s="82" t="e">
        <f t="shared" si="483"/>
        <v>#VALUE!</v>
      </c>
      <c r="G75" s="81">
        <f t="shared" ref="G75:H75" si="484">-(G71+SUM(G72:G74))</f>
        <v>0</v>
      </c>
      <c r="H75" s="81">
        <f t="shared" si="484"/>
        <v>0</v>
      </c>
      <c r="I75" s="81">
        <f t="shared" ref="I75:K75" si="485">-(I71+SUM(I72:I74))</f>
        <v>0</v>
      </c>
      <c r="J75" s="81">
        <f t="shared" si="485"/>
        <v>0</v>
      </c>
      <c r="K75" s="82">
        <f t="shared" si="485"/>
        <v>0</v>
      </c>
      <c r="L75" s="81">
        <f t="shared" ref="L75:M75" si="486">-(L71+SUM(L72:L74))</f>
        <v>0</v>
      </c>
      <c r="M75" s="81">
        <f t="shared" si="486"/>
        <v>0</v>
      </c>
      <c r="N75" s="81">
        <f t="shared" ref="N75:P75" si="487">-(N71+SUM(N72:N74))</f>
        <v>0</v>
      </c>
      <c r="O75" s="81">
        <f t="shared" si="487"/>
        <v>0</v>
      </c>
      <c r="P75" s="82">
        <f t="shared" si="487"/>
        <v>0</v>
      </c>
      <c r="Q75" s="81">
        <f t="shared" ref="Q75:R75" si="488">-(Q71+SUM(Q72:Q74))</f>
        <v>0</v>
      </c>
      <c r="R75" s="81">
        <f t="shared" si="488"/>
        <v>0</v>
      </c>
      <c r="S75" s="81">
        <f t="shared" ref="S75:U75" si="489">-(S71+SUM(S72:S74))</f>
        <v>0</v>
      </c>
      <c r="T75" s="81">
        <f t="shared" si="489"/>
        <v>0</v>
      </c>
      <c r="U75" s="82">
        <f t="shared" si="489"/>
        <v>0</v>
      </c>
      <c r="V75" s="81">
        <f t="shared" ref="V75:W75" si="490">-(V71+SUM(V72:V74))</f>
        <v>0</v>
      </c>
      <c r="W75" s="81">
        <f t="shared" si="490"/>
        <v>0</v>
      </c>
      <c r="X75" s="81">
        <f t="shared" ref="X75:Z75" si="491">-(X71+SUM(X72:X74))</f>
        <v>0</v>
      </c>
      <c r="Y75" s="81">
        <f t="shared" si="491"/>
        <v>0</v>
      </c>
      <c r="Z75" s="82">
        <f t="shared" si="491"/>
        <v>0</v>
      </c>
      <c r="AA75" s="81">
        <f t="shared" ref="AA75:AB75" si="492">-(AA71+SUM(AA72:AA74))</f>
        <v>0</v>
      </c>
      <c r="AB75" s="81">
        <f t="shared" si="492"/>
        <v>0</v>
      </c>
      <c r="AC75" s="81">
        <f t="shared" ref="AC75:AE75" si="493">-(AC71+SUM(AC72:AC74))</f>
        <v>0</v>
      </c>
      <c r="AD75" s="81">
        <f t="shared" si="493"/>
        <v>0</v>
      </c>
      <c r="AE75" s="82">
        <f t="shared" si="493"/>
        <v>0</v>
      </c>
      <c r="AF75" s="81">
        <f t="shared" ref="AF75:AG75" si="494">-(AF71+SUM(AF72:AF74))</f>
        <v>0</v>
      </c>
      <c r="AG75" s="81">
        <f t="shared" si="494"/>
        <v>0</v>
      </c>
      <c r="AH75" s="81">
        <f t="shared" ref="AH75:BM75" si="495">-(AH71+SUM(AH72:AH74))</f>
        <v>0</v>
      </c>
      <c r="AI75" s="81">
        <f t="shared" si="495"/>
        <v>0</v>
      </c>
      <c r="AJ75" s="82">
        <f t="shared" si="495"/>
        <v>0</v>
      </c>
      <c r="AK75" s="81">
        <f t="shared" si="495"/>
        <v>-66507</v>
      </c>
      <c r="AL75" s="81">
        <f t="shared" si="495"/>
        <v>-10268</v>
      </c>
      <c r="AM75" s="81">
        <f t="shared" si="495"/>
        <v>-462</v>
      </c>
      <c r="AN75" s="81">
        <f t="shared" si="495"/>
        <v>123441</v>
      </c>
      <c r="AO75" s="82">
        <f t="shared" si="495"/>
        <v>46204</v>
      </c>
      <c r="AP75" s="81">
        <f t="shared" si="495"/>
        <v>1043</v>
      </c>
      <c r="AQ75" s="81">
        <f t="shared" si="495"/>
        <v>28242</v>
      </c>
      <c r="AR75" s="81">
        <f t="shared" si="495"/>
        <v>-86580</v>
      </c>
      <c r="AS75" s="81">
        <f t="shared" si="495"/>
        <v>178584</v>
      </c>
      <c r="AT75" s="82">
        <f t="shared" si="495"/>
        <v>121289</v>
      </c>
      <c r="AU75" s="81">
        <f t="shared" si="495"/>
        <v>21200</v>
      </c>
      <c r="AV75" s="81">
        <f t="shared" si="495"/>
        <v>43261</v>
      </c>
      <c r="AW75" s="81">
        <f t="shared" si="495"/>
        <v>1534</v>
      </c>
      <c r="AX75" s="81">
        <f t="shared" si="495"/>
        <v>95401</v>
      </c>
      <c r="AY75" s="82">
        <f t="shared" si="495"/>
        <v>161396</v>
      </c>
      <c r="AZ75" s="81">
        <f t="shared" si="495"/>
        <v>7452</v>
      </c>
      <c r="BA75" s="81">
        <f t="shared" si="495"/>
        <v>66504</v>
      </c>
      <c r="BB75" s="81">
        <f t="shared" si="495"/>
        <v>72732</v>
      </c>
      <c r="BC75" s="81">
        <f t="shared" si="495"/>
        <v>20679</v>
      </c>
      <c r="BD75" s="82">
        <f t="shared" si="495"/>
        <v>167367</v>
      </c>
      <c r="BE75" s="81">
        <f t="shared" si="495"/>
        <v>8439</v>
      </c>
      <c r="BF75" s="81">
        <f t="shared" si="495"/>
        <v>65837</v>
      </c>
      <c r="BG75" s="81">
        <f t="shared" si="495"/>
        <v>58001</v>
      </c>
      <c r="BH75" s="81">
        <f t="shared" si="495"/>
        <v>89429</v>
      </c>
      <c r="BI75" s="82">
        <f t="shared" si="495"/>
        <v>221706</v>
      </c>
      <c r="BJ75" s="81">
        <f t="shared" si="495"/>
        <v>13341</v>
      </c>
      <c r="BK75" s="81">
        <f t="shared" si="495"/>
        <v>76494</v>
      </c>
      <c r="BL75" s="81">
        <f t="shared" si="495"/>
        <v>47882</v>
      </c>
      <c r="BM75" s="81">
        <f t="shared" si="495"/>
        <v>129551</v>
      </c>
      <c r="BN75" s="82">
        <f t="shared" ref="BN75:CS75" si="496">-(BN71+SUM(BN72:BN74))</f>
        <v>267268</v>
      </c>
      <c r="BO75" s="81">
        <f t="shared" si="496"/>
        <v>6868</v>
      </c>
      <c r="BP75" s="81">
        <f t="shared" si="496"/>
        <v>98825</v>
      </c>
      <c r="BQ75" s="81">
        <f t="shared" si="496"/>
        <v>127573</v>
      </c>
      <c r="BR75" s="81">
        <f t="shared" si="496"/>
        <v>165561</v>
      </c>
      <c r="BS75" s="82">
        <f t="shared" si="496"/>
        <v>398827</v>
      </c>
      <c r="BT75" s="81">
        <f t="shared" si="496"/>
        <v>30861</v>
      </c>
      <c r="BU75" s="81">
        <f t="shared" si="496"/>
        <v>186041</v>
      </c>
      <c r="BV75" s="81">
        <f t="shared" si="496"/>
        <v>110408</v>
      </c>
      <c r="BW75" s="81">
        <f t="shared" si="496"/>
        <v>207164</v>
      </c>
      <c r="BX75" s="82">
        <f t="shared" si="496"/>
        <v>534474</v>
      </c>
      <c r="BY75" s="81">
        <f t="shared" si="496"/>
        <v>6141</v>
      </c>
      <c r="BZ75" s="81">
        <f t="shared" si="496"/>
        <v>61814</v>
      </c>
      <c r="CA75" s="81">
        <f t="shared" si="496"/>
        <v>222454</v>
      </c>
      <c r="CB75" s="81">
        <f t="shared" si="496"/>
        <v>433293</v>
      </c>
      <c r="CC75" s="82">
        <f t="shared" si="496"/>
        <v>723702</v>
      </c>
      <c r="CD75" s="81">
        <f t="shared" ref="CD75" si="497">-(CD71+SUM(CD72:CD74))</f>
        <v>90844</v>
      </c>
      <c r="CE75" s="81">
        <f>-(CE71+SUM(CE72:CE74))</f>
        <v>153657</v>
      </c>
      <c r="CF75" s="81">
        <f t="shared" ca="1" si="496"/>
        <v>321312.86679062527</v>
      </c>
      <c r="CG75" s="81">
        <f t="shared" ca="1" si="496"/>
        <v>325131.83028651052</v>
      </c>
      <c r="CH75" s="82">
        <f t="shared" ca="1" si="496"/>
        <v>890945.69707713579</v>
      </c>
      <c r="CI75" s="81">
        <f t="shared" ca="1" si="496"/>
        <v>277993.91778857587</v>
      </c>
      <c r="CJ75" s="81">
        <f t="shared" ca="1" si="496"/>
        <v>273577.83612943528</v>
      </c>
      <c r="CK75" s="81">
        <f t="shared" ca="1" si="496"/>
        <v>271264.01227566955</v>
      </c>
      <c r="CL75" s="81">
        <f t="shared" ca="1" si="496"/>
        <v>310778.20421191631</v>
      </c>
      <c r="CM75" s="82">
        <f t="shared" ca="1" si="496"/>
        <v>1133613.970405597</v>
      </c>
      <c r="CN75" s="81">
        <f t="shared" ca="1" si="496"/>
        <v>400190.98156570969</v>
      </c>
      <c r="CO75" s="81">
        <f t="shared" ca="1" si="496"/>
        <v>391043.93722227588</v>
      </c>
      <c r="CP75" s="81">
        <f t="shared" ca="1" si="496"/>
        <v>389508.31609743211</v>
      </c>
      <c r="CQ75" s="81">
        <f t="shared" ca="1" si="496"/>
        <v>383883.56836613565</v>
      </c>
      <c r="CR75" s="82">
        <f t="shared" ca="1" si="496"/>
        <v>1564626.8032515533</v>
      </c>
      <c r="CS75" s="81">
        <f t="shared" ca="1" si="496"/>
        <v>456965.00483710016</v>
      </c>
      <c r="CT75" s="81">
        <f t="shared" ref="CT75:DB75" ca="1" si="498">-(CT71+SUM(CT72:CT74))</f>
        <v>415330.84378651646</v>
      </c>
      <c r="CU75" s="81">
        <f t="shared" ca="1" si="498"/>
        <v>411751.40666503529</v>
      </c>
      <c r="CV75" s="81">
        <f t="shared" ca="1" si="498"/>
        <v>424371.46253709891</v>
      </c>
      <c r="CW75" s="82">
        <f t="shared" ca="1" si="498"/>
        <v>1708418.7178257508</v>
      </c>
      <c r="CX75" s="81">
        <f t="shared" ca="1" si="498"/>
        <v>499801.3041729359</v>
      </c>
      <c r="CY75" s="81">
        <f t="shared" ca="1" si="498"/>
        <v>442527.06784671196</v>
      </c>
      <c r="CZ75" s="81">
        <f t="shared" ca="1" si="498"/>
        <v>426859.63084323687</v>
      </c>
      <c r="DA75" s="81">
        <f t="shared" ca="1" si="498"/>
        <v>431434.31748515437</v>
      </c>
      <c r="DB75" s="82">
        <f t="shared" ca="1" si="498"/>
        <v>1800622.320348039</v>
      </c>
    </row>
    <row r="76" spans="1:106" s="15" customFormat="1" ht="11.5" customHeight="1" thickBot="1" x14ac:dyDescent="0.4">
      <c r="A76" s="34" t="s">
        <v>199</v>
      </c>
      <c r="B76" s="43"/>
      <c r="C76" s="43"/>
      <c r="D76" s="43"/>
      <c r="E76" s="44"/>
      <c r="F76" s="42"/>
      <c r="G76" s="43"/>
      <c r="H76" s="43"/>
      <c r="I76" s="43"/>
      <c r="J76" s="44"/>
      <c r="K76" s="42"/>
      <c r="L76" s="43"/>
      <c r="M76" s="43"/>
      <c r="N76" s="43"/>
      <c r="O76" s="44"/>
      <c r="P76" s="42"/>
      <c r="Q76" s="43"/>
      <c r="R76" s="43"/>
      <c r="S76" s="43"/>
      <c r="T76" s="44"/>
      <c r="U76" s="42"/>
      <c r="V76" s="43"/>
      <c r="W76" s="43"/>
      <c r="X76" s="43"/>
      <c r="Y76" s="44"/>
      <c r="Z76" s="42"/>
      <c r="AA76" s="43"/>
      <c r="AB76" s="43"/>
      <c r="AC76" s="43"/>
      <c r="AD76" s="44"/>
      <c r="AE76" s="42"/>
      <c r="AF76" s="43"/>
      <c r="AG76" s="43"/>
      <c r="AH76" s="43"/>
      <c r="AI76" s="44"/>
      <c r="AJ76" s="42"/>
      <c r="AK76" s="43"/>
      <c r="AL76" s="43"/>
      <c r="AM76" s="43"/>
      <c r="AN76" s="44"/>
      <c r="AO76" s="42"/>
      <c r="AP76" s="43"/>
      <c r="AQ76" s="43"/>
      <c r="AR76" s="43"/>
      <c r="AS76" s="44"/>
      <c r="AT76" s="42"/>
      <c r="AU76" s="43"/>
      <c r="AV76" s="43"/>
      <c r="AW76" s="43"/>
      <c r="AX76" s="44"/>
      <c r="AY76" s="42"/>
      <c r="AZ76" s="43"/>
      <c r="BA76" s="43"/>
      <c r="BB76" s="43"/>
      <c r="BC76" s="44"/>
      <c r="BD76" s="42"/>
      <c r="BE76" s="43"/>
      <c r="BF76" s="43"/>
      <c r="BG76" s="43"/>
      <c r="BH76" s="44"/>
      <c r="BI76" s="42"/>
      <c r="BJ76" s="43"/>
      <c r="BK76" s="43"/>
      <c r="BL76" s="43"/>
      <c r="BM76" s="44"/>
      <c r="BN76" s="42"/>
      <c r="BO76" s="43"/>
      <c r="BP76" s="43"/>
      <c r="BQ76" s="43"/>
      <c r="BR76" s="44"/>
      <c r="BS76" s="42"/>
      <c r="BT76" s="43"/>
      <c r="BU76" s="43"/>
      <c r="BV76" s="43"/>
      <c r="BW76" s="44"/>
      <c r="BX76" s="42"/>
      <c r="BY76" s="43"/>
      <c r="BZ76" s="43"/>
      <c r="CA76" s="43"/>
      <c r="CB76" s="44"/>
      <c r="CC76" s="42"/>
      <c r="CD76" s="43"/>
      <c r="CE76" s="43"/>
      <c r="CF76" s="43"/>
      <c r="CG76" s="44"/>
      <c r="CH76" s="42"/>
      <c r="CI76" s="43"/>
      <c r="CJ76" s="43"/>
      <c r="CK76" s="43"/>
      <c r="CL76" s="44"/>
      <c r="CM76" s="42"/>
      <c r="CN76" s="43"/>
      <c r="CO76" s="43"/>
      <c r="CP76" s="43"/>
      <c r="CQ76" s="44"/>
      <c r="CR76" s="42"/>
      <c r="CS76" s="43"/>
      <c r="CT76" s="43"/>
      <c r="CU76" s="43"/>
      <c r="CV76" s="44"/>
      <c r="CW76" s="42"/>
      <c r="CX76" s="43"/>
      <c r="CY76" s="43"/>
      <c r="CZ76" s="43"/>
      <c r="DA76" s="44"/>
      <c r="DB76" s="42"/>
    </row>
    <row r="77" spans="1:106" s="7" customFormat="1" ht="11.5" customHeight="1" outlineLevel="1" x14ac:dyDescent="0.35">
      <c r="A77" s="7" t="s">
        <v>136</v>
      </c>
      <c r="B77" s="423">
        <f>IS!B45</f>
        <v>0</v>
      </c>
      <c r="C77" s="423">
        <f>IS!C45</f>
        <v>0</v>
      </c>
      <c r="D77" s="423">
        <f>IS!D45</f>
        <v>0</v>
      </c>
      <c r="E77" s="423">
        <f>IS!E45</f>
        <v>0</v>
      </c>
      <c r="F77" s="410">
        <f>IS!F45</f>
        <v>0</v>
      </c>
      <c r="G77" s="423">
        <f>IS!G45</f>
        <v>0</v>
      </c>
      <c r="H77" s="423">
        <f>IS!H45</f>
        <v>0</v>
      </c>
      <c r="I77" s="423">
        <f>IS!I45</f>
        <v>0</v>
      </c>
      <c r="J77" s="423">
        <f>IS!J45</f>
        <v>0</v>
      </c>
      <c r="K77" s="410">
        <f>IS!K45</f>
        <v>0</v>
      </c>
      <c r="L77" s="423">
        <f>IS!L45</f>
        <v>0</v>
      </c>
      <c r="M77" s="423">
        <f>IS!M45</f>
        <v>0</v>
      </c>
      <c r="N77" s="423">
        <f>IS!N45</f>
        <v>0</v>
      </c>
      <c r="O77" s="423">
        <f>IS!O45</f>
        <v>0</v>
      </c>
      <c r="P77" s="410">
        <f>IS!P45</f>
        <v>0</v>
      </c>
      <c r="Q77" s="423">
        <f>IS!Q45</f>
        <v>0</v>
      </c>
      <c r="R77" s="423">
        <f>IS!R45</f>
        <v>0</v>
      </c>
      <c r="S77" s="423">
        <f>IS!S45</f>
        <v>0</v>
      </c>
      <c r="T77" s="423">
        <f>IS!T45</f>
        <v>0</v>
      </c>
      <c r="U77" s="410">
        <f>IS!U45</f>
        <v>0</v>
      </c>
      <c r="V77" s="423">
        <f>IS!V45</f>
        <v>0</v>
      </c>
      <c r="W77" s="423">
        <f>IS!W45</f>
        <v>0</v>
      </c>
      <c r="X77" s="423">
        <f>IS!X45</f>
        <v>0</v>
      </c>
      <c r="Y77" s="423">
        <f>IS!Y45</f>
        <v>0</v>
      </c>
      <c r="Z77" s="410">
        <f>IS!Z45</f>
        <v>0</v>
      </c>
      <c r="AA77" s="423">
        <f>IS!AA45</f>
        <v>0</v>
      </c>
      <c r="AB77" s="423">
        <f>IS!AB45</f>
        <v>0</v>
      </c>
      <c r="AC77" s="423">
        <f>IS!AC45</f>
        <v>0</v>
      </c>
      <c r="AD77" s="423">
        <f>IS!AD45</f>
        <v>0</v>
      </c>
      <c r="AE77" s="410">
        <f>IS!AE45</f>
        <v>0</v>
      </c>
      <c r="AF77" s="423">
        <f>IS!AF45</f>
        <v>0</v>
      </c>
      <c r="AG77" s="423">
        <f>IS!AG45</f>
        <v>0</v>
      </c>
      <c r="AH77" s="423">
        <f>IS!AH45</f>
        <v>0</v>
      </c>
      <c r="AI77" s="423">
        <f>IS!AI45</f>
        <v>0</v>
      </c>
      <c r="AJ77" s="410">
        <f>IS!AJ45</f>
        <v>0</v>
      </c>
      <c r="AK77" s="423">
        <f>IS!AK45</f>
        <v>12644.766000000014</v>
      </c>
      <c r="AL77" s="423">
        <f>IS!AL45</f>
        <v>19613.649999999961</v>
      </c>
      <c r="AM77" s="423">
        <f>IS!AM45</f>
        <v>33626.546000000031</v>
      </c>
      <c r="AN77" s="423">
        <f>IS!AN45</f>
        <v>46949.213000000062</v>
      </c>
      <c r="AO77" s="410">
        <f>IS!AO45</f>
        <v>112834.17500000006</v>
      </c>
      <c r="AP77" s="423">
        <f>IS!AP45</f>
        <v>20107.578000000001</v>
      </c>
      <c r="AQ77" s="423">
        <f>IS!AQ45</f>
        <v>31555.25299999999</v>
      </c>
      <c r="AR77" s="423">
        <f>IS!AR45</f>
        <v>36217.241000000053</v>
      </c>
      <c r="AS77" s="423">
        <f>IS!AS45</f>
        <v>43119.389999999978</v>
      </c>
      <c r="AT77" s="410">
        <f>IS!AT45</f>
        <v>130999.46200000003</v>
      </c>
      <c r="AU77" s="423">
        <f>IS!AU45</f>
        <v>18376</v>
      </c>
      <c r="AV77" s="423">
        <f>IS!AV45</f>
        <v>61073</v>
      </c>
      <c r="AW77" s="423">
        <f>IS!AW45</f>
        <v>30308</v>
      </c>
      <c r="AX77" s="423">
        <f>IS!AX45</f>
        <v>50371</v>
      </c>
      <c r="AY77" s="410">
        <f>IS!AY45</f>
        <v>160128</v>
      </c>
      <c r="AZ77" s="423">
        <f>IS!AZ45</f>
        <v>6500</v>
      </c>
      <c r="BA77" s="423">
        <f>IS!BA45</f>
        <v>36989</v>
      </c>
      <c r="BB77" s="423">
        <f>IS!BB45</f>
        <v>49354</v>
      </c>
      <c r="BC77" s="423">
        <f>IS!BC45</f>
        <v>67969</v>
      </c>
      <c r="BD77" s="410">
        <f>IS!BD45</f>
        <v>160812</v>
      </c>
      <c r="BE77" s="423">
        <f>IS!BE45</f>
        <v>49993</v>
      </c>
      <c r="BF77" s="423">
        <f>IS!BF45</f>
        <v>78603</v>
      </c>
      <c r="BG77" s="423">
        <f>IS!BG45</f>
        <v>67405</v>
      </c>
      <c r="BH77" s="423">
        <f>IS!BH45</f>
        <v>103748</v>
      </c>
      <c r="BI77" s="410">
        <f>IS!BI45</f>
        <v>299749</v>
      </c>
      <c r="BJ77" s="423">
        <f>IS!BJ45</f>
        <v>61903</v>
      </c>
      <c r="BK77" s="423">
        <f>IS!BK45</f>
        <v>86325</v>
      </c>
      <c r="BL77" s="423">
        <f>IS!BL45</f>
        <v>89872</v>
      </c>
      <c r="BM77" s="423">
        <f>IS!BM45</f>
        <v>91785</v>
      </c>
      <c r="BN77" s="410">
        <f>IS!BN45</f>
        <v>329885</v>
      </c>
      <c r="BO77" s="423">
        <f>IS!BO45</f>
        <v>91849</v>
      </c>
      <c r="BP77" s="423">
        <f>IS!BP45</f>
        <v>121373</v>
      </c>
      <c r="BQ77" s="423">
        <f>IS!BQ45</f>
        <v>108220</v>
      </c>
      <c r="BR77" s="423">
        <f>IS!BR45</f>
        <v>160323</v>
      </c>
      <c r="BS77" s="410">
        <f>IS!BS45</f>
        <v>481765</v>
      </c>
      <c r="BT77" s="423">
        <f>IS!BT45</f>
        <v>141241</v>
      </c>
      <c r="BU77" s="423">
        <f>IS!BU45</f>
        <v>172247</v>
      </c>
      <c r="BV77" s="423">
        <f>IS!BV45</f>
        <v>170571</v>
      </c>
      <c r="BW77" s="423">
        <f>IS!BW45</f>
        <v>165784</v>
      </c>
      <c r="BX77" s="410">
        <f>IS!BX45</f>
        <v>649843</v>
      </c>
      <c r="BY77" s="423">
        <f>IS!BY45</f>
        <v>213475</v>
      </c>
      <c r="BZ77" s="423">
        <f>IS!BZ45</f>
        <v>236731</v>
      </c>
      <c r="CA77" s="423">
        <f>IS!CA45</f>
        <v>255253</v>
      </c>
      <c r="CB77" s="423">
        <f>IS!CB45</f>
        <v>270077</v>
      </c>
      <c r="CC77" s="410">
        <f>IS!CC45</f>
        <v>975536</v>
      </c>
      <c r="CD77" s="423">
        <f>IS!CD45</f>
        <v>302867</v>
      </c>
      <c r="CE77" s="423">
        <f>IS!CE45</f>
        <v>270451</v>
      </c>
      <c r="CF77" s="423">
        <f ca="1">IS!CF45</f>
        <v>305546.49957986851</v>
      </c>
      <c r="CG77" s="423">
        <f ca="1">IS!CG45</f>
        <v>336750.65087304276</v>
      </c>
      <c r="CH77" s="410">
        <f ca="1">IS!CH45</f>
        <v>1215615.1504529114</v>
      </c>
      <c r="CI77" s="423">
        <f ca="1">IS!CI45</f>
        <v>346186.54428515316</v>
      </c>
      <c r="CJ77" s="423">
        <f ca="1">IS!CJ45</f>
        <v>375590.26855740021</v>
      </c>
      <c r="CK77" s="423">
        <f ca="1">IS!CK45</f>
        <v>409313.89377156331</v>
      </c>
      <c r="CL77" s="423">
        <f ca="1">IS!CL45</f>
        <v>397847.95739255287</v>
      </c>
      <c r="CM77" s="410">
        <f ca="1">IS!CM45</f>
        <v>1528938.6640066695</v>
      </c>
      <c r="CN77" s="423">
        <f ca="1">IS!CN45</f>
        <v>450109.67411021976</v>
      </c>
      <c r="CO77" s="423">
        <f ca="1">IS!CO45</f>
        <v>436907.9537099303</v>
      </c>
      <c r="CP77" s="423">
        <f ca="1">IS!CP45</f>
        <v>457635.31386542699</v>
      </c>
      <c r="CQ77" s="423">
        <f ca="1">IS!CQ45</f>
        <v>460447.14029042103</v>
      </c>
      <c r="CR77" s="410">
        <f ca="1">IS!CR45</f>
        <v>1805100.0819759979</v>
      </c>
      <c r="CS77" s="423">
        <f ca="1">IS!CS45</f>
        <v>486049.85782481497</v>
      </c>
      <c r="CT77" s="423">
        <f ca="1">IS!CT45</f>
        <v>464070.15105256968</v>
      </c>
      <c r="CU77" s="423">
        <f ca="1">IS!CU45</f>
        <v>479834.49639250914</v>
      </c>
      <c r="CV77" s="423">
        <f ca="1">IS!CV45</f>
        <v>479795.81576968374</v>
      </c>
      <c r="CW77" s="410">
        <f ca="1">IS!CW45</f>
        <v>1909750.3210395777</v>
      </c>
      <c r="CX77" s="423">
        <f ca="1">IS!CX45</f>
        <v>514659.466587106</v>
      </c>
      <c r="CY77" s="423">
        <f ca="1">IS!CY45</f>
        <v>490408.21206938894</v>
      </c>
      <c r="CZ77" s="423">
        <f ca="1">IS!CZ45</f>
        <v>505440.64165165828</v>
      </c>
      <c r="DA77" s="423">
        <f ca="1">IS!DA45</f>
        <v>504526.8402182227</v>
      </c>
      <c r="DB77" s="410">
        <f ca="1">IS!DB45</f>
        <v>2015035.160526376</v>
      </c>
    </row>
    <row r="78" spans="1:106" s="7" customFormat="1" ht="11.5" customHeight="1" outlineLevel="1" x14ac:dyDescent="0.35">
      <c r="A78" s="7" t="s">
        <v>110</v>
      </c>
      <c r="B78" s="423">
        <f>IS!B64</f>
        <v>0</v>
      </c>
      <c r="C78" s="423">
        <f>IS!C64</f>
        <v>0</v>
      </c>
      <c r="D78" s="423">
        <f>IS!D64</f>
        <v>0</v>
      </c>
      <c r="E78" s="423">
        <f>IS!E64</f>
        <v>0</v>
      </c>
      <c r="F78" s="410">
        <f>IS!F64</f>
        <v>0</v>
      </c>
      <c r="G78" s="423">
        <f>IS!G64</f>
        <v>0</v>
      </c>
      <c r="H78" s="423">
        <f>IS!H64</f>
        <v>0</v>
      </c>
      <c r="I78" s="423">
        <f>IS!I64</f>
        <v>0</v>
      </c>
      <c r="J78" s="423">
        <f>IS!J64</f>
        <v>0</v>
      </c>
      <c r="K78" s="410">
        <f>IS!K64</f>
        <v>0</v>
      </c>
      <c r="L78" s="423">
        <f>IS!L64</f>
        <v>0</v>
      </c>
      <c r="M78" s="423">
        <f>IS!M64</f>
        <v>0</v>
      </c>
      <c r="N78" s="423">
        <f>IS!N64</f>
        <v>0</v>
      </c>
      <c r="O78" s="423">
        <f>IS!O64</f>
        <v>0</v>
      </c>
      <c r="P78" s="410">
        <f>IS!P64</f>
        <v>0</v>
      </c>
      <c r="Q78" s="423">
        <f>IS!Q64</f>
        <v>0</v>
      </c>
      <c r="R78" s="423">
        <f>IS!R64</f>
        <v>0</v>
      </c>
      <c r="S78" s="423">
        <f>IS!S64</f>
        <v>0</v>
      </c>
      <c r="T78" s="423">
        <f>IS!T64</f>
        <v>0</v>
      </c>
      <c r="U78" s="410">
        <f>IS!U64</f>
        <v>0</v>
      </c>
      <c r="V78" s="423">
        <f>IS!V64</f>
        <v>0</v>
      </c>
      <c r="W78" s="423">
        <f>IS!W64</f>
        <v>0</v>
      </c>
      <c r="X78" s="423">
        <f>IS!X64</f>
        <v>0</v>
      </c>
      <c r="Y78" s="423">
        <f>IS!Y64</f>
        <v>0</v>
      </c>
      <c r="Z78" s="410">
        <f>IS!Z64</f>
        <v>0</v>
      </c>
      <c r="AA78" s="423">
        <f>IS!AA64</f>
        <v>0</v>
      </c>
      <c r="AB78" s="423">
        <f>IS!AB64</f>
        <v>0</v>
      </c>
      <c r="AC78" s="423">
        <f>IS!AC64</f>
        <v>0</v>
      </c>
      <c r="AD78" s="423">
        <f>IS!AD64</f>
        <v>0</v>
      </c>
      <c r="AE78" s="410">
        <f>IS!AE64</f>
        <v>0</v>
      </c>
      <c r="AF78" s="423">
        <f>IS!AF64</f>
        <v>0</v>
      </c>
      <c r="AG78" s="423">
        <f>IS!AG64</f>
        <v>0</v>
      </c>
      <c r="AH78" s="423">
        <f>IS!AH64</f>
        <v>0</v>
      </c>
      <c r="AI78" s="423">
        <f>IS!AI64</f>
        <v>0</v>
      </c>
      <c r="AJ78" s="410">
        <f>IS!AJ64</f>
        <v>0</v>
      </c>
      <c r="AK78" s="423">
        <f>IS!AK64</f>
        <v>0</v>
      </c>
      <c r="AL78" s="423">
        <f>IS!AL64</f>
        <v>0</v>
      </c>
      <c r="AM78" s="423">
        <f>IS!AM64</f>
        <v>0</v>
      </c>
      <c r="AN78" s="423">
        <f>IS!AN64</f>
        <v>0</v>
      </c>
      <c r="AO78" s="410">
        <f>IS!AO64</f>
        <v>0</v>
      </c>
      <c r="AP78" s="423">
        <f>IS!AP64</f>
        <v>0</v>
      </c>
      <c r="AQ78" s="423">
        <f>IS!AQ64</f>
        <v>0</v>
      </c>
      <c r="AR78" s="423">
        <f>IS!AR64</f>
        <v>0</v>
      </c>
      <c r="AS78" s="423">
        <f>IS!AS64</f>
        <v>0</v>
      </c>
      <c r="AT78" s="410">
        <f>IS!AT64</f>
        <v>0</v>
      </c>
      <c r="AU78" s="423">
        <f>IS!AU64</f>
        <v>1854</v>
      </c>
      <c r="AV78" s="423">
        <f>IS!AV64</f>
        <v>179</v>
      </c>
      <c r="AW78" s="423">
        <f>IS!AW64</f>
        <v>399</v>
      </c>
      <c r="AX78" s="423">
        <f>IS!AX64</f>
        <v>-1277</v>
      </c>
      <c r="AY78" s="410">
        <f>IS!AY64</f>
        <v>1155</v>
      </c>
      <c r="AZ78" s="423">
        <f>IS!AZ64</f>
        <v>2925</v>
      </c>
      <c r="BA78" s="423">
        <f>IS!BA64</f>
        <v>307</v>
      </c>
      <c r="BB78" s="423">
        <f>IS!BB64</f>
        <v>365</v>
      </c>
      <c r="BC78" s="423">
        <f>IS!BC64</f>
        <v>-2038</v>
      </c>
      <c r="BD78" s="410">
        <f>IS!BD64</f>
        <v>1559</v>
      </c>
      <c r="BE78" s="423">
        <f>IS!BE64</f>
        <v>335</v>
      </c>
      <c r="BF78" s="423">
        <f>IS!BF64</f>
        <v>355</v>
      </c>
      <c r="BG78" s="423">
        <f>IS!BG64</f>
        <v>365</v>
      </c>
      <c r="BH78" s="423">
        <f>IS!BH64</f>
        <v>383</v>
      </c>
      <c r="BI78" s="410">
        <f>IS!BI64</f>
        <v>1438</v>
      </c>
      <c r="BJ78" s="423">
        <f>IS!BJ64</f>
        <v>454</v>
      </c>
      <c r="BK78" s="423">
        <f>IS!BK64</f>
        <v>459</v>
      </c>
      <c r="BL78" s="423">
        <f>IS!BL64</f>
        <v>416</v>
      </c>
      <c r="BM78" s="423">
        <f>IS!BM64</f>
        <v>523</v>
      </c>
      <c r="BN78" s="410">
        <f>IS!BN64</f>
        <v>1852</v>
      </c>
      <c r="BO78" s="423">
        <f>IS!BO64</f>
        <v>776</v>
      </c>
      <c r="BP78" s="423">
        <f>IS!BP64</f>
        <v>721</v>
      </c>
      <c r="BQ78" s="423">
        <f>IS!BQ64</f>
        <v>696</v>
      </c>
      <c r="BR78" s="423">
        <f>IS!BR64</f>
        <v>782</v>
      </c>
      <c r="BS78" s="410">
        <f>IS!BS64</f>
        <v>2975</v>
      </c>
      <c r="BT78" s="423">
        <f>IS!BT64</f>
        <v>529</v>
      </c>
      <c r="BU78" s="423">
        <f>IS!BU64</f>
        <v>728</v>
      </c>
      <c r="BV78" s="423">
        <f>IS!BV64</f>
        <v>725</v>
      </c>
      <c r="BW78" s="423">
        <f>IS!BW64</f>
        <v>691</v>
      </c>
      <c r="BX78" s="410">
        <f>IS!BX64</f>
        <v>2673</v>
      </c>
      <c r="BY78" s="423">
        <f>IS!BY64</f>
        <v>204</v>
      </c>
      <c r="BZ78" s="423">
        <f>IS!BZ64</f>
        <v>226</v>
      </c>
      <c r="CA78" s="423">
        <f>IS!CA64</f>
        <v>219</v>
      </c>
      <c r="CB78" s="423">
        <f>IS!CB64</f>
        <v>216</v>
      </c>
      <c r="CC78" s="410">
        <f>IS!CC64</f>
        <v>865</v>
      </c>
      <c r="CD78" s="423">
        <f>IS!CD64</f>
        <v>212</v>
      </c>
      <c r="CE78" s="423">
        <f>IS!CE64</f>
        <v>198</v>
      </c>
      <c r="CF78" s="423">
        <f>IS!CF64</f>
        <v>218.36232290341363</v>
      </c>
      <c r="CG78" s="423">
        <f>IS!CG64</f>
        <v>218.45555763037734</v>
      </c>
      <c r="CH78" s="410">
        <f>IS!CH64</f>
        <v>846.81788053379103</v>
      </c>
      <c r="CI78" s="423">
        <f>IS!CI64</f>
        <v>218.54883216601405</v>
      </c>
      <c r="CJ78" s="423">
        <f>IS!CJ64</f>
        <v>218.64214652732099</v>
      </c>
      <c r="CK78" s="423">
        <f>IS!CK64</f>
        <v>218.73550073130261</v>
      </c>
      <c r="CL78" s="423">
        <f>IS!CL64</f>
        <v>218.82889479497069</v>
      </c>
      <c r="CM78" s="410">
        <f>IS!CM64</f>
        <v>874.75537421960837</v>
      </c>
      <c r="CN78" s="423">
        <f>IS!CN64</f>
        <v>218.92232873534422</v>
      </c>
      <c r="CO78" s="423">
        <f>IS!CO64</f>
        <v>219.01580256944942</v>
      </c>
      <c r="CP78" s="423">
        <f>IS!CP64</f>
        <v>219.10931631431984</v>
      </c>
      <c r="CQ78" s="423">
        <f>IS!CQ64</f>
        <v>219.20286998699623</v>
      </c>
      <c r="CR78" s="410">
        <f>IS!CR64</f>
        <v>876.25031760610966</v>
      </c>
      <c r="CS78" s="423">
        <f>IS!CS64</f>
        <v>219.29646360452674</v>
      </c>
      <c r="CT78" s="423">
        <f>IS!CT64</f>
        <v>219.39009718396667</v>
      </c>
      <c r="CU78" s="423">
        <f>IS!CU64</f>
        <v>219.48377074237874</v>
      </c>
      <c r="CV78" s="423">
        <f>IS!CV64</f>
        <v>219.57748429683281</v>
      </c>
      <c r="CW78" s="410">
        <f>IS!CW64</f>
        <v>877.74781582770493</v>
      </c>
      <c r="CX78" s="423">
        <f>IS!CX64</f>
        <v>219.67123786440612</v>
      </c>
      <c r="CY78" s="423">
        <f>IS!CY64</f>
        <v>219.76503146218317</v>
      </c>
      <c r="CZ78" s="423">
        <f>IS!CZ64</f>
        <v>219.85886510725575</v>
      </c>
      <c r="DA78" s="423">
        <f>IS!DA64</f>
        <v>219.95273881672296</v>
      </c>
      <c r="DB78" s="410">
        <f>IS!DB64</f>
        <v>879.24787325056809</v>
      </c>
    </row>
    <row r="79" spans="1:106" s="7" customFormat="1" ht="11.5" customHeight="1" outlineLevel="1" x14ac:dyDescent="0.35">
      <c r="A79" s="7" t="s">
        <v>137</v>
      </c>
      <c r="B79" s="68" t="e">
        <f>(SUM('BS &amp; FCF'!B33:B38)-SUM('BS &amp; FCF'!A33:A38)+SUM('BS &amp; FCF'!B40:B41)-SUM('BS &amp; FCF'!A40:A41))-(('BS &amp; FCF'!B8-'BS &amp; FCF'!A8)+('BS &amp; FCF'!B12-'BS &amp; FCF'!A12)+(SUM('BS &amp; FCF'!B16:B19)-SUM('BS &amp; FCF'!A16:A19)))</f>
        <v>#VALUE!</v>
      </c>
      <c r="C79" s="68">
        <f>(SUM('BS &amp; FCF'!C33:C38)-SUM('BS &amp; FCF'!B33:B38)+SUM('BS &amp; FCF'!C40:C41)-SUM('BS &amp; FCF'!B40:B41))-(('BS &amp; FCF'!C8-'BS &amp; FCF'!B8)+('BS &amp; FCF'!C12-'BS &amp; FCF'!B12)+(SUM('BS &amp; FCF'!C16:C19)-SUM('BS &amp; FCF'!B16:B19)))</f>
        <v>0</v>
      </c>
      <c r="D79" s="68">
        <f>(SUM('BS &amp; FCF'!D33:D38)-SUM('BS &amp; FCF'!C33:C38)+SUM('BS &amp; FCF'!D40:D41)-SUM('BS &amp; FCF'!C40:C41))-(('BS &amp; FCF'!D8-'BS &amp; FCF'!C8)+('BS &amp; FCF'!D12-'BS &amp; FCF'!C12)+(SUM('BS &amp; FCF'!D16:D19)-SUM('BS &amp; FCF'!C16:C19)))</f>
        <v>0</v>
      </c>
      <c r="E79" s="68">
        <f>(SUM('BS &amp; FCF'!E33:E38)-SUM('BS &amp; FCF'!D33:D38)+SUM('BS &amp; FCF'!E40:E41)-SUM('BS &amp; FCF'!D40:D41))-(('BS &amp; FCF'!E8-'BS &amp; FCF'!D8)+('BS &amp; FCF'!E12-'BS &amp; FCF'!D12)+(SUM('BS &amp; FCF'!E16:E19)-SUM('BS &amp; FCF'!D16:D19)))</f>
        <v>0</v>
      </c>
      <c r="F79" s="28" t="e">
        <f>(SUM('BS &amp; FCF'!F33:F38)-SUM('BS &amp; FCF'!A33:A38)+SUM('BS &amp; FCF'!F40:F41)-SUM('BS &amp; FCF'!A40:A41))-(('BS &amp; FCF'!F8-'BS &amp; FCF'!A8)+('BS &amp; FCF'!F12-'BS &amp; FCF'!A12)+(SUM('BS &amp; FCF'!F16:F19)-SUM('BS &amp; FCF'!A16:A19)))</f>
        <v>#VALUE!</v>
      </c>
      <c r="G79" s="68">
        <f>(SUM('BS &amp; FCF'!G33:G38)-SUM('BS &amp; FCF'!F33:F38)+SUM('BS &amp; FCF'!G40:G41)-SUM('BS &amp; FCF'!F40:F41))-(('BS &amp; FCF'!G8-'BS &amp; FCF'!F8)+('BS &amp; FCF'!G12-'BS &amp; FCF'!F12)+(SUM('BS &amp; FCF'!G16:G19)-SUM('BS &amp; FCF'!F16:F19)))</f>
        <v>0</v>
      </c>
      <c r="H79" s="68">
        <f>(SUM('BS &amp; FCF'!H33:H38)-SUM('BS &amp; FCF'!G33:G38)+SUM('BS &amp; FCF'!H40:H41)-SUM('BS &amp; FCF'!G40:G41))-(('BS &amp; FCF'!H8-'BS &amp; FCF'!G8)+('BS &amp; FCF'!H12-'BS &amp; FCF'!G12)+(SUM('BS &amp; FCF'!H16:H19)-SUM('BS &amp; FCF'!G16:G19)))</f>
        <v>0</v>
      </c>
      <c r="I79" s="68">
        <f>(SUM('BS &amp; FCF'!I33:I38)-SUM('BS &amp; FCF'!H33:H38)+SUM('BS &amp; FCF'!I40:I41)-SUM('BS &amp; FCF'!H40:H41))-(('BS &amp; FCF'!I8-'BS &amp; FCF'!H8)+('BS &amp; FCF'!I12-'BS &amp; FCF'!H12)+(SUM('BS &amp; FCF'!I16:I19)-SUM('BS &amp; FCF'!H16:H19)))</f>
        <v>0</v>
      </c>
      <c r="J79" s="68">
        <f>(SUM('BS &amp; FCF'!J33:J38)-SUM('BS &amp; FCF'!I33:I38)+SUM('BS &amp; FCF'!J40:J41)-SUM('BS &amp; FCF'!I40:I41))-(('BS &amp; FCF'!J8-'BS &amp; FCF'!I8)+('BS &amp; FCF'!J12-'BS &amp; FCF'!I12)+(SUM('BS &amp; FCF'!J16:J19)-SUM('BS &amp; FCF'!I16:I19)))</f>
        <v>0</v>
      </c>
      <c r="K79" s="28">
        <f>(SUM('BS &amp; FCF'!K33:K38)-SUM('BS &amp; FCF'!F33:F38)+SUM('BS &amp; FCF'!K40:K41)-SUM('BS &amp; FCF'!F40:F41))-(('BS &amp; FCF'!K8-'BS &amp; FCF'!F8)+('BS &amp; FCF'!K12-'BS &amp; FCF'!F12)+(SUM('BS &amp; FCF'!K16:K19)-SUM('BS &amp; FCF'!F16:F19)))</f>
        <v>0</v>
      </c>
      <c r="L79" s="68">
        <f>(SUM('BS &amp; FCF'!L33:L38)-SUM('BS &amp; FCF'!K33:K38)+SUM('BS &amp; FCF'!L40:L41)-SUM('BS &amp; FCF'!K40:K41))-(('BS &amp; FCF'!L8-'BS &amp; FCF'!K8)+('BS &amp; FCF'!L12-'BS &amp; FCF'!K12)+(SUM('BS &amp; FCF'!L16:L19)-SUM('BS &amp; FCF'!K16:K19)))</f>
        <v>0</v>
      </c>
      <c r="M79" s="68">
        <f>(SUM('BS &amp; FCF'!M33:M38)-SUM('BS &amp; FCF'!L33:L38)+SUM('BS &amp; FCF'!M40:M41)-SUM('BS &amp; FCF'!L40:L41))-(('BS &amp; FCF'!M8-'BS &amp; FCF'!L8)+('BS &amp; FCF'!M12-'BS &amp; FCF'!L12)+(SUM('BS &amp; FCF'!M16:M19)-SUM('BS &amp; FCF'!L16:L19)))</f>
        <v>0</v>
      </c>
      <c r="N79" s="68">
        <f>(SUM('BS &amp; FCF'!N33:N38)-SUM('BS &amp; FCF'!M33:M38)+SUM('BS &amp; FCF'!N40:N41)-SUM('BS &amp; FCF'!M40:M41))-(('BS &amp; FCF'!N8-'BS &amp; FCF'!M8)+('BS &amp; FCF'!N12-'BS &amp; FCF'!M12)+(SUM('BS &amp; FCF'!N16:N19)-SUM('BS &amp; FCF'!M16:M19)))</f>
        <v>0</v>
      </c>
      <c r="O79" s="68">
        <f>(SUM('BS &amp; FCF'!O33:O38)-SUM('BS &amp; FCF'!N33:N38)+SUM('BS &amp; FCF'!O40:O41)-SUM('BS &amp; FCF'!N40:N41))-(('BS &amp; FCF'!O8-'BS &amp; FCF'!N8)+('BS &amp; FCF'!O12-'BS &amp; FCF'!N12)+(SUM('BS &amp; FCF'!O16:O19)-SUM('BS &amp; FCF'!N16:N19)))</f>
        <v>0</v>
      </c>
      <c r="P79" s="28">
        <f>(SUM('BS &amp; FCF'!P33:P38)-SUM('BS &amp; FCF'!K33:K38)+SUM('BS &amp; FCF'!P40:P41)-SUM('BS &amp; FCF'!K40:K41))-(('BS &amp; FCF'!P8-'BS &amp; FCF'!K8)+('BS &amp; FCF'!P12-'BS &amp; FCF'!K12)+(SUM('BS &amp; FCF'!P16:P19)-SUM('BS &amp; FCF'!K16:K19)))</f>
        <v>0</v>
      </c>
      <c r="Q79" s="68">
        <f>(SUM('BS &amp; FCF'!Q33:Q38)-SUM('BS &amp; FCF'!P33:P38)+SUM('BS &amp; FCF'!Q40:Q41)-SUM('BS &amp; FCF'!P40:P41))-(('BS &amp; FCF'!Q8-'BS &amp; FCF'!P8)+('BS &amp; FCF'!Q12-'BS &amp; FCF'!P12)+(SUM('BS &amp; FCF'!Q16:Q19)-SUM('BS &amp; FCF'!P16:P19)))</f>
        <v>0</v>
      </c>
      <c r="R79" s="68">
        <f>(SUM('BS &amp; FCF'!R33:R38)-SUM('BS &amp; FCF'!Q33:Q38)+SUM('BS &amp; FCF'!R40:R41)-SUM('BS &amp; FCF'!Q40:Q41))-(('BS &amp; FCF'!R8-'BS &amp; FCF'!Q8)+('BS &amp; FCF'!R12-'BS &amp; FCF'!Q12)+(SUM('BS &amp; FCF'!R16:R19)-SUM('BS &amp; FCF'!Q16:Q19)))</f>
        <v>0</v>
      </c>
      <c r="S79" s="68">
        <f>(SUM('BS &amp; FCF'!S33:S38)-SUM('BS &amp; FCF'!R33:R38)+SUM('BS &amp; FCF'!S40:S41)-SUM('BS &amp; FCF'!R40:R41))-(('BS &amp; FCF'!S8-'BS &amp; FCF'!R8)+('BS &amp; FCF'!S12-'BS &amp; FCF'!R12)+(SUM('BS &amp; FCF'!S16:S19)-SUM('BS &amp; FCF'!R16:R19)))</f>
        <v>0</v>
      </c>
      <c r="T79" s="68">
        <f>(SUM('BS &amp; FCF'!T33:T38)-SUM('BS &amp; FCF'!S33:S38)+SUM('BS &amp; FCF'!T40:T41)-SUM('BS &amp; FCF'!S40:S41))-(('BS &amp; FCF'!T8-'BS &amp; FCF'!S8)+('BS &amp; FCF'!T12-'BS &amp; FCF'!S12)+(SUM('BS &amp; FCF'!T16:T19)-SUM('BS &amp; FCF'!S16:S19)))</f>
        <v>0</v>
      </c>
      <c r="U79" s="28">
        <f>(SUM('BS &amp; FCF'!U33:U38)-SUM('BS &amp; FCF'!P33:P38)+SUM('BS &amp; FCF'!U40:U41)-SUM('BS &amp; FCF'!P40:P41))-(('BS &amp; FCF'!U8-'BS &amp; FCF'!P8)+('BS &amp; FCF'!U12-'BS &amp; FCF'!P12)+(SUM('BS &amp; FCF'!U16:U19)-SUM('BS &amp; FCF'!P16:P19)))</f>
        <v>0</v>
      </c>
      <c r="V79" s="68">
        <f>(SUM('BS &amp; FCF'!V33:V38)-SUM('BS &amp; FCF'!U33:U38)+SUM('BS &amp; FCF'!V40:V41)-SUM('BS &amp; FCF'!U40:U41))-(('BS &amp; FCF'!V8-'BS &amp; FCF'!U8)+('BS &amp; FCF'!V12-'BS &amp; FCF'!U12)+(SUM('BS &amp; FCF'!V16:V19)-SUM('BS &amp; FCF'!U16:U19)))</f>
        <v>0</v>
      </c>
      <c r="W79" s="68">
        <f>(SUM('BS &amp; FCF'!W33:W38)-SUM('BS &amp; FCF'!V33:V38)+SUM('BS &amp; FCF'!W40:W41)-SUM('BS &amp; FCF'!V40:V41))-(('BS &amp; FCF'!W8-'BS &amp; FCF'!V8)+('BS &amp; FCF'!W12-'BS &amp; FCF'!V12)+(SUM('BS &amp; FCF'!W16:W19)-SUM('BS &amp; FCF'!V16:V19)))</f>
        <v>0</v>
      </c>
      <c r="X79" s="68">
        <f>(SUM('BS &amp; FCF'!X33:X38)-SUM('BS &amp; FCF'!W33:W38)+SUM('BS &amp; FCF'!X40:X41)-SUM('BS &amp; FCF'!W40:W41))-(('BS &amp; FCF'!X8-'BS &amp; FCF'!W8)+('BS &amp; FCF'!X12-'BS &amp; FCF'!W12)+(SUM('BS &amp; FCF'!X16:X19)-SUM('BS &amp; FCF'!W16:W19)))</f>
        <v>0</v>
      </c>
      <c r="Y79" s="68">
        <f>(SUM('BS &amp; FCF'!Y33:Y38)-SUM('BS &amp; FCF'!X33:X38)+SUM('BS &amp; FCF'!Y40:Y41)-SUM('BS &amp; FCF'!X40:X41))-(('BS &amp; FCF'!Y8-'BS &amp; FCF'!X8)+('BS &amp; FCF'!Y12-'BS &amp; FCF'!X12)+(SUM('BS &amp; FCF'!Y16:Y19)-SUM('BS &amp; FCF'!X16:X19)))</f>
        <v>0</v>
      </c>
      <c r="Z79" s="28">
        <f>(SUM('BS &amp; FCF'!Z33:Z38)-SUM('BS &amp; FCF'!U33:U38)+SUM('BS &amp; FCF'!Z40:Z41)-SUM('BS &amp; FCF'!U40:U41))-(('BS &amp; FCF'!Z8-'BS &amp; FCF'!U8)+('BS &amp; FCF'!Z12-'BS &amp; FCF'!U12)+(SUM('BS &amp; FCF'!Z16:Z19)-SUM('BS &amp; FCF'!U16:U19)))</f>
        <v>0</v>
      </c>
      <c r="AA79" s="68">
        <f>(SUM('BS &amp; FCF'!AA33:AA38)-SUM('BS &amp; FCF'!Z33:Z38)+SUM('BS &amp; FCF'!AA40:AA41)-SUM('BS &amp; FCF'!Z40:Z41))-(('BS &amp; FCF'!AA8-'BS &amp; FCF'!Z8)+('BS &amp; FCF'!AA12-'BS &amp; FCF'!Z12)+(SUM('BS &amp; FCF'!AA16:AA19)-SUM('BS &amp; FCF'!Z16:Z19)))</f>
        <v>0</v>
      </c>
      <c r="AB79" s="68">
        <f>(SUM('BS &amp; FCF'!AB33:AB38)-SUM('BS &amp; FCF'!AA33:AA38)+SUM('BS &amp; FCF'!AB40:AB41)-SUM('BS &amp; FCF'!AA40:AA41))-(('BS &amp; FCF'!AB8-'BS &amp; FCF'!AA8)+('BS &amp; FCF'!AB12-'BS &amp; FCF'!AA12)+(SUM('BS &amp; FCF'!AB16:AB19)-SUM('BS &amp; FCF'!AA16:AA19)))</f>
        <v>0</v>
      </c>
      <c r="AC79" s="68">
        <f>(SUM('BS &amp; FCF'!AC33:AC38)-SUM('BS &amp; FCF'!AB33:AB38)+SUM('BS &amp; FCF'!AC40:AC41)-SUM('BS &amp; FCF'!AB40:AB41))-(('BS &amp; FCF'!AC8-'BS &amp; FCF'!AB8)+('BS &amp; FCF'!AC12-'BS &amp; FCF'!AB12)+(SUM('BS &amp; FCF'!AC16:AC19)-SUM('BS &amp; FCF'!AB16:AB19)))</f>
        <v>0</v>
      </c>
      <c r="AD79" s="68">
        <f>(SUM('BS &amp; FCF'!AD33:AD38)-SUM('BS &amp; FCF'!AC33:AC38)+SUM('BS &amp; FCF'!AD40:AD41)-SUM('BS &amp; FCF'!AC40:AC41))-(('BS &amp; FCF'!AD8-'BS &amp; FCF'!AC8)+('BS &amp; FCF'!AD12-'BS &amp; FCF'!AC12)+(SUM('BS &amp; FCF'!AD16:AD19)-SUM('BS &amp; FCF'!AC16:AC19)))</f>
        <v>0</v>
      </c>
      <c r="AE79" s="28">
        <f>(SUM('BS &amp; FCF'!AE33:AE38)-SUM('BS &amp; FCF'!Z33:Z38)+SUM('BS &amp; FCF'!AE40:AE41)-SUM('BS &amp; FCF'!Z40:Z41))-(('BS &amp; FCF'!AE8-'BS &amp; FCF'!Z8)+('BS &amp; FCF'!AE12-'BS &amp; FCF'!Z12)+(SUM('BS &amp; FCF'!AE16:AE19)-SUM('BS &amp; FCF'!Z16:Z19)))</f>
        <v>0</v>
      </c>
      <c r="AF79" s="68">
        <f>(SUM('BS &amp; FCF'!AF33:AF38)-SUM('BS &amp; FCF'!AE33:AE38)+SUM('BS &amp; FCF'!AF40:AF41)-SUM('BS &amp; FCF'!AE40:AE41))-(('BS &amp; FCF'!AF8-'BS &amp; FCF'!AE8)+('BS &amp; FCF'!AF12-'BS &amp; FCF'!AE12)+(SUM('BS &amp; FCF'!AF16:AF19)-SUM('BS &amp; FCF'!AE16:AE19)))</f>
        <v>0</v>
      </c>
      <c r="AG79" s="68">
        <f>(SUM('BS &amp; FCF'!AG33:AG38)-SUM('BS &amp; FCF'!AF33:AF38)+SUM('BS &amp; FCF'!AG40:AG41)-SUM('BS &amp; FCF'!AF40:AF41))-(('BS &amp; FCF'!AG8-'BS &amp; FCF'!AF8)+('BS &amp; FCF'!AG12-'BS &amp; FCF'!AF12)+(SUM('BS &amp; FCF'!AG16:AG19)-SUM('BS &amp; FCF'!AF16:AF19)))</f>
        <v>0</v>
      </c>
      <c r="AH79" s="68">
        <f>(SUM('BS &amp; FCF'!AH33:AH38)-SUM('BS &amp; FCF'!AG33:AG38)+SUM('BS &amp; FCF'!AH40:AH41)-SUM('BS &amp; FCF'!AG40:AG41))-(('BS &amp; FCF'!AH8-'BS &amp; FCF'!AG8)+('BS &amp; FCF'!AH12-'BS &amp; FCF'!AG12)+(SUM('BS &amp; FCF'!AH16:AH19)-SUM('BS &amp; FCF'!AG16:AG19)))</f>
        <v>0</v>
      </c>
      <c r="AI79" s="68">
        <f>(SUM('BS &amp; FCF'!AI33:AI38)-SUM('BS &amp; FCF'!AH33:AH38)+SUM('BS &amp; FCF'!AI40:AI41)-SUM('BS &amp; FCF'!AH40:AH41))-(('BS &amp; FCF'!AI8-'BS &amp; FCF'!AH8)+('BS &amp; FCF'!AI12-'BS &amp; FCF'!AH12)+(SUM('BS &amp; FCF'!AI16:AI19)-SUM('BS &amp; FCF'!AH16:AH19)))</f>
        <v>0</v>
      </c>
      <c r="AJ79" s="28">
        <f>(SUM('BS &amp; FCF'!AJ33:AJ38)-SUM('BS &amp; FCF'!AE33:AE38)+SUM('BS &amp; FCF'!AJ40:AJ41)-SUM('BS &amp; FCF'!AE40:AE41))-(('BS &amp; FCF'!AJ8-'BS &amp; FCF'!AE8)+('BS &amp; FCF'!AJ12-'BS &amp; FCF'!AE12)+(SUM('BS &amp; FCF'!AJ16:AJ19)-SUM('BS &amp; FCF'!AE16:AE19)))</f>
        <v>0</v>
      </c>
      <c r="AK79" s="68">
        <f>(SUM(AK33:AK38)-SUM(AJ33:AJ38)+SUM(AK40:AK41)-SUM(AJ40:AJ41))-((AK8-AJ8)+(AK12-AJ12)+(SUM(AK16:AK19)-SUM(AJ16:AJ19)))</f>
        <v>-634510</v>
      </c>
      <c r="AL79" s="68">
        <f>(SUM(AL33:AL38)-SUM(AK33:AK38)+SUM(AL40:AL41)-SUM(AK40:AK41))-((AL8-AK8)+(AL12-AK12)+(SUM(AL16:AL19)-SUM(AK16:AK19)))</f>
        <v>-15971</v>
      </c>
      <c r="AM79" s="68">
        <f>(SUM(AM33:AM38)-SUM(AL33:AL38)+SUM(AM40:AM41)-SUM(AL40:AL41))-((AM8-AL8)+(AM12-AL12)+(SUM(AM16:AM19)-SUM(AL16:AL19)))</f>
        <v>-12588</v>
      </c>
      <c r="AN79" s="68">
        <f>(SUM(AN33:AN38)-SUM(AM33:AM38)+SUM(AN40:AN41)-SUM(AM40:AM41))-((AN8-AM8)+(AN12-AM12)+(SUM(AN16:AN19)-SUM(AM16:AM19)))</f>
        <v>102416</v>
      </c>
      <c r="AO79" s="28">
        <f>(SUM(AO33:AO38)-SUM(AJ33:AJ38)+SUM(AO40:AO41)-SUM(AJ40:AJ41))-((AO8-AJ8)+(AO12-AJ12)+(SUM(AO16:AO19)-SUM(AJ16:AJ19)))</f>
        <v>-560653</v>
      </c>
      <c r="AP79" s="68">
        <f>(SUM(AP33:AP38)-SUM(AO33:AO38)+SUM(AP40:AP41)-SUM(AO40:AO41))-((AP8-AO8)+(AP12-AO12)+(SUM(AP16:AP19)-SUM(AO16:AO19)))</f>
        <v>-19967</v>
      </c>
      <c r="AQ79" s="68">
        <f>(SUM(AQ33:AQ38)-SUM(AP33:AP38)+SUM(AQ40:AQ41)-SUM(AP40:AP41))-((AQ8-AP8)+(AQ12-AP12)+(SUM(AQ16:AQ19)-SUM(AP16:AP19)))</f>
        <v>7286</v>
      </c>
      <c r="AR79" s="68">
        <f>(SUM(AR33:AR38)-SUM(AQ33:AQ38)+SUM(AR40:AR41)-SUM(AQ40:AQ41))-((AR8-AQ8)+(AR12-AQ12)+(SUM(AR16:AR19)-SUM(AQ16:AQ19)))</f>
        <v>21098</v>
      </c>
      <c r="AS79" s="68">
        <f>(SUM(AS33:AS38)-SUM(AR33:AR38)+SUM(AS40:AS41)-SUM(AR40:AR41))-((AS8-AR8)+(AS12-AR12)+(SUM(AS16:AS19)-SUM(AR16:AR19)))</f>
        <v>68548</v>
      </c>
      <c r="AT79" s="28">
        <f>(SUM(AT33:AT38)-SUM(AO33:AO38)+SUM(AT40:AT41)-SUM(AO40:AO41))-((AT8-AO8)+(AT12-AO12)+(SUM(AT16:AT19)-SUM(AO16:AO19)))</f>
        <v>76965</v>
      </c>
      <c r="AU79" s="68">
        <f>(SUM(AU33:AU38)-SUM(AT33:AT38)+SUM(AU40:AU41)-SUM(AT40:AT41))-((AU8-AT8)+(AU12-AT12)+(SUM(AU16:AU19)-SUM(AT16:AT19)))</f>
        <v>-19932</v>
      </c>
      <c r="AV79" s="68">
        <f>(SUM(AV33:AV38)-SUM(AU33:AU38)+SUM(AV40:AV41)-SUM(AU40:AU41))-((AV8-AU8)+(AV12-AU12)+(SUM(AV16:AV19)-SUM(AU16:AU19)))</f>
        <v>-22947</v>
      </c>
      <c r="AW79" s="68">
        <f>(SUM(AW33:AW38)-SUM(AV33:AV38)+SUM(AW40:AW41)-SUM(AV40:AV41))-((AW8-AV8)+(AW12-AV12)+(SUM(AW16:AW19)-SUM(AV16:AV19)))</f>
        <v>-3329</v>
      </c>
      <c r="AX79" s="68">
        <f>(SUM(AX33:AX38)-SUM(AW33:AW38)+SUM(AX40:AX41)-SUM(AW40:AW41))-((AX8-AW8)+(AX12-AW12)+(SUM(AX16:AX19)-SUM(AW16:AW19)))</f>
        <v>55169</v>
      </c>
      <c r="AY79" s="28">
        <f>(SUM(AY33:AY38)-SUM(AT33:AT38)+SUM(AY40:AY41)-SUM(AT40:AT41))-((AY8-AT8)+(AY12-AT12)+(SUM(AY16:AY19)-SUM(AT16:AT19)))</f>
        <v>8961</v>
      </c>
      <c r="AZ79" s="68">
        <f>(SUM(AZ33:AZ38)-SUM(AY33:AY38)+SUM(AZ40:AZ41)-SUM(AY40:AY41))-((AZ8-AY8)+(AZ12-AY12)+(SUM(AZ16:AZ19)-SUM(AY16:AY19)))</f>
        <v>4168</v>
      </c>
      <c r="BA79" s="68">
        <f>(SUM(BA33:BA38)-SUM(AZ33:AZ38)+SUM(BA40:BA41)-SUM(AZ40:AZ41))-((BA8-AZ8)+(BA12-AZ12)+(SUM(BA16:BA19)-SUM(AZ16:AZ19)))</f>
        <v>28725</v>
      </c>
      <c r="BB79" s="68">
        <f>(SUM(BB33:BB38)-SUM(BA33:BA38)+SUM(BB40:BB41)-SUM(BA40:BA41))-((BB8-BA8)+(BB12-BA12)+(SUM(BB16:BB19)-SUM(BA16:BA19)))</f>
        <v>9178</v>
      </c>
      <c r="BC79" s="68">
        <f>(SUM(BC33:BC38)-SUM(BB33:BB38)+SUM(BC40:BC41)-SUM(BB40:BB41))-((BC8-BB8)+(BC12-BB12)+(SUM(BC16:BC19)-SUM(BB16:BB19)))</f>
        <v>-47427</v>
      </c>
      <c r="BD79" s="28">
        <f>(SUM(BD33:BD38)-SUM(AY33:AY38)+SUM(BD40:BD41)-SUM(AY40:AY41))-((BD8-AY8)+(BD12-AY12)+(SUM(BD16:BD19)-SUM(AY16:AY19)))</f>
        <v>-5356</v>
      </c>
      <c r="BE79" s="68">
        <f>(SUM(BE33:BE38)-SUM(BD33:BD38)+SUM(BE40:BE41)-SUM(BD40:BD41))-((BE8-BD8)+(BE12-BD12)+(SUM(BE16:BE19)-SUM(BD16:BD19)))</f>
        <v>-35541</v>
      </c>
      <c r="BF79" s="68">
        <f>(SUM(BF33:BF38)-SUM(BE33:BE38)+SUM(BF40:BF41)-SUM(BE40:BE41))-((BF8-BE8)+(BF12-BE12)+(SUM(BF16:BF19)-SUM(BE16:BE19)))</f>
        <v>-9332</v>
      </c>
      <c r="BG79" s="68">
        <f>(SUM(BG33:BG38)-SUM(BF33:BF38)+SUM(BG40:BG41)-SUM(BF40:BF41))-((BG8-BF8)+(BG12-BF12)+(SUM(BG16:BG19)-SUM(BF16:BF19)))</f>
        <v>-8244</v>
      </c>
      <c r="BH79" s="68">
        <f>(SUM(BH33:BH38)-SUM(BG33:BG38)+SUM(BH40:BH41)-SUM(BG40:BG41))-((BH8-BG8)+(BH12-BG12)+(SUM(BH16:BH19)-SUM(BG16:BG19)))</f>
        <v>49692</v>
      </c>
      <c r="BI79" s="28">
        <f>(SUM(BI33:BI38)-SUM(BD33:BD38)+SUM(BI40:BI41)-SUM(BD40:BD41))-((BI8-BD8)+(BI12-BD12)+(SUM(BI16:BI19)-SUM(BD16:BD19)))</f>
        <v>-3425</v>
      </c>
      <c r="BJ79" s="68">
        <f>(SUM(BJ33:BJ38)-SUM(BI33:BI38)+SUM(BJ40:BJ41)-SUM(BI40:BI41))-((BJ8-BI8)+(BJ12-BI12)+(SUM(BJ16:BJ19)-SUM(BI16:BI19)))</f>
        <v>-42117</v>
      </c>
      <c r="BK79" s="68">
        <f>(SUM(BK33:BK38)-SUM(BJ33:BJ38)+SUM(BK40:BK41)-SUM(BJ40:BJ41))-((BK8-BJ8)+(BK12-BJ12)+(SUM(BK16:BK19)-SUM(BJ16:BJ19)))</f>
        <v>-11105</v>
      </c>
      <c r="BL79" s="68">
        <f>(SUM(BL33:BL38)-SUM(BK33:BK38)+SUM(BL40:BL41)-SUM(BK40:BK41))-((BL8-BK8)+(BL12-BK12)+(SUM(BL16:BL19)-SUM(BK16:BK19)))</f>
        <v>-25797</v>
      </c>
      <c r="BM79" s="68">
        <f>(SUM(BM33:BM38)-SUM(BL33:BL38)+SUM(BM40:BM41)-SUM(BL40:BL41))-((BM8-BL8)+(BM12-BL12)+(SUM(BM16:BM19)-SUM(BL16:BL19)))</f>
        <v>45471</v>
      </c>
      <c r="BN79" s="28">
        <f>(SUM(BN33:BN38)-SUM(BI33:BI38)+SUM(BN40:BN41)-SUM(BI40:BI41))-((BN8-BI8)+(BN12-BI12)+(SUM(BN16:BN19)-SUM(BI16:BI19)))</f>
        <v>-33548</v>
      </c>
      <c r="BO79" s="68">
        <f>(SUM(BO33:BO38)-SUM(BN33:BN38)+SUM(BO40:BO41)-SUM(BN40:BN41))-((BO8-BN8)+(BO12-BN12)+(SUM(BO16:BO19)-SUM(BN16:BN19)))</f>
        <v>-78707</v>
      </c>
      <c r="BP79" s="68">
        <f>(SUM(BP33:BP38)-SUM(BO33:BO38)+SUM(BP40:BP41)-SUM(BO40:BO41))-((BP8-BO8)+(BP12-BO12)+(SUM(BP16:BP19)-SUM(BO16:BO19)))</f>
        <v>-26526</v>
      </c>
      <c r="BQ79" s="68">
        <f>(SUM(BQ33:BQ38)-SUM(BP33:BP38)+SUM(BQ40:BQ41)-SUM(BP40:BP41))-((BQ8-BP8)+(BQ12-BP12)+(SUM(BQ16:BQ19)-SUM(BP16:BP19)))</f>
        <v>19594</v>
      </c>
      <c r="BR79" s="68">
        <f>(SUM(BR33:BR38)-SUM(BQ33:BQ38)+SUM(BR40:BR41)-SUM(BQ40:BQ41))-((BR8-BQ8)+(BR12-BQ12)+(SUM(BR16:BR19)-SUM(BQ16:BQ19)))</f>
        <v>22285</v>
      </c>
      <c r="BS79" s="28">
        <f>(SUM(BS33:BS38)-SUM(BN33:BN38)+SUM(BS40:BS41)-SUM(BN40:BN41))-((BS8-BN8)+(BS12-BN12)+(SUM(BS16:BS19)-SUM(BN16:BN19)))</f>
        <v>-63354</v>
      </c>
      <c r="BT79" s="68">
        <f>(SUM(BT33:BT38)-SUM(BS33:BS38)+SUM(BT40:BT41)-SUM(BS40:BS41))-((BT8-BS8)+(BT12-BS12)+(SUM(BT16:BT19)-SUM(BS16:BS19)))</f>
        <v>-124504</v>
      </c>
      <c r="BU79" s="68">
        <f>(SUM(BU33:BU38)-SUM(BT33:BT38)+SUM(BU40:BU41)-SUM(BT40:BT41))-((BU8-BT8)+(BU12-BT12)+(SUM(BU16:BU19)-SUM(BT16:BT19)))</f>
        <v>-33036</v>
      </c>
      <c r="BV79" s="68">
        <f>(SUM(BV33:BV38)-SUM(BU33:BU38)+SUM(BV40:BV41)-SUM(BU40:BU41))-((BV8-BU8)+(BV12-BU12)+(SUM(BV16:BV19)-SUM(BU16:BU19)))</f>
        <v>-71601</v>
      </c>
      <c r="BW79" s="68">
        <f>(SUM(BW33:BW38)-SUM(BV33:BV38)+SUM(BW40:BW41)-SUM(BV40:BV41))-((BW8-BV8)+(BW12-BV12)+(SUM(BW16:BW19)-SUM(BV16:BV19)))</f>
        <v>-20816</v>
      </c>
      <c r="BX79" s="28">
        <f>(SUM(BX33:BX38)-SUM(BS33:BS38)+SUM(BX40:BX41)-SUM(BS40:BS41))-((BX8-BS8)+(BX12-BS12)+(SUM(BX16:BX19)-SUM(BS16:BS19)))</f>
        <v>-249957</v>
      </c>
      <c r="BY79" s="68">
        <f>(SUM(BY33:BY38)-SUM(BX33:BX38)+SUM(BY40:BY41)-SUM(BX40:BX41))-((BY8-BX8)+(BY12-BX12)+(SUM(BY16:BY19)-SUM(BX16:BX19)))</f>
        <v>-226439</v>
      </c>
      <c r="BZ79" s="68">
        <f>(SUM(BZ33:BZ38)-SUM(BY33:BY38)+SUM(BZ40:BZ41)-SUM(BY40:BY41))-((BZ8-BY8)+(BZ12-BY12)+(SUM(BZ16:BZ19)-SUM(BY16:BY19)))</f>
        <v>-193158</v>
      </c>
      <c r="CA79" s="68">
        <f>(SUM(CA33:CA38)-SUM(BZ33:BZ38)+SUM(CA40:CA41)-SUM(BZ40:BZ41))-((CA8-BZ8)+(CA12-BZ12)+(SUM(CA16:CA19)-SUM(BZ16:BZ19)))</f>
        <v>-47896</v>
      </c>
      <c r="CB79" s="68">
        <f>(SUM(CB33:CB38)-SUM(CA33:CA38)+SUM(CB40:CB41)-SUM(CA40:CA41))-((CB8-CA8)+(CB12-CA12)+(SUM(CB16:CB19)-SUM(CA16:CA19)))</f>
        <v>46273</v>
      </c>
      <c r="CC79" s="28">
        <f>(SUM(CC33:CC38)-SUM(BX33:BX38)+SUM(CC40:CC41)-SUM(BX40:BX41))-((CC8-BX8)+(CC12-BX12)+(SUM(CC16:CC19)-SUM(BX16:BX19)))</f>
        <v>-421220</v>
      </c>
      <c r="CD79" s="68">
        <f>(SUM(CD33:CD38)-SUM(CC33:CC38)+SUM(CD40:CD41)-SUM(CC40:CC41))-((CD8-CC8)+(CD12-CC12)+(SUM(CD16:CD19)-SUM(CC16:CC19)))</f>
        <v>-271494</v>
      </c>
      <c r="CE79" s="68">
        <f>(SUM(CE33:CE38)-SUM(CD33:CD38)+SUM(CE40:CE41)-SUM(CD40:CD41))-((CE8-CD8)+(CE12-CD12)+(SUM(CE16:CE19)-SUM(CD16:CD19)))</f>
        <v>-165305</v>
      </c>
      <c r="CF79" s="68">
        <f>(SUM(CF33:CF38)-SUM(CE33:CE38)+SUM(CF40:CF41)-SUM(CE40:CE41))-((CF8-CE8)+(CF12-CE12)+(SUM(CF16:CF19)-SUM(CE16:CE19)))</f>
        <v>11267.650294347666</v>
      </c>
      <c r="CG79" s="68">
        <f>(SUM(CG33:CG38)-SUM(CF33:CF38)+SUM(CG40:CG41)-SUM(CF40:CF41))-((CG8-CF8)+(CG12-CF12)+(SUM(CG16:CG19)-SUM(CF16:CF19)))</f>
        <v>-15427.503766733571</v>
      </c>
      <c r="CH79" s="28">
        <f>(SUM(CH33:CH38)-SUM(CC33:CC38)+SUM(CH40:CH41)-SUM(CC40:CC41))-((CH8-CC8)+(CH12-CC12)+(SUM(CH16:CH19)-SUM(CC16:CC19)))</f>
        <v>-440958.8534723859</v>
      </c>
      <c r="CI79" s="68">
        <f>(SUM(CI33:CI38)-SUM(CH33:CH38)+SUM(CI40:CI41)-SUM(CH40:CH41))-((CI8-CH8)+(CI12-CH12)+(SUM(CI16:CI19)-SUM(CH16:CH19)))</f>
        <v>-94211.927985713119</v>
      </c>
      <c r="CJ79" s="68">
        <f>(SUM(CJ33:CJ38)-SUM(CI33:CI38)+SUM(CJ40:CJ41)-SUM(CI40:CI41))-((CJ8-CI8)+(CJ12-CI12)+(SUM(CJ16:CJ19)-SUM(CI16:CI19)))</f>
        <v>-121387.9730103219</v>
      </c>
      <c r="CK79" s="68">
        <f>(SUM(CK33:CK38)-SUM(CJ33:CJ38)+SUM(CK40:CK41)-SUM(CJ40:CJ41))-((CK8-CJ8)+(CK12-CJ12)+(SUM(CK16:CK19)-SUM(CJ16:CJ19)))</f>
        <v>-147432.50562265265</v>
      </c>
      <c r="CL79" s="68">
        <f>(SUM(CL33:CL38)-SUM(CK33:CK38)+SUM(CL40:CL41)-SUM(CK40:CK41))-((CL8-CK8)+(CL12-CK12)+(SUM(CL16:CL19)-SUM(CK16:CK19)))</f>
        <v>-94300.833552017924</v>
      </c>
      <c r="CM79" s="28">
        <f>(SUM(CM33:CM38)-SUM(CH33:CH38)+SUM(CM40:CM41)-SUM(CH40:CH41))-((CM8-CH8)+(CM12-CH12)+(SUM(CM16:CM19)-SUM(CH16:CH19)))</f>
        <v>-457333.2401707056</v>
      </c>
      <c r="CN79" s="68">
        <f>(SUM(CN33:CN38)-SUM(CM33:CM38)+SUM(CN40:CN41)-SUM(CM40:CM41))-((CN8-CM8)+(CN12-CM12)+(SUM(CN16:CN19)-SUM(CM16:CM19)))</f>
        <v>-72584.001778021222</v>
      </c>
      <c r="CO79" s="68">
        <f>(SUM(CO33:CO38)-SUM(CN33:CN38)+SUM(CO40:CO41)-SUM(CN40:CN41))-((CO8-CN8)+(CO12-CN12)+(SUM(CO16:CO19)-SUM(CN16:CN19)))</f>
        <v>-56292.960105153266</v>
      </c>
      <c r="CP79" s="68">
        <f>(SUM(CP33:CP38)-SUM(CO33:CO38)+SUM(CP40:CP41)-SUM(CO40:CO41))-((CP8-CO8)+(CP12-CO12)+(SUM(CP16:CP19)-SUM(CO16:CO19)))</f>
        <v>-69403.766434152261</v>
      </c>
      <c r="CQ79" s="68">
        <f>(SUM(CQ33:CQ38)-SUM(CP33:CP38)+SUM(CQ40:CQ41)-SUM(CP40:CP41))-((CQ8-CP8)+(CQ12-CP12)+(SUM(CQ16:CQ19)-SUM(CP16:CP19)))</f>
        <v>-82380.673187563487</v>
      </c>
      <c r="CR79" s="28">
        <f>(SUM(CR33:CR38)-SUM(CM33:CM38)+SUM(CR40:CR41)-SUM(CM40:CM41))-((CR8-CM8)+(CR12-CM12)+(SUM(CR16:CR19)-SUM(CM16:CM19)))</f>
        <v>-280661.40150489024</v>
      </c>
      <c r="CS79" s="68">
        <f>(SUM(CS33:CS38)-SUM(CR33:CR38)+SUM(CS40:CS41)-SUM(CR40:CR41))-((CS8-CR8)+(CS12-CR12)+(SUM(CS16:CS19)-SUM(CR16:CR19)))</f>
        <v>-48277.037789103459</v>
      </c>
      <c r="CT79" s="68">
        <f>(SUM(CT33:CT38)-SUM(CS33:CS38)+SUM(CT40:CT41)-SUM(CS40:CS41))-((CT8-CS8)+(CT12-CS12)+(SUM(CT16:CT19)-SUM(CS16:CS19)))</f>
        <v>-58578.764880106726</v>
      </c>
      <c r="CU79" s="68">
        <f>(SUM(CU33:CU38)-SUM(CT33:CT38)+SUM(CU40:CU41)-SUM(CT40:CT41))-((CU8-CT8)+(CU12-CT12)+(SUM(CU16:CU19)-SUM(CT16:CT19)))</f>
        <v>-68290.379135085677</v>
      </c>
      <c r="CV79" s="68">
        <f>(SUM(CV33:CV38)-SUM(CU33:CU38)+SUM(CV40:CV41)-SUM(CU40:CU41))-((CV8-CU8)+(CV12-CU12)+(SUM(CV16:CV19)-SUM(CU16:CU19)))</f>
        <v>-58090.971446744341</v>
      </c>
      <c r="CW79" s="28">
        <f>(SUM(CW33:CW38)-SUM(CR33:CR38)+SUM(CW40:CW41)-SUM(CR40:CR41))-((CW8-CR8)+(CW12-CR12)+(SUM(CW16:CW19)-SUM(CR16:CR19)))</f>
        <v>-233237.1532510402</v>
      </c>
      <c r="CX79" s="68">
        <f>(SUM(CX33:CX38)-SUM(CW33:CW38)+SUM(CX40:CX41)-SUM(CW40:CW41))-((CX8-CW8)+(CX12-CW12)+(SUM(CX16:CX19)-SUM(CW16:CW19)))</f>
        <v>-32247.541007977037</v>
      </c>
      <c r="CY79" s="68">
        <f>(SUM(CY33:CY38)-SUM(CX33:CX38)+SUM(CY40:CY41)-SUM(CX40:CX41))-((CY8-CX8)+(CY12-CX12)+(SUM(CY16:CY19)-SUM(CX16:CX19)))</f>
        <v>-53556.786718002113</v>
      </c>
      <c r="CZ79" s="68">
        <f>(SUM(CZ33:CZ38)-SUM(CY33:CY38)+SUM(CZ40:CZ41)-SUM(CY40:CY41))-((CZ8-CY8)+(CZ12-CY12)+(SUM(CZ16:CZ19)-SUM(CY16:CY19)))</f>
        <v>-72398.160648963822</v>
      </c>
      <c r="DA79" s="68">
        <f>(SUM(DA33:DA38)-SUM(CZ33:CZ38)+SUM(DA40:DA41)-SUM(CZ40:CZ41))-((DA8-CZ8)+(DA12-CZ12)+(SUM(DA16:DA19)-SUM(CZ16:CZ19)))</f>
        <v>-68150.476251108223</v>
      </c>
      <c r="DB79" s="28">
        <f>(SUM(DB33:DB38)-SUM(CW33:CW38)+SUM(DB40:DB41)-SUM(CW40:CW41))-((DB8-CW8)+(DB12-CW12)+(SUM(DB16:DB19)-SUM(CW16:CW19)))</f>
        <v>-226352.96462605119</v>
      </c>
    </row>
    <row r="80" spans="1:106" s="7" customFormat="1" ht="11.5" customHeight="1" x14ac:dyDescent="0.35">
      <c r="A80" s="11" t="s">
        <v>142</v>
      </c>
      <c r="B80" s="115" t="e">
        <f t="shared" ref="B80:AE80" si="499">SUM(B77:B79)</f>
        <v>#VALUE!</v>
      </c>
      <c r="C80" s="115">
        <f t="shared" si="499"/>
        <v>0</v>
      </c>
      <c r="D80" s="115">
        <f t="shared" si="499"/>
        <v>0</v>
      </c>
      <c r="E80" s="115">
        <f t="shared" si="499"/>
        <v>0</v>
      </c>
      <c r="F80" s="38" t="e">
        <f t="shared" si="499"/>
        <v>#VALUE!</v>
      </c>
      <c r="G80" s="115">
        <f t="shared" si="499"/>
        <v>0</v>
      </c>
      <c r="H80" s="115">
        <f t="shared" si="499"/>
        <v>0</v>
      </c>
      <c r="I80" s="115">
        <f t="shared" si="499"/>
        <v>0</v>
      </c>
      <c r="J80" s="115">
        <f t="shared" si="499"/>
        <v>0</v>
      </c>
      <c r="K80" s="38">
        <f t="shared" si="499"/>
        <v>0</v>
      </c>
      <c r="L80" s="115">
        <f t="shared" si="499"/>
        <v>0</v>
      </c>
      <c r="M80" s="115">
        <f t="shared" si="499"/>
        <v>0</v>
      </c>
      <c r="N80" s="115">
        <f t="shared" si="499"/>
        <v>0</v>
      </c>
      <c r="O80" s="115">
        <f t="shared" si="499"/>
        <v>0</v>
      </c>
      <c r="P80" s="38">
        <f t="shared" si="499"/>
        <v>0</v>
      </c>
      <c r="Q80" s="115">
        <f t="shared" si="499"/>
        <v>0</v>
      </c>
      <c r="R80" s="115">
        <f t="shared" si="499"/>
        <v>0</v>
      </c>
      <c r="S80" s="115">
        <f t="shared" si="499"/>
        <v>0</v>
      </c>
      <c r="T80" s="115">
        <f t="shared" si="499"/>
        <v>0</v>
      </c>
      <c r="U80" s="38">
        <f t="shared" si="499"/>
        <v>0</v>
      </c>
      <c r="V80" s="115">
        <f t="shared" si="499"/>
        <v>0</v>
      </c>
      <c r="W80" s="115">
        <f t="shared" si="499"/>
        <v>0</v>
      </c>
      <c r="X80" s="115">
        <f t="shared" si="499"/>
        <v>0</v>
      </c>
      <c r="Y80" s="115">
        <f t="shared" si="499"/>
        <v>0</v>
      </c>
      <c r="Z80" s="38">
        <f t="shared" si="499"/>
        <v>0</v>
      </c>
      <c r="AA80" s="115">
        <f t="shared" si="499"/>
        <v>0</v>
      </c>
      <c r="AB80" s="115">
        <f t="shared" si="499"/>
        <v>0</v>
      </c>
      <c r="AC80" s="115">
        <f t="shared" si="499"/>
        <v>0</v>
      </c>
      <c r="AD80" s="115">
        <f t="shared" si="499"/>
        <v>0</v>
      </c>
      <c r="AE80" s="38">
        <f t="shared" si="499"/>
        <v>0</v>
      </c>
      <c r="AF80" s="115">
        <f t="shared" ref="AF80:AL80" si="500">SUM(AF77:AF79)</f>
        <v>0</v>
      </c>
      <c r="AG80" s="115">
        <f t="shared" si="500"/>
        <v>0</v>
      </c>
      <c r="AH80" s="115">
        <f t="shared" si="500"/>
        <v>0</v>
      </c>
      <c r="AI80" s="115">
        <f t="shared" si="500"/>
        <v>0</v>
      </c>
      <c r="AJ80" s="38">
        <f t="shared" si="500"/>
        <v>0</v>
      </c>
      <c r="AK80" s="115">
        <f t="shared" si="500"/>
        <v>-621865.23399999994</v>
      </c>
      <c r="AL80" s="115">
        <f t="shared" si="500"/>
        <v>3642.6499999999614</v>
      </c>
      <c r="AM80" s="115">
        <f t="shared" ref="AM80:BR80" si="501">SUM(AM77:AM79)</f>
        <v>21038.546000000031</v>
      </c>
      <c r="AN80" s="115">
        <f t="shared" si="501"/>
        <v>149365.21300000005</v>
      </c>
      <c r="AO80" s="38">
        <f t="shared" si="501"/>
        <v>-447818.82499999995</v>
      </c>
      <c r="AP80" s="115">
        <f t="shared" si="501"/>
        <v>140.57800000000134</v>
      </c>
      <c r="AQ80" s="115">
        <f t="shared" si="501"/>
        <v>38841.25299999999</v>
      </c>
      <c r="AR80" s="115">
        <f t="shared" si="501"/>
        <v>57315.241000000053</v>
      </c>
      <c r="AS80" s="115">
        <f t="shared" si="501"/>
        <v>111667.38999999998</v>
      </c>
      <c r="AT80" s="38">
        <f t="shared" si="501"/>
        <v>207964.46200000003</v>
      </c>
      <c r="AU80" s="115">
        <f t="shared" si="501"/>
        <v>298</v>
      </c>
      <c r="AV80" s="115">
        <f t="shared" si="501"/>
        <v>38305</v>
      </c>
      <c r="AW80" s="115">
        <f t="shared" si="501"/>
        <v>27378</v>
      </c>
      <c r="AX80" s="115">
        <f t="shared" si="501"/>
        <v>104263</v>
      </c>
      <c r="AY80" s="38">
        <f t="shared" si="501"/>
        <v>170244</v>
      </c>
      <c r="AZ80" s="115">
        <f t="shared" si="501"/>
        <v>13593</v>
      </c>
      <c r="BA80" s="115">
        <f t="shared" si="501"/>
        <v>66021</v>
      </c>
      <c r="BB80" s="115">
        <f t="shared" si="501"/>
        <v>58897</v>
      </c>
      <c r="BC80" s="115">
        <f t="shared" si="501"/>
        <v>18504</v>
      </c>
      <c r="BD80" s="38">
        <f t="shared" si="501"/>
        <v>157015</v>
      </c>
      <c r="BE80" s="115">
        <f t="shared" si="501"/>
        <v>14787</v>
      </c>
      <c r="BF80" s="115">
        <f t="shared" si="501"/>
        <v>69626</v>
      </c>
      <c r="BG80" s="115">
        <f t="shared" si="501"/>
        <v>59526</v>
      </c>
      <c r="BH80" s="115">
        <f t="shared" si="501"/>
        <v>153823</v>
      </c>
      <c r="BI80" s="38">
        <f t="shared" si="501"/>
        <v>297762</v>
      </c>
      <c r="BJ80" s="115">
        <f t="shared" si="501"/>
        <v>20240</v>
      </c>
      <c r="BK80" s="115">
        <f t="shared" si="501"/>
        <v>75679</v>
      </c>
      <c r="BL80" s="115">
        <f t="shared" si="501"/>
        <v>64491</v>
      </c>
      <c r="BM80" s="115">
        <f t="shared" si="501"/>
        <v>137779</v>
      </c>
      <c r="BN80" s="38">
        <f t="shared" si="501"/>
        <v>298189</v>
      </c>
      <c r="BO80" s="115">
        <f t="shared" si="501"/>
        <v>13918</v>
      </c>
      <c r="BP80" s="115">
        <f t="shared" si="501"/>
        <v>95568</v>
      </c>
      <c r="BQ80" s="115">
        <f t="shared" si="501"/>
        <v>128510</v>
      </c>
      <c r="BR80" s="115">
        <f t="shared" si="501"/>
        <v>183390</v>
      </c>
      <c r="BS80" s="38">
        <f t="shared" ref="BS80:CX80" si="502">SUM(BS77:BS79)</f>
        <v>421386</v>
      </c>
      <c r="BT80" s="115">
        <f t="shared" si="502"/>
        <v>17266</v>
      </c>
      <c r="BU80" s="115">
        <f t="shared" si="502"/>
        <v>139939</v>
      </c>
      <c r="BV80" s="115">
        <f t="shared" si="502"/>
        <v>99695</v>
      </c>
      <c r="BW80" s="115">
        <f t="shared" si="502"/>
        <v>145659</v>
      </c>
      <c r="BX80" s="38">
        <f t="shared" si="502"/>
        <v>402559</v>
      </c>
      <c r="BY80" s="115">
        <f t="shared" si="502"/>
        <v>-12760</v>
      </c>
      <c r="BZ80" s="115">
        <f t="shared" si="502"/>
        <v>43799</v>
      </c>
      <c r="CA80" s="115">
        <f t="shared" si="502"/>
        <v>207576</v>
      </c>
      <c r="CB80" s="115">
        <f t="shared" si="502"/>
        <v>316566</v>
      </c>
      <c r="CC80" s="38">
        <f t="shared" si="502"/>
        <v>555181</v>
      </c>
      <c r="CD80" s="115">
        <f t="shared" ref="CD80:CE80" si="503">SUM(CD77:CD79)</f>
        <v>31585</v>
      </c>
      <c r="CE80" s="115">
        <f t="shared" si="503"/>
        <v>105344</v>
      </c>
      <c r="CF80" s="115">
        <f t="shared" ca="1" si="502"/>
        <v>317032.51219711959</v>
      </c>
      <c r="CG80" s="115">
        <f t="shared" ca="1" si="502"/>
        <v>321541.60266393959</v>
      </c>
      <c r="CH80" s="38">
        <f t="shared" ca="1" si="502"/>
        <v>775503.11486105935</v>
      </c>
      <c r="CI80" s="115">
        <f t="shared" ca="1" si="502"/>
        <v>252193.16513160605</v>
      </c>
      <c r="CJ80" s="115">
        <f t="shared" ca="1" si="502"/>
        <v>254420.93769360561</v>
      </c>
      <c r="CK80" s="115">
        <f t="shared" ca="1" si="502"/>
        <v>262100.12364964199</v>
      </c>
      <c r="CL80" s="115">
        <f t="shared" ca="1" si="502"/>
        <v>303765.95273532992</v>
      </c>
      <c r="CM80" s="38">
        <f t="shared" ca="1" si="502"/>
        <v>1072480.1792101834</v>
      </c>
      <c r="CN80" s="115">
        <f t="shared" ca="1" si="502"/>
        <v>377744.59466093389</v>
      </c>
      <c r="CO80" s="115">
        <f t="shared" ca="1" si="502"/>
        <v>380834.00940734649</v>
      </c>
      <c r="CP80" s="115">
        <f t="shared" ca="1" si="502"/>
        <v>388450.65674758906</v>
      </c>
      <c r="CQ80" s="115">
        <f t="shared" ca="1" si="502"/>
        <v>378285.66997284454</v>
      </c>
      <c r="CR80" s="38">
        <f t="shared" ca="1" si="502"/>
        <v>1525314.9307887137</v>
      </c>
      <c r="CS80" s="115">
        <f t="shared" ca="1" si="502"/>
        <v>437992.11649931606</v>
      </c>
      <c r="CT80" s="115">
        <f t="shared" ca="1" si="502"/>
        <v>405710.77626964694</v>
      </c>
      <c r="CU80" s="115">
        <f t="shared" ca="1" si="502"/>
        <v>411763.60102816584</v>
      </c>
      <c r="CV80" s="115">
        <f t="shared" ca="1" si="502"/>
        <v>421924.42180723621</v>
      </c>
      <c r="CW80" s="38">
        <f t="shared" ca="1" si="502"/>
        <v>1677390.9156043651</v>
      </c>
      <c r="CX80" s="115">
        <f t="shared" ca="1" si="502"/>
        <v>482631.59681699338</v>
      </c>
      <c r="CY80" s="115">
        <f t="shared" ref="CY80:DB80" ca="1" si="504">SUM(CY77:CY79)</f>
        <v>437071.19038284902</v>
      </c>
      <c r="CZ80" s="115">
        <f t="shared" ca="1" si="504"/>
        <v>433262.3398678017</v>
      </c>
      <c r="DA80" s="115">
        <f t="shared" ca="1" si="504"/>
        <v>436596.31670593121</v>
      </c>
      <c r="DB80" s="38">
        <f t="shared" ca="1" si="504"/>
        <v>1789561.4437735754</v>
      </c>
    </row>
    <row r="81" spans="1:106" s="7" customFormat="1" ht="11.5" customHeight="1" outlineLevel="1" x14ac:dyDescent="0.35">
      <c r="A81" s="7" t="s">
        <v>133</v>
      </c>
      <c r="B81" s="68" t="e">
        <f>-('BS &amp; FCF'!B20-'BS &amp; FCF'!A20)-B78</f>
        <v>#VALUE!</v>
      </c>
      <c r="C81" s="68">
        <f>-('BS &amp; FCF'!C20-'BS &amp; FCF'!B20)-C78</f>
        <v>0</v>
      </c>
      <c r="D81" s="68">
        <f>-('BS &amp; FCF'!D20-'BS &amp; FCF'!C20)-D78</f>
        <v>0</v>
      </c>
      <c r="E81" s="68">
        <f>-('BS &amp; FCF'!E20-'BS &amp; FCF'!D20)-E78</f>
        <v>0</v>
      </c>
      <c r="F81" s="28" t="e">
        <f>-('BS &amp; FCF'!F20-'BS &amp; FCF'!A20)-F78</f>
        <v>#VALUE!</v>
      </c>
      <c r="G81" s="68">
        <f>-('BS &amp; FCF'!G20-'BS &amp; FCF'!F20)-G78</f>
        <v>0</v>
      </c>
      <c r="H81" s="68">
        <f>-('BS &amp; FCF'!H20-'BS &amp; FCF'!G20)-H78</f>
        <v>0</v>
      </c>
      <c r="I81" s="68">
        <f>-('BS &amp; FCF'!I20-'BS &amp; FCF'!H20)-I78</f>
        <v>0</v>
      </c>
      <c r="J81" s="68">
        <f>-('BS &amp; FCF'!J20-'BS &amp; FCF'!I20)-J78</f>
        <v>0</v>
      </c>
      <c r="K81" s="28">
        <f>-('BS &amp; FCF'!K20-'BS &amp; FCF'!F20)-K78</f>
        <v>0</v>
      </c>
      <c r="L81" s="68">
        <f>-('BS &amp; FCF'!L20-'BS &amp; FCF'!K20)-L78</f>
        <v>0</v>
      </c>
      <c r="M81" s="68">
        <f>-('BS &amp; FCF'!M20-'BS &amp; FCF'!L20)-M78</f>
        <v>0</v>
      </c>
      <c r="N81" s="68">
        <f>-('BS &amp; FCF'!N20-'BS &amp; FCF'!M20)-N78</f>
        <v>0</v>
      </c>
      <c r="O81" s="68">
        <f>-('BS &amp; FCF'!O20-'BS &amp; FCF'!N20)-O78</f>
        <v>0</v>
      </c>
      <c r="P81" s="28">
        <f>-('BS &amp; FCF'!P20-'BS &amp; FCF'!K20)-P78</f>
        <v>0</v>
      </c>
      <c r="Q81" s="68">
        <f>-('BS &amp; FCF'!Q20-'BS &amp; FCF'!P20)-Q78</f>
        <v>0</v>
      </c>
      <c r="R81" s="68">
        <f>-('BS &amp; FCF'!R20-'BS &amp; FCF'!Q20)-R78</f>
        <v>0</v>
      </c>
      <c r="S81" s="68">
        <f>-('BS &amp; FCF'!S20-'BS &amp; FCF'!R20)-S78</f>
        <v>0</v>
      </c>
      <c r="T81" s="68">
        <f>-('BS &amp; FCF'!T20-'BS &amp; FCF'!S20)-T78</f>
        <v>0</v>
      </c>
      <c r="U81" s="28">
        <f>-('BS &amp; FCF'!U20-'BS &amp; FCF'!P20)-U78</f>
        <v>0</v>
      </c>
      <c r="V81" s="68">
        <f>-('BS &amp; FCF'!V20-'BS &amp; FCF'!U20)-V78</f>
        <v>0</v>
      </c>
      <c r="W81" s="68">
        <f>-('BS &amp; FCF'!W20-'BS &amp; FCF'!V20)-W78</f>
        <v>0</v>
      </c>
      <c r="X81" s="68">
        <f>-('BS &amp; FCF'!X20-'BS &amp; FCF'!W20)-X78</f>
        <v>0</v>
      </c>
      <c r="Y81" s="68">
        <f>-('BS &amp; FCF'!Y20-'BS &amp; FCF'!X20)-Y78</f>
        <v>0</v>
      </c>
      <c r="Z81" s="28">
        <f>-('BS &amp; FCF'!Z20-'BS &amp; FCF'!U20)-Z78</f>
        <v>0</v>
      </c>
      <c r="AA81" s="68">
        <f>-('BS &amp; FCF'!AA20-'BS &amp; FCF'!Z20)-AA78</f>
        <v>0</v>
      </c>
      <c r="AB81" s="68">
        <f>-('BS &amp; FCF'!AB20-'BS &amp; FCF'!AA20)-AB78</f>
        <v>0</v>
      </c>
      <c r="AC81" s="68">
        <f>-('BS &amp; FCF'!AC20-'BS &amp; FCF'!AB20)-AC78</f>
        <v>0</v>
      </c>
      <c r="AD81" s="68">
        <f>-('BS &amp; FCF'!AD20-'BS &amp; FCF'!AC20)-AD78</f>
        <v>0</v>
      </c>
      <c r="AE81" s="28">
        <f>-('BS &amp; FCF'!AE20-'BS &amp; FCF'!Z20)-AE78</f>
        <v>0</v>
      </c>
      <c r="AF81" s="68">
        <f>-('BS &amp; FCF'!AF20-'BS &amp; FCF'!AE20)-AF78</f>
        <v>0</v>
      </c>
      <c r="AG81" s="68">
        <f>-('BS &amp; FCF'!AG20-'BS &amp; FCF'!AF20)-AG78</f>
        <v>0</v>
      </c>
      <c r="AH81" s="68">
        <f>-('BS &amp; FCF'!AH20-'BS &amp; FCF'!AG20)-AH78</f>
        <v>0</v>
      </c>
      <c r="AI81" s="68">
        <f>-('BS &amp; FCF'!AI20-'BS &amp; FCF'!AH20)-AI78</f>
        <v>0</v>
      </c>
      <c r="AJ81" s="28">
        <f>-('BS &amp; FCF'!AJ20-'BS &amp; FCF'!AE20)-AJ78</f>
        <v>0</v>
      </c>
      <c r="AK81" s="68">
        <f>-(AK20-AJ20)-AK78</f>
        <v>-9490</v>
      </c>
      <c r="AL81" s="68">
        <f>-(AL20-AK20)-AL78</f>
        <v>538</v>
      </c>
      <c r="AM81" s="68">
        <f>-(AM20-AL20)-AM78</f>
        <v>397</v>
      </c>
      <c r="AN81" s="68">
        <f>-(AN20-AM20)-AN78</f>
        <v>-16540</v>
      </c>
      <c r="AO81" s="28">
        <f>-(AO20-AJ20)-AO78</f>
        <v>-25095</v>
      </c>
      <c r="AP81" s="68">
        <f>-(AP20-AO20)-AP78</f>
        <v>356</v>
      </c>
      <c r="AQ81" s="68">
        <f>-(AQ20-AP20)-AQ78</f>
        <v>-2778</v>
      </c>
      <c r="AR81" s="68">
        <f>-(AR20-AQ20)-AR78</f>
        <v>-43288</v>
      </c>
      <c r="AS81" s="68">
        <f>-(AS20-AR20)-AS78</f>
        <v>47811</v>
      </c>
      <c r="AT81" s="28">
        <f>-(AT20-AO20)-AT78</f>
        <v>2101</v>
      </c>
      <c r="AU81" s="68">
        <f>-(AU20-AT20)-AU78</f>
        <v>-3023</v>
      </c>
      <c r="AV81" s="68">
        <f>-(AV20-AU20)-AV78</f>
        <v>234</v>
      </c>
      <c r="AW81" s="68">
        <f>-(AW20-AV20)-AW78</f>
        <v>-2043</v>
      </c>
      <c r="AX81" s="68">
        <f>-(AX20-AW20)-AX78</f>
        <v>-1885</v>
      </c>
      <c r="AY81" s="28">
        <f>-(AY20-AT20)-AY78</f>
        <v>-6717</v>
      </c>
      <c r="AZ81" s="68">
        <f>-(AZ20-AY20)-AZ78</f>
        <v>-5501</v>
      </c>
      <c r="BA81" s="68">
        <f>-(BA20-AZ20)-BA78</f>
        <v>-6824</v>
      </c>
      <c r="BB81" s="68">
        <f>-(BB20-BA20)-BB78</f>
        <v>-2000</v>
      </c>
      <c r="BC81" s="68">
        <f>-(BC20-BB20)-BC78</f>
        <v>-295</v>
      </c>
      <c r="BD81" s="28">
        <f>-(BD20-AY20)-BD78</f>
        <v>-14620</v>
      </c>
      <c r="BE81" s="68">
        <f>-(BE20-BD20)-BE78</f>
        <v>-7666</v>
      </c>
      <c r="BF81" s="68">
        <f>-(BF20-BE20)-BF78</f>
        <v>-7115</v>
      </c>
      <c r="BG81" s="68">
        <f>-(BG20-BF20)-BG78</f>
        <v>90</v>
      </c>
      <c r="BH81" s="68">
        <f>-(BH20-BG20)-BH78</f>
        <v>-63561</v>
      </c>
      <c r="BI81" s="28">
        <f>-(BI20-BD20)-BI78</f>
        <v>-78252</v>
      </c>
      <c r="BJ81" s="68">
        <f>-(BJ20-BI20)-BJ78</f>
        <v>-3580</v>
      </c>
      <c r="BK81" s="68">
        <f>-(BK20-BJ20)-BK78</f>
        <v>-2689</v>
      </c>
      <c r="BL81" s="68">
        <f>-(BL20-BK20)-BL78</f>
        <v>-3193</v>
      </c>
      <c r="BM81" s="68">
        <f>-(BM20-BL20)-BM78</f>
        <v>512</v>
      </c>
      <c r="BN81" s="28">
        <f>-(BN20-BI20)-BN78</f>
        <v>-8950</v>
      </c>
      <c r="BO81" s="68">
        <f>-(BO20-BN20)-BO78</f>
        <v>-7189</v>
      </c>
      <c r="BP81" s="68">
        <f>-(BP20-BO20)-BP78</f>
        <v>-3974</v>
      </c>
      <c r="BQ81" s="68">
        <f>-(BQ20-BP20)-BQ78</f>
        <v>3441</v>
      </c>
      <c r="BR81" s="68">
        <f>-(BR20-BQ20)-BR78</f>
        <v>-13037</v>
      </c>
      <c r="BS81" s="28">
        <f>-(BS20-BN20)-BS78</f>
        <v>-20759</v>
      </c>
      <c r="BT81" s="68">
        <f>-(BT20-BS20)-BT78</f>
        <v>-2468</v>
      </c>
      <c r="BU81" s="68">
        <f>-(BU20-BT20)-BU78</f>
        <v>62654</v>
      </c>
      <c r="BV81" s="68">
        <f>-(BV20-BU20)-BV78</f>
        <v>-1498</v>
      </c>
      <c r="BW81" s="68">
        <f>-(BW20-BV20)-BW78</f>
        <v>-1893</v>
      </c>
      <c r="BX81" s="28">
        <f>-(BX20-BS20)-BX78</f>
        <v>56795</v>
      </c>
      <c r="BY81" s="68">
        <f>-(BY20-BX20)-BY78</f>
        <v>1385</v>
      </c>
      <c r="BZ81" s="68">
        <f>-(BZ20-BY20)-BZ78</f>
        <v>914</v>
      </c>
      <c r="CA81" s="68">
        <f>-(CA20-BZ20)-CA78</f>
        <v>-819</v>
      </c>
      <c r="CB81" s="68">
        <f>-(CB20-CA20)-CB78</f>
        <v>-1024</v>
      </c>
      <c r="CC81" s="28">
        <f>-(CC20-BX20)-CC78</f>
        <v>456</v>
      </c>
      <c r="CD81" s="68">
        <f>-(CD20-CC20)-CD78</f>
        <v>-1818</v>
      </c>
      <c r="CE81" s="68">
        <f>-(CE20-CD20)-CE78</f>
        <v>2319</v>
      </c>
      <c r="CF81" s="68">
        <f>-(CF20-CE20)-CF78</f>
        <v>-619.30215064827723</v>
      </c>
      <c r="CG81" s="68">
        <f>-(CG20-CF20)-CG78</f>
        <v>-561.53773389721209</v>
      </c>
      <c r="CH81" s="28">
        <f>-(CH20-CC20)-CH78</f>
        <v>-679.83988454548933</v>
      </c>
      <c r="CI81" s="68">
        <f>-(CI20-CH20)-CI78</f>
        <v>-2424.2727433117743</v>
      </c>
      <c r="CJ81" s="68">
        <f>-(CJ20-CI20)-CJ78</f>
        <v>-1867.2156728820751</v>
      </c>
      <c r="CK81" s="68">
        <f>-(CK20-CJ20)-CK78</f>
        <v>-1029.2910473332313</v>
      </c>
      <c r="CL81" s="68">
        <f>-(CL20-CK20)-CL78</f>
        <v>-848.96134123030902</v>
      </c>
      <c r="CM81" s="28">
        <f>-(CM20-CH20)-CM78</f>
        <v>-6169.7408047573899</v>
      </c>
      <c r="CN81" s="68">
        <f>-(CN20-CM20)-CN78</f>
        <v>-2143.4135055417055</v>
      </c>
      <c r="CO81" s="68">
        <f>-(CO20-CN20)-CO78</f>
        <v>-1117.3483990500922</v>
      </c>
      <c r="CP81" s="68">
        <f>-(CP20-CO20)-CP78</f>
        <v>-349.93039426424025</v>
      </c>
      <c r="CQ81" s="68">
        <f>-(CQ20-CP20)-CQ78</f>
        <v>-730.79643165634218</v>
      </c>
      <c r="CR81" s="28">
        <f>-(CR20-CM20)-CR78</f>
        <v>-4341.4887305123802</v>
      </c>
      <c r="CS81" s="68">
        <f>-(CS20-CR20)-CS78</f>
        <v>-1852.5642871772338</v>
      </c>
      <c r="CT81" s="68">
        <f>-(CT20-CS20)-CT78</f>
        <v>-1068.3276606856871</v>
      </c>
      <c r="CU81" s="68">
        <f>-(CU20-CT20)-CU78</f>
        <v>-260.65653596773996</v>
      </c>
      <c r="CV81" s="68">
        <f>-(CV20-CU20)-CV78</f>
        <v>-467.00516539692194</v>
      </c>
      <c r="CW81" s="28">
        <f>-(CW20-CR20)-CW78</f>
        <v>-3648.5536492275828</v>
      </c>
      <c r="CX81" s="68">
        <f>-(CX20-CW20)-CX78</f>
        <v>-1701.7923618621626</v>
      </c>
      <c r="CY81" s="68">
        <f>-(CY20-CX20)-CY78</f>
        <v>-719.5564782225091</v>
      </c>
      <c r="CZ81" s="68">
        <f>-(CZ20-CY20)-CZ78</f>
        <v>274.81896632843677</v>
      </c>
      <c r="DA81" s="68">
        <f>-(DA20-CZ20)-DA78</f>
        <v>170.65837449556744</v>
      </c>
      <c r="DB81" s="28">
        <f>-(DB20-CW20)-DB78</f>
        <v>-1975.8714992606676</v>
      </c>
    </row>
    <row r="82" spans="1:106" s="7" customFormat="1" ht="11.5" customHeight="1" x14ac:dyDescent="0.35">
      <c r="A82" s="11" t="s">
        <v>141</v>
      </c>
      <c r="B82" s="115" t="e">
        <f t="shared" ref="B82:AE82" si="505">SUM(B81)</f>
        <v>#VALUE!</v>
      </c>
      <c r="C82" s="115">
        <f t="shared" si="505"/>
        <v>0</v>
      </c>
      <c r="D82" s="115">
        <f t="shared" si="505"/>
        <v>0</v>
      </c>
      <c r="E82" s="115">
        <f t="shared" si="505"/>
        <v>0</v>
      </c>
      <c r="F82" s="38" t="e">
        <f t="shared" si="505"/>
        <v>#VALUE!</v>
      </c>
      <c r="G82" s="115">
        <f t="shared" si="505"/>
        <v>0</v>
      </c>
      <c r="H82" s="115">
        <f t="shared" si="505"/>
        <v>0</v>
      </c>
      <c r="I82" s="115">
        <f t="shared" si="505"/>
        <v>0</v>
      </c>
      <c r="J82" s="115">
        <f t="shared" si="505"/>
        <v>0</v>
      </c>
      <c r="K82" s="38">
        <f t="shared" si="505"/>
        <v>0</v>
      </c>
      <c r="L82" s="115">
        <f t="shared" si="505"/>
        <v>0</v>
      </c>
      <c r="M82" s="115">
        <f t="shared" si="505"/>
        <v>0</v>
      </c>
      <c r="N82" s="115">
        <f t="shared" si="505"/>
        <v>0</v>
      </c>
      <c r="O82" s="115">
        <f t="shared" si="505"/>
        <v>0</v>
      </c>
      <c r="P82" s="38">
        <f t="shared" si="505"/>
        <v>0</v>
      </c>
      <c r="Q82" s="115">
        <f t="shared" si="505"/>
        <v>0</v>
      </c>
      <c r="R82" s="115">
        <f t="shared" si="505"/>
        <v>0</v>
      </c>
      <c r="S82" s="115">
        <f t="shared" si="505"/>
        <v>0</v>
      </c>
      <c r="T82" s="115">
        <f t="shared" si="505"/>
        <v>0</v>
      </c>
      <c r="U82" s="38">
        <f t="shared" si="505"/>
        <v>0</v>
      </c>
      <c r="V82" s="115">
        <f t="shared" si="505"/>
        <v>0</v>
      </c>
      <c r="W82" s="115">
        <f t="shared" si="505"/>
        <v>0</v>
      </c>
      <c r="X82" s="115">
        <f t="shared" si="505"/>
        <v>0</v>
      </c>
      <c r="Y82" s="115">
        <f t="shared" si="505"/>
        <v>0</v>
      </c>
      <c r="Z82" s="38">
        <f t="shared" si="505"/>
        <v>0</v>
      </c>
      <c r="AA82" s="115">
        <f t="shared" si="505"/>
        <v>0</v>
      </c>
      <c r="AB82" s="115">
        <f t="shared" si="505"/>
        <v>0</v>
      </c>
      <c r="AC82" s="115">
        <f t="shared" si="505"/>
        <v>0</v>
      </c>
      <c r="AD82" s="115">
        <f t="shared" si="505"/>
        <v>0</v>
      </c>
      <c r="AE82" s="38">
        <f t="shared" si="505"/>
        <v>0</v>
      </c>
      <c r="AF82" s="115">
        <f t="shared" ref="AF82:AL82" si="506">SUM(AF81)</f>
        <v>0</v>
      </c>
      <c r="AG82" s="115">
        <f t="shared" si="506"/>
        <v>0</v>
      </c>
      <c r="AH82" s="115">
        <f t="shared" si="506"/>
        <v>0</v>
      </c>
      <c r="AI82" s="115">
        <f t="shared" si="506"/>
        <v>0</v>
      </c>
      <c r="AJ82" s="38">
        <f t="shared" si="506"/>
        <v>0</v>
      </c>
      <c r="AK82" s="115">
        <f t="shared" si="506"/>
        <v>-9490</v>
      </c>
      <c r="AL82" s="115">
        <f t="shared" si="506"/>
        <v>538</v>
      </c>
      <c r="AM82" s="115">
        <f t="shared" ref="AM82:BR82" si="507">SUM(AM81)</f>
        <v>397</v>
      </c>
      <c r="AN82" s="115">
        <f t="shared" si="507"/>
        <v>-16540</v>
      </c>
      <c r="AO82" s="38">
        <f t="shared" si="507"/>
        <v>-25095</v>
      </c>
      <c r="AP82" s="115">
        <f t="shared" si="507"/>
        <v>356</v>
      </c>
      <c r="AQ82" s="115">
        <f t="shared" si="507"/>
        <v>-2778</v>
      </c>
      <c r="AR82" s="115">
        <f t="shared" si="507"/>
        <v>-43288</v>
      </c>
      <c r="AS82" s="115">
        <f t="shared" si="507"/>
        <v>47811</v>
      </c>
      <c r="AT82" s="38">
        <f t="shared" si="507"/>
        <v>2101</v>
      </c>
      <c r="AU82" s="115">
        <f t="shared" si="507"/>
        <v>-3023</v>
      </c>
      <c r="AV82" s="115">
        <f t="shared" si="507"/>
        <v>234</v>
      </c>
      <c r="AW82" s="115">
        <f t="shared" si="507"/>
        <v>-2043</v>
      </c>
      <c r="AX82" s="115">
        <f t="shared" si="507"/>
        <v>-1885</v>
      </c>
      <c r="AY82" s="38">
        <f t="shared" si="507"/>
        <v>-6717</v>
      </c>
      <c r="AZ82" s="115">
        <f t="shared" si="507"/>
        <v>-5501</v>
      </c>
      <c r="BA82" s="115">
        <f t="shared" si="507"/>
        <v>-6824</v>
      </c>
      <c r="BB82" s="115">
        <f t="shared" si="507"/>
        <v>-2000</v>
      </c>
      <c r="BC82" s="115">
        <f t="shared" si="507"/>
        <v>-295</v>
      </c>
      <c r="BD82" s="38">
        <f t="shared" si="507"/>
        <v>-14620</v>
      </c>
      <c r="BE82" s="115">
        <f t="shared" si="507"/>
        <v>-7666</v>
      </c>
      <c r="BF82" s="115">
        <f t="shared" si="507"/>
        <v>-7115</v>
      </c>
      <c r="BG82" s="115">
        <f t="shared" si="507"/>
        <v>90</v>
      </c>
      <c r="BH82" s="115">
        <f t="shared" si="507"/>
        <v>-63561</v>
      </c>
      <c r="BI82" s="38">
        <f t="shared" si="507"/>
        <v>-78252</v>
      </c>
      <c r="BJ82" s="115">
        <f t="shared" si="507"/>
        <v>-3580</v>
      </c>
      <c r="BK82" s="115">
        <f t="shared" si="507"/>
        <v>-2689</v>
      </c>
      <c r="BL82" s="115">
        <f t="shared" si="507"/>
        <v>-3193</v>
      </c>
      <c r="BM82" s="115">
        <f t="shared" si="507"/>
        <v>512</v>
      </c>
      <c r="BN82" s="38">
        <f t="shared" si="507"/>
        <v>-8950</v>
      </c>
      <c r="BO82" s="115">
        <f t="shared" si="507"/>
        <v>-7189</v>
      </c>
      <c r="BP82" s="115">
        <f t="shared" si="507"/>
        <v>-3974</v>
      </c>
      <c r="BQ82" s="115">
        <f t="shared" si="507"/>
        <v>3441</v>
      </c>
      <c r="BR82" s="115">
        <f t="shared" si="507"/>
        <v>-13037</v>
      </c>
      <c r="BS82" s="38">
        <f t="shared" ref="BS82:CX82" si="508">SUM(BS81)</f>
        <v>-20759</v>
      </c>
      <c r="BT82" s="115">
        <f t="shared" si="508"/>
        <v>-2468</v>
      </c>
      <c r="BU82" s="115">
        <f t="shared" si="508"/>
        <v>62654</v>
      </c>
      <c r="BV82" s="115">
        <f t="shared" si="508"/>
        <v>-1498</v>
      </c>
      <c r="BW82" s="115">
        <f t="shared" si="508"/>
        <v>-1893</v>
      </c>
      <c r="BX82" s="38">
        <f t="shared" si="508"/>
        <v>56795</v>
      </c>
      <c r="BY82" s="115">
        <f t="shared" si="508"/>
        <v>1385</v>
      </c>
      <c r="BZ82" s="115">
        <f t="shared" si="508"/>
        <v>914</v>
      </c>
      <c r="CA82" s="115">
        <f t="shared" si="508"/>
        <v>-819</v>
      </c>
      <c r="CB82" s="115">
        <f t="shared" si="508"/>
        <v>-1024</v>
      </c>
      <c r="CC82" s="38">
        <f t="shared" si="508"/>
        <v>456</v>
      </c>
      <c r="CD82" s="115">
        <f t="shared" ref="CD82:CE82" si="509">SUM(CD81)</f>
        <v>-1818</v>
      </c>
      <c r="CE82" s="115">
        <f t="shared" si="509"/>
        <v>2319</v>
      </c>
      <c r="CF82" s="115">
        <f t="shared" si="508"/>
        <v>-619.30215064827723</v>
      </c>
      <c r="CG82" s="115">
        <f t="shared" si="508"/>
        <v>-561.53773389721209</v>
      </c>
      <c r="CH82" s="38">
        <f t="shared" si="508"/>
        <v>-679.83988454548933</v>
      </c>
      <c r="CI82" s="115">
        <f t="shared" si="508"/>
        <v>-2424.2727433117743</v>
      </c>
      <c r="CJ82" s="115">
        <f t="shared" si="508"/>
        <v>-1867.2156728820751</v>
      </c>
      <c r="CK82" s="115">
        <f t="shared" si="508"/>
        <v>-1029.2910473332313</v>
      </c>
      <c r="CL82" s="115">
        <f t="shared" si="508"/>
        <v>-848.96134123030902</v>
      </c>
      <c r="CM82" s="38">
        <f t="shared" si="508"/>
        <v>-6169.7408047573899</v>
      </c>
      <c r="CN82" s="115">
        <f t="shared" si="508"/>
        <v>-2143.4135055417055</v>
      </c>
      <c r="CO82" s="115">
        <f t="shared" si="508"/>
        <v>-1117.3483990500922</v>
      </c>
      <c r="CP82" s="115">
        <f t="shared" si="508"/>
        <v>-349.93039426424025</v>
      </c>
      <c r="CQ82" s="115">
        <f t="shared" si="508"/>
        <v>-730.79643165634218</v>
      </c>
      <c r="CR82" s="38">
        <f t="shared" si="508"/>
        <v>-4341.4887305123802</v>
      </c>
      <c r="CS82" s="115">
        <f t="shared" si="508"/>
        <v>-1852.5642871772338</v>
      </c>
      <c r="CT82" s="115">
        <f t="shared" si="508"/>
        <v>-1068.3276606856871</v>
      </c>
      <c r="CU82" s="115">
        <f t="shared" si="508"/>
        <v>-260.65653596773996</v>
      </c>
      <c r="CV82" s="115">
        <f t="shared" si="508"/>
        <v>-467.00516539692194</v>
      </c>
      <c r="CW82" s="38">
        <f t="shared" si="508"/>
        <v>-3648.5536492275828</v>
      </c>
      <c r="CX82" s="115">
        <f t="shared" si="508"/>
        <v>-1701.7923618621626</v>
      </c>
      <c r="CY82" s="115">
        <f t="shared" ref="CY82:DB82" si="510">SUM(CY81)</f>
        <v>-719.5564782225091</v>
      </c>
      <c r="CZ82" s="115">
        <f t="shared" si="510"/>
        <v>274.81896632843677</v>
      </c>
      <c r="DA82" s="115">
        <f t="shared" si="510"/>
        <v>170.65837449556744</v>
      </c>
      <c r="DB82" s="38">
        <f t="shared" si="510"/>
        <v>-1975.8714992606676</v>
      </c>
    </row>
    <row r="83" spans="1:106" s="7" customFormat="1" ht="11.5" customHeight="1" outlineLevel="1" x14ac:dyDescent="0.35">
      <c r="A83" s="7" t="s">
        <v>138</v>
      </c>
      <c r="B83" s="68" t="e">
        <f>('BS &amp; FCF'!B28-'BS &amp; FCF'!A28)+('BS &amp; FCF'!B31-'BS &amp; FCF'!A31)+('BS &amp; FCF'!B32-'BS &amp; FCF'!A32)-('BS &amp; FCF'!B7-'BS &amp; FCF'!A7)</f>
        <v>#VALUE!</v>
      </c>
      <c r="C83" s="68">
        <f>('BS &amp; FCF'!C28-'BS &amp; FCF'!B28)+('BS &amp; FCF'!C31-'BS &amp; FCF'!B31)+('BS &amp; FCF'!C32-'BS &amp; FCF'!B32)-('BS &amp; FCF'!C7-'BS &amp; FCF'!B7)</f>
        <v>0</v>
      </c>
      <c r="D83" s="68">
        <f>('BS &amp; FCF'!D28-'BS &amp; FCF'!C28)+('BS &amp; FCF'!D31-'BS &amp; FCF'!C31)+('BS &amp; FCF'!D32-'BS &amp; FCF'!C32)-('BS &amp; FCF'!D7-'BS &amp; FCF'!C7)</f>
        <v>0</v>
      </c>
      <c r="E83" s="68">
        <f>('BS &amp; FCF'!E28-'BS &amp; FCF'!D28)+('BS &amp; FCF'!E31-'BS &amp; FCF'!D31)+('BS &amp; FCF'!E32-'BS &amp; FCF'!D32)-('BS &amp; FCF'!E7-'BS &amp; FCF'!D7)</f>
        <v>0</v>
      </c>
      <c r="F83" s="28" t="e">
        <f>('BS &amp; FCF'!F28-'BS &amp; FCF'!A28)+('BS &amp; FCF'!F31-'BS &amp; FCF'!A31)+('BS &amp; FCF'!F32-'BS &amp; FCF'!A32)-('BS &amp; FCF'!F7-'BS &amp; FCF'!A7)</f>
        <v>#VALUE!</v>
      </c>
      <c r="G83" s="68">
        <f>('BS &amp; FCF'!G28-'BS &amp; FCF'!F28)+('BS &amp; FCF'!G31-'BS &amp; FCF'!F31)+('BS &amp; FCF'!G32-'BS &amp; FCF'!F32)-('BS &amp; FCF'!G7-'BS &amp; FCF'!F7)</f>
        <v>0</v>
      </c>
      <c r="H83" s="68">
        <f>('BS &amp; FCF'!H28-'BS &amp; FCF'!G28)+('BS &amp; FCF'!H31-'BS &amp; FCF'!G31)+('BS &amp; FCF'!H32-'BS &amp; FCF'!G32)-('BS &amp; FCF'!H7-'BS &amp; FCF'!G7)</f>
        <v>0</v>
      </c>
      <c r="I83" s="68">
        <f>('BS &amp; FCF'!I28-'BS &amp; FCF'!H28)+('BS &amp; FCF'!I31-'BS &amp; FCF'!H31)+('BS &amp; FCF'!I32-'BS &amp; FCF'!H32)-('BS &amp; FCF'!I7-'BS &amp; FCF'!H7)</f>
        <v>0</v>
      </c>
      <c r="J83" s="68">
        <f>('BS &amp; FCF'!J28-'BS &amp; FCF'!I28)+('BS &amp; FCF'!J31-'BS &amp; FCF'!I31)+('BS &amp; FCF'!J32-'BS &amp; FCF'!I32)-('BS &amp; FCF'!J7-'BS &amp; FCF'!I7)</f>
        <v>0</v>
      </c>
      <c r="K83" s="28">
        <f>('BS &amp; FCF'!K28-'BS &amp; FCF'!F28)+('BS &amp; FCF'!K31-'BS &amp; FCF'!F31)+('BS &amp; FCF'!K32-'BS &amp; FCF'!F32)-('BS &amp; FCF'!K7-'BS &amp; FCF'!F7)</f>
        <v>0</v>
      </c>
      <c r="L83" s="68">
        <f>('BS &amp; FCF'!L28-'BS &amp; FCF'!K28)+('BS &amp; FCF'!L31-'BS &amp; FCF'!K31)+('BS &amp; FCF'!L32-'BS &amp; FCF'!K32)-('BS &amp; FCF'!L7-'BS &amp; FCF'!K7)</f>
        <v>0</v>
      </c>
      <c r="M83" s="68">
        <f>('BS &amp; FCF'!M28-'BS &amp; FCF'!L28)+('BS &amp; FCF'!M31-'BS &amp; FCF'!L31)+('BS &amp; FCF'!M32-'BS &amp; FCF'!L32)-('BS &amp; FCF'!M7-'BS &amp; FCF'!L7)</f>
        <v>0</v>
      </c>
      <c r="N83" s="68">
        <f>('BS &amp; FCF'!N28-'BS &amp; FCF'!M28)+('BS &amp; FCF'!N31-'BS &amp; FCF'!M31)+('BS &amp; FCF'!N32-'BS &amp; FCF'!M32)-('BS &amp; FCF'!N7-'BS &amp; FCF'!M7)</f>
        <v>0</v>
      </c>
      <c r="O83" s="68">
        <f>('BS &amp; FCF'!O28-'BS &amp; FCF'!N28)+('BS &amp; FCF'!O31-'BS &amp; FCF'!N31)+('BS &amp; FCF'!O32-'BS &amp; FCF'!N32)-('BS &amp; FCF'!O7-'BS &amp; FCF'!N7)</f>
        <v>0</v>
      </c>
      <c r="P83" s="28">
        <f>('BS &amp; FCF'!P28-'BS &amp; FCF'!K28)+('BS &amp; FCF'!P31-'BS &amp; FCF'!K31)+('BS &amp; FCF'!P32-'BS &amp; FCF'!K32)-('BS &amp; FCF'!P7-'BS &amp; FCF'!K7)</f>
        <v>0</v>
      </c>
      <c r="Q83" s="68">
        <f>('BS &amp; FCF'!Q28-'BS &amp; FCF'!P28)+('BS &amp; FCF'!Q31-'BS &amp; FCF'!P31)+('BS &amp; FCF'!Q32-'BS &amp; FCF'!P32)-('BS &amp; FCF'!Q7-'BS &amp; FCF'!P7)</f>
        <v>0</v>
      </c>
      <c r="R83" s="68">
        <f>('BS &amp; FCF'!R28-'BS &amp; FCF'!Q28)+('BS &amp; FCF'!R31-'BS &amp; FCF'!Q31)+('BS &amp; FCF'!R32-'BS &amp; FCF'!Q32)-('BS &amp; FCF'!R7-'BS &amp; FCF'!Q7)</f>
        <v>0</v>
      </c>
      <c r="S83" s="68">
        <f>('BS &amp; FCF'!S28-'BS &amp; FCF'!R28)+('BS &amp; FCF'!S31-'BS &amp; FCF'!R31)+('BS &amp; FCF'!S32-'BS &amp; FCF'!R32)-('BS &amp; FCF'!S7-'BS &amp; FCF'!R7)</f>
        <v>0</v>
      </c>
      <c r="T83" s="68">
        <f>('BS &amp; FCF'!T28-'BS &amp; FCF'!S28)+('BS &amp; FCF'!T31-'BS &amp; FCF'!S31)+('BS &amp; FCF'!T32-'BS &amp; FCF'!S32)-('BS &amp; FCF'!T7-'BS &amp; FCF'!S7)</f>
        <v>0</v>
      </c>
      <c r="U83" s="28">
        <f>('BS &amp; FCF'!U28-'BS &amp; FCF'!P28)+('BS &amp; FCF'!U31-'BS &amp; FCF'!P31)+('BS &amp; FCF'!U32-'BS &amp; FCF'!P32)-('BS &amp; FCF'!U7-'BS &amp; FCF'!P7)</f>
        <v>0</v>
      </c>
      <c r="V83" s="68">
        <f>('BS &amp; FCF'!V28-'BS &amp; FCF'!U28)+('BS &amp; FCF'!V31-'BS &amp; FCF'!U31)+('BS &amp; FCF'!V32-'BS &amp; FCF'!U32)-('BS &amp; FCF'!V7-'BS &amp; FCF'!U7)</f>
        <v>0</v>
      </c>
      <c r="W83" s="68">
        <f>('BS &amp; FCF'!W28-'BS &amp; FCF'!V28)+('BS &amp; FCF'!W31-'BS &amp; FCF'!V31)+('BS &amp; FCF'!W32-'BS &amp; FCF'!V32)-('BS &amp; FCF'!W7-'BS &amp; FCF'!V7)</f>
        <v>0</v>
      </c>
      <c r="X83" s="68">
        <f>('BS &amp; FCF'!X28-'BS &amp; FCF'!W28)+('BS &amp; FCF'!X31-'BS &amp; FCF'!W31)+('BS &amp; FCF'!X32-'BS &amp; FCF'!W32)-('BS &amp; FCF'!X7-'BS &amp; FCF'!W7)</f>
        <v>0</v>
      </c>
      <c r="Y83" s="68">
        <f>('BS &amp; FCF'!Y28-'BS &amp; FCF'!X28)+('BS &amp; FCF'!Y31-'BS &amp; FCF'!X31)+('BS &amp; FCF'!Y32-'BS &amp; FCF'!X32)-('BS &amp; FCF'!Y7-'BS &amp; FCF'!X7)</f>
        <v>0</v>
      </c>
      <c r="Z83" s="28">
        <f>('BS &amp; FCF'!Z28-'BS &amp; FCF'!U28)+('BS &amp; FCF'!Z31-'BS &amp; FCF'!U31)+('BS &amp; FCF'!Z32-'BS &amp; FCF'!U32)-('BS &amp; FCF'!Z7-'BS &amp; FCF'!U7)</f>
        <v>0</v>
      </c>
      <c r="AA83" s="68">
        <f>('BS &amp; FCF'!AA28-'BS &amp; FCF'!Z28)+('BS &amp; FCF'!AA31-'BS &amp; FCF'!Z31)+('BS &amp; FCF'!AA32-'BS &amp; FCF'!Z32)-('BS &amp; FCF'!AA7-'BS &amp; FCF'!Z7)</f>
        <v>0</v>
      </c>
      <c r="AB83" s="68">
        <f>('BS &amp; FCF'!AB28-'BS &amp; FCF'!AA28)+('BS &amp; FCF'!AB31-'BS &amp; FCF'!AA31)+('BS &amp; FCF'!AB32-'BS &amp; FCF'!AA32)-('BS &amp; FCF'!AB7-'BS &amp; FCF'!AA7)</f>
        <v>0</v>
      </c>
      <c r="AC83" s="68">
        <f>('BS &amp; FCF'!AC28-'BS &amp; FCF'!AB28)+('BS &amp; FCF'!AC31-'BS &amp; FCF'!AB31)+('BS &amp; FCF'!AC32-'BS &amp; FCF'!AB32)-('BS &amp; FCF'!AC7-'BS &amp; FCF'!AB7)</f>
        <v>0</v>
      </c>
      <c r="AD83" s="68">
        <f>('BS &amp; FCF'!AD28-'BS &amp; FCF'!AC28)+('BS &amp; FCF'!AD31-'BS &amp; FCF'!AC31)+('BS &amp; FCF'!AD32-'BS &amp; FCF'!AC32)-('BS &amp; FCF'!AD7-'BS &amp; FCF'!AC7)</f>
        <v>0</v>
      </c>
      <c r="AE83" s="28">
        <f>('BS &amp; FCF'!AE28-'BS &amp; FCF'!Z28)+('BS &amp; FCF'!AE31-'BS &amp; FCF'!Z31)+('BS &amp; FCF'!AE32-'BS &amp; FCF'!Z32)-('BS &amp; FCF'!AE7-'BS &amp; FCF'!Z7)</f>
        <v>0</v>
      </c>
      <c r="AF83" s="68">
        <f>('BS &amp; FCF'!AF28-'BS &amp; FCF'!AE28)+('BS &amp; FCF'!AF31-'BS &amp; FCF'!AE31)+('BS &amp; FCF'!AF32-'BS &amp; FCF'!AE32)-('BS &amp; FCF'!AF7-'BS &amp; FCF'!AE7)</f>
        <v>0</v>
      </c>
      <c r="AG83" s="68">
        <f>('BS &amp; FCF'!AG28-'BS &amp; FCF'!AF28)+('BS &amp; FCF'!AG31-'BS &amp; FCF'!AF31)+('BS &amp; FCF'!AG32-'BS &amp; FCF'!AF32)-('BS &amp; FCF'!AG7-'BS &amp; FCF'!AF7)</f>
        <v>0</v>
      </c>
      <c r="AH83" s="68">
        <f>('BS &amp; FCF'!AH28-'BS &amp; FCF'!AG28)+('BS &amp; FCF'!AH31-'BS &amp; FCF'!AG31)+('BS &amp; FCF'!AH32-'BS &amp; FCF'!AG32)-('BS &amp; FCF'!AH7-'BS &amp; FCF'!AG7)</f>
        <v>0</v>
      </c>
      <c r="AI83" s="68">
        <f>('BS &amp; FCF'!AI28-'BS &amp; FCF'!AH28)+('BS &amp; FCF'!AI31-'BS &amp; FCF'!AH31)+('BS &amp; FCF'!AI32-'BS &amp; FCF'!AH32)-('BS &amp; FCF'!AI7-'BS &amp; FCF'!AH7)</f>
        <v>0</v>
      </c>
      <c r="AJ83" s="28">
        <f>('BS &amp; FCF'!AJ28-'BS &amp; FCF'!AE28)+('BS &amp; FCF'!AJ31-'BS &amp; FCF'!AE31)+('BS &amp; FCF'!AJ32-'BS &amp; FCF'!AE32)-('BS &amp; FCF'!AJ7-'BS &amp; FCF'!AE7)</f>
        <v>0</v>
      </c>
      <c r="AK83" s="68">
        <f>(AK28-AJ28)+(AK31-AJ31)+(AK32-AJ32)-(AK7-AJ7)</f>
        <v>202986</v>
      </c>
      <c r="AL83" s="68">
        <f>(AL28-AK28)+(AL31-AK31)+(AL32-AK32)-(AL7-AK7)</f>
        <v>-6364</v>
      </c>
      <c r="AM83" s="68">
        <f>(AM28-AL28)+(AM31-AL31)+(AM32-AL32)-(AM7-AL7)</f>
        <v>-13292</v>
      </c>
      <c r="AN83" s="68">
        <f>(AN28-AM28)+(AN31-AM31)+(AN32-AM32)-(AN7-AM7)</f>
        <v>22168</v>
      </c>
      <c r="AO83" s="28">
        <f>(AO28-AJ28)+(AO31-AJ31)+(AO32-AJ32)-(AO7-AJ7)</f>
        <v>205498</v>
      </c>
      <c r="AP83" s="68">
        <f>(AP28-AO28)+(AP31-AO31)+(AP32-AO32)-(AP7-AO7)</f>
        <v>-40739</v>
      </c>
      <c r="AQ83" s="68">
        <f>(AQ28-AP28)+(AQ31-AP31)+(AQ32-AP32)-(AQ7-AP7)</f>
        <v>-26999</v>
      </c>
      <c r="AR83" s="68">
        <f>(AR28-AQ28)+(AR31-AQ31)+(AR32-AQ32)-(AR7-AQ7)</f>
        <v>145944</v>
      </c>
      <c r="AS83" s="68">
        <f>(AS28-AR28)+(AS31-AR31)+(AS32-AR32)-(AS7-AR7)</f>
        <v>-7077</v>
      </c>
      <c r="AT83" s="28">
        <f>(AT28-AO28)+(AT31-AO31)+(AT32-AO32)-(AT7-AO7)</f>
        <v>71129</v>
      </c>
      <c r="AU83" s="68">
        <f>(AU28-AT28)+(AU31-AT31)+(AU32-AT32)-(AU7-AT7)</f>
        <v>-5071</v>
      </c>
      <c r="AV83" s="68">
        <f>(AV28-AU28)+(AV31-AU31)+(AV32-AU32)-(AV7-AU7)</f>
        <v>-21227</v>
      </c>
      <c r="AW83" s="68">
        <f>(AW28-AV28)+(AW31-AV31)+(AW32-AV32)-(AW7-AV7)</f>
        <v>-21167</v>
      </c>
      <c r="AX83" s="68">
        <f>(AX28-AW28)+(AX31-AW31)+(AX32-AW32)-(AX7-AW7)</f>
        <v>54667</v>
      </c>
      <c r="AY83" s="28">
        <f>(AY28-AT28)+(AY31-AT31)+(AY32-AT32)-(AY7-AT7)</f>
        <v>7202</v>
      </c>
      <c r="AZ83" s="68">
        <f>(AZ28-AY28)+(AZ31-AY31)+(AZ32-AY32)-(AZ7-AY7)</f>
        <v>-2234</v>
      </c>
      <c r="BA83" s="68">
        <f>(BA28-AZ28)+(BA31-AZ31)+(BA32-AZ32)-(BA7-AZ7)</f>
        <v>33964</v>
      </c>
      <c r="BB83" s="68">
        <f>(BB28-BA28)+(BB31-BA31)+(BB32-BA32)-(BB7-BA7)</f>
        <v>-34393</v>
      </c>
      <c r="BC83" s="68">
        <f>(BC28-BB28)+(BC31-BB31)+(BC32-BB32)-(BC7-BB7)</f>
        <v>-9148</v>
      </c>
      <c r="BD83" s="28">
        <f>(BD28-AY28)+(BD31-AY31)+(BD32-AY32)-(BD7-AY7)</f>
        <v>-11811</v>
      </c>
      <c r="BE83" s="68">
        <f>(BE28-BD28)+(BE31-BD31)+(BE32-BD32)-(BE7-BD7)</f>
        <v>-2710</v>
      </c>
      <c r="BF83" s="68">
        <f>(BF28-BE28)+(BF31-BE31)+(BF32-BE32)-(BF7-BE7)</f>
        <v>-3042</v>
      </c>
      <c r="BG83" s="68">
        <f>(BG28-BF28)+(BG31-BF31)+(BG32-BF32)-(BG7-BF7)</f>
        <v>119922</v>
      </c>
      <c r="BH83" s="68">
        <f>(BH28-BG28)+(BH31-BG31)+(BH32-BG32)-(BH7-BG7)</f>
        <v>719</v>
      </c>
      <c r="BI83" s="28">
        <f>(BI28-BD28)+(BI31-BD31)+(BI32-BD32)-(BI7-BD7)</f>
        <v>114889</v>
      </c>
      <c r="BJ83" s="68">
        <f>(BJ28-BI28)+(BJ31-BI31)+(BJ32-BI32)-(BJ7-BI7)</f>
        <v>-490</v>
      </c>
      <c r="BK83" s="68">
        <f>(BK28-BJ28)+(BK31-BJ31)+(BK32-BJ32)-(BK7-BJ7)</f>
        <v>7831</v>
      </c>
      <c r="BL83" s="68">
        <f>(BL28-BK28)+(BL31-BK31)+(BL32-BK32)-(BL7-BK7)</f>
        <v>57418</v>
      </c>
      <c r="BM83" s="68">
        <f>(BM28-BL28)+(BM31-BL31)+(BM32-BL32)-(BM7-BL7)</f>
        <v>24249</v>
      </c>
      <c r="BN83" s="28">
        <f>(BN28-BI28)+(BN31-BI31)+(BN32-BI32)-(BN7-BI7)</f>
        <v>89008</v>
      </c>
      <c r="BO83" s="68">
        <f>(BO28-BN28)+(BO31-BN31)+(BO32-BN32)-(BO7-BN7)</f>
        <v>-6388</v>
      </c>
      <c r="BP83" s="68">
        <f>(BP28-BO28)+(BP31-BO31)+(BP32-BO32)-(BP7-BO7)</f>
        <v>20860</v>
      </c>
      <c r="BQ83" s="68">
        <f>(BQ28-BP28)+(BQ31-BP31)+(BQ32-BP32)-(BQ7-BP7)</f>
        <v>146277</v>
      </c>
      <c r="BR83" s="68">
        <f>(BR28-BQ28)+(BR31-BQ31)+(BR32-BQ32)-(BR7-BQ7)</f>
        <v>-36189</v>
      </c>
      <c r="BS83" s="28">
        <f>(BS28-BN28)+(BS31-BN31)+(BS32-BN32)-(BS7-BN7)</f>
        <v>124560</v>
      </c>
      <c r="BT83" s="68">
        <f>(BT28-BS28)+(BT31-BS31)+(BT32-BS32)-(BT7-BS7)</f>
        <v>-15620</v>
      </c>
      <c r="BU83" s="68">
        <f>(BU28-BT28)+(BU31-BT31)+(BU32-BT32)-(BU7-BT7)</f>
        <v>475015</v>
      </c>
      <c r="BV83" s="68">
        <f>(BV28-BU28)+(BV31-BU31)+(BV32-BU32)-(BV7-BU7)</f>
        <v>24219</v>
      </c>
      <c r="BW83" s="68">
        <f>(BW28-BV28)+(BW31-BV31)+(BW32-BV32)-(BW7-BV7)</f>
        <v>-117518</v>
      </c>
      <c r="BX83" s="28">
        <f>(BX28-BS28)+(BX31-BS31)+(BX32-BS32)-(BX7-BS7)</f>
        <v>366096</v>
      </c>
      <c r="BY83" s="68">
        <f>(BY28-BX28)+(BY31-BX31)+(BY32-BX32)-(BY7-BX7)</f>
        <v>300475</v>
      </c>
      <c r="BZ83" s="68">
        <f>(BZ28-BY28)+(BZ31-BY31)+(BZ32-BY32)-(BZ7-BY7)</f>
        <v>16615</v>
      </c>
      <c r="CA83" s="68">
        <f>(CA28-BZ28)+(CA31-BZ31)+(CA32-BZ32)-(CA7-BZ7)</f>
        <v>26989</v>
      </c>
      <c r="CB83" s="68">
        <f>(CB28-CA28)+(CB31-CA31)+(CB32-CA32)-(CB7-CA7)</f>
        <v>152344</v>
      </c>
      <c r="CC83" s="28">
        <f>(CC28-BX28)+(CC31-BX31)+(CC32-BX32)-(CC7-BX7)</f>
        <v>496423</v>
      </c>
      <c r="CD83" s="68">
        <f>(CD28-CC28)+(CD31-CC31)+(CD32-CC32)-(CD7-CC7)</f>
        <v>-130443</v>
      </c>
      <c r="CE83" s="68">
        <f>(CE28-CD28)+(CE31-CD31)+(CE32-CD32)-(CE7-CD7)</f>
        <v>-7687</v>
      </c>
      <c r="CF83" s="68">
        <f>(CF28-CE28)+(CF31-CE31)+(CF32-CE32)-(CF7-CE7)</f>
        <v>16378.11663722666</v>
      </c>
      <c r="CG83" s="68">
        <f>(CG28-CF28)+(CG31-CF31)+(CG32-CF32)-(CG7-CF7)</f>
        <v>9877.7798083941452</v>
      </c>
      <c r="CH83" s="28">
        <f>(CH28-CC28)+(CH31-CC31)+(CH32-CC32)-(CH7-CC7)</f>
        <v>-111874.10355437919</v>
      </c>
      <c r="CI83" s="68">
        <f>(CI28-CH28)+(CI31-CH31)+(CI32-CH32)-(CI7-CH7)</f>
        <v>127404.15889907582</v>
      </c>
      <c r="CJ83" s="68">
        <f>(CJ28-CI28)+(CJ31-CI31)+(CJ32-CI32)-(CJ7-CI7)</f>
        <v>91712.4670899841</v>
      </c>
      <c r="CK83" s="68">
        <f>(CK28-CJ28)+(CK31-CJ31)+(CK32-CJ32)-(CK7-CJ7)</f>
        <v>35786.453413915588</v>
      </c>
      <c r="CL83" s="68">
        <f>(CL28-CK28)+(CL31-CK31)+(CL32-CK32)-(CL7-CK7)</f>
        <v>25736.174994334113</v>
      </c>
      <c r="CM83" s="28">
        <f>(CM28-CH28)+(CM31-CH31)+(CM32-CH32)-(CM7-CH7)</f>
        <v>280639.25439730962</v>
      </c>
      <c r="CN83" s="68">
        <f>(CN28-CM28)+(CN31-CM31)+(CN32-CM32)-(CN7-CM7)</f>
        <v>112481.51360949641</v>
      </c>
      <c r="CO83" s="68">
        <f>(CO28-CN28)+(CO31-CN31)+(CO32-CN32)-(CO7-CN7)</f>
        <v>51107.436932852725</v>
      </c>
      <c r="CP83" s="68">
        <f>(CP28-CO28)+(CP31-CO31)+(CP32-CO32)-(CP7-CO7)</f>
        <v>-1401.5958869089372</v>
      </c>
      <c r="CQ83" s="68">
        <f>(CQ28-CP28)+(CQ31-CP31)+(CQ32-CP32)-(CQ7-CP7)</f>
        <v>19018.06514497078</v>
      </c>
      <c r="CR83" s="28">
        <f>(CR28-CM28)+(CR31-CM31)+(CR32-CM32)-(CR7-CM7)</f>
        <v>181205.41980041098</v>
      </c>
      <c r="CS83" s="68">
        <f>(CS28-CR28)+(CS31-CR31)+(CS32-CR32)-(CS7-CR7)</f>
        <v>97025.770036658505</v>
      </c>
      <c r="CT83" s="68">
        <f>(CT28-CS28)+(CT31-CS31)+(CT32-CS32)-(CT7-CS7)</f>
        <v>48561.600945481565</v>
      </c>
      <c r="CU83" s="68">
        <f>(CU28-CT28)+(CU31-CT31)+(CU32-CT32)-(CU7-CT7)</f>
        <v>-6561.0871684097219</v>
      </c>
      <c r="CV83" s="68">
        <f>(CV28-CU28)+(CV31-CU31)+(CV32-CU32)-(CV7-CU7)</f>
        <v>4370.890591070056</v>
      </c>
      <c r="CW83" s="28">
        <f>(CW28-CR28)+(CW31-CR31)+(CW32-CR32)-(CW7-CR7)</f>
        <v>143397.1744048004</v>
      </c>
      <c r="CX83" s="68">
        <f>(CX28-CW28)+(CX31-CW31)+(CX32-CW32)-(CX7-CW7)</f>
        <v>89191.413070970681</v>
      </c>
      <c r="CY83" s="68">
        <f>(CY28-CX28)+(CY31-CX31)+(CY32-CX32)-(CY7-CX7)</f>
        <v>41498.196452576434</v>
      </c>
      <c r="CZ83" s="68">
        <f>(CZ28-CY28)+(CZ31-CY31)+(CZ32-CY32)-(CZ7-CY7)</f>
        <v>-13922.294790467015</v>
      </c>
      <c r="DA83" s="68">
        <f>(DA28-CZ28)+(DA31-CZ31)+(DA32-CZ32)-(DA7-CZ7)</f>
        <v>-1203.2686226139776</v>
      </c>
      <c r="DB83" s="28">
        <f>(DB28-CW28)+(DB31-CW31)+(DB32-CW32)-(DB7-CW7)</f>
        <v>115564.04611046612</v>
      </c>
    </row>
    <row r="84" spans="1:106" s="7" customFormat="1" ht="11.5" customHeight="1" outlineLevel="1" x14ac:dyDescent="0.35">
      <c r="A84" s="7" t="s">
        <v>139</v>
      </c>
      <c r="B84" s="68" t="e">
        <f>('BS &amp; FCF'!B42-'BS &amp; FCF'!A42)+('BS &amp; FCF'!B43-'BS &amp; FCF'!A43)+('BS &amp; FCF'!B39-'BS &amp; FCF'!A39)+B73-B77</f>
        <v>#VALUE!</v>
      </c>
      <c r="C84" s="68">
        <f>('BS &amp; FCF'!C42-'BS &amp; FCF'!B42)+('BS &amp; FCF'!C43-'BS &amp; FCF'!B43)+('BS &amp; FCF'!C39-'BS &amp; FCF'!B39)+C73-C77</f>
        <v>0</v>
      </c>
      <c r="D84" s="68">
        <f>('BS &amp; FCF'!D42-'BS &amp; FCF'!C42)+('BS &amp; FCF'!D43-'BS &amp; FCF'!C43)+('BS &amp; FCF'!D39-'BS &amp; FCF'!C39)+D73-D77</f>
        <v>0</v>
      </c>
      <c r="E84" s="68">
        <f>('BS &amp; FCF'!E42-'BS &amp; FCF'!D42)+('BS &amp; FCF'!E43-'BS &amp; FCF'!D43)+('BS &amp; FCF'!E39-'BS &amp; FCF'!D39)+E73-E77</f>
        <v>0</v>
      </c>
      <c r="F84" s="28" t="e">
        <f>('BS &amp; FCF'!F42-'BS &amp; FCF'!A42)+('BS &amp; FCF'!F43-'BS &amp; FCF'!A43)+('BS &amp; FCF'!F39-'BS &amp; FCF'!A39)+F73-F77</f>
        <v>#VALUE!</v>
      </c>
      <c r="G84" s="68">
        <f>('BS &amp; FCF'!G42-'BS &amp; FCF'!F42)+('BS &amp; FCF'!G43-'BS &amp; FCF'!F43)+('BS &amp; FCF'!G39-'BS &amp; FCF'!F39)+G73-G77</f>
        <v>0</v>
      </c>
      <c r="H84" s="68">
        <f>('BS &amp; FCF'!H42-'BS &amp; FCF'!G42)+('BS &amp; FCF'!H43-'BS &amp; FCF'!G43)+('BS &amp; FCF'!H39-'BS &amp; FCF'!G39)+H73-H77</f>
        <v>0</v>
      </c>
      <c r="I84" s="68">
        <f>('BS &amp; FCF'!I42-'BS &amp; FCF'!H42)+('BS &amp; FCF'!I43-'BS &amp; FCF'!H43)+('BS &amp; FCF'!I39-'BS &amp; FCF'!H39)+I73-I77</f>
        <v>0</v>
      </c>
      <c r="J84" s="68">
        <f>('BS &amp; FCF'!J42-'BS &amp; FCF'!I42)+('BS &amp; FCF'!J43-'BS &amp; FCF'!I43)+('BS &amp; FCF'!J39-'BS &amp; FCF'!I39)+J73-J77</f>
        <v>0</v>
      </c>
      <c r="K84" s="28">
        <f>('BS &amp; FCF'!K42-'BS &amp; FCF'!F42)+('BS &amp; FCF'!K43-'BS &amp; FCF'!F43)+('BS &amp; FCF'!K39-'BS &amp; FCF'!F39)+K73-K77</f>
        <v>0</v>
      </c>
      <c r="L84" s="68">
        <f>('BS &amp; FCF'!L42-'BS &amp; FCF'!K42)+('BS &amp; FCF'!L43-'BS &amp; FCF'!K43)+('BS &amp; FCF'!L39-'BS &amp; FCF'!K39)+L73-L77</f>
        <v>0</v>
      </c>
      <c r="M84" s="68">
        <f>('BS &amp; FCF'!M42-'BS &amp; FCF'!L42)+('BS &amp; FCF'!M43-'BS &amp; FCF'!L43)+('BS &amp; FCF'!M39-'BS &amp; FCF'!L39)+M73-M77</f>
        <v>0</v>
      </c>
      <c r="N84" s="68">
        <f>('BS &amp; FCF'!N42-'BS &amp; FCF'!M42)+('BS &amp; FCF'!N43-'BS &amp; FCF'!M43)+('BS &amp; FCF'!N39-'BS &amp; FCF'!M39)+N73-N77</f>
        <v>0</v>
      </c>
      <c r="O84" s="68">
        <f>('BS &amp; FCF'!O42-'BS &amp; FCF'!N42)+('BS &amp; FCF'!O43-'BS &amp; FCF'!N43)+('BS &amp; FCF'!O39-'BS &amp; FCF'!N39)+O73-O77</f>
        <v>0</v>
      </c>
      <c r="P84" s="28">
        <f>('BS &amp; FCF'!P42-'BS &amp; FCF'!K42)+('BS &amp; FCF'!P43-'BS &amp; FCF'!K43)+('BS &amp; FCF'!P39-'BS &amp; FCF'!K39)+P73-P77</f>
        <v>0</v>
      </c>
      <c r="Q84" s="68">
        <f>('BS &amp; FCF'!Q42-'BS &amp; FCF'!P42)+('BS &amp; FCF'!Q43-'BS &amp; FCF'!P43)+('BS &amp; FCF'!Q39-'BS &amp; FCF'!P39)+Q73-Q77</f>
        <v>0</v>
      </c>
      <c r="R84" s="68">
        <f>('BS &amp; FCF'!R42-'BS &amp; FCF'!Q42)+('BS &amp; FCF'!R43-'BS &amp; FCF'!Q43)+('BS &amp; FCF'!R39-'BS &amp; FCF'!Q39)+R73-R77</f>
        <v>0</v>
      </c>
      <c r="S84" s="68">
        <f>('BS &amp; FCF'!S42-'BS &amp; FCF'!R42)+('BS &amp; FCF'!S43-'BS &amp; FCF'!R43)+('BS &amp; FCF'!S39-'BS &amp; FCF'!R39)+S73-S77</f>
        <v>0</v>
      </c>
      <c r="T84" s="68">
        <f>('BS &amp; FCF'!T42-'BS &amp; FCF'!S42)+('BS &amp; FCF'!T43-'BS &amp; FCF'!S43)+('BS &amp; FCF'!T39-'BS &amp; FCF'!S39)+T73-T77</f>
        <v>0</v>
      </c>
      <c r="U84" s="28">
        <f>('BS &amp; FCF'!U42-'BS &amp; FCF'!P42)+('BS &amp; FCF'!U43-'BS &amp; FCF'!P43)+('BS &amp; FCF'!U39-'BS &amp; FCF'!P39)+U73-U77</f>
        <v>0</v>
      </c>
      <c r="V84" s="68">
        <f>('BS &amp; FCF'!V42-'BS &amp; FCF'!U42)+('BS &amp; FCF'!V43-'BS &amp; FCF'!U43)+('BS &amp; FCF'!V39-'BS &amp; FCF'!U39)+V73-V77</f>
        <v>0</v>
      </c>
      <c r="W84" s="68">
        <f>('BS &amp; FCF'!W42-'BS &amp; FCF'!V42)+('BS &amp; FCF'!W43-'BS &amp; FCF'!V43)+('BS &amp; FCF'!W39-'BS &amp; FCF'!V39)+W73-W77</f>
        <v>0</v>
      </c>
      <c r="X84" s="68">
        <f>('BS &amp; FCF'!X42-'BS &amp; FCF'!W42)+('BS &amp; FCF'!X43-'BS &amp; FCF'!W43)+('BS &amp; FCF'!X39-'BS &amp; FCF'!W39)+X73-X77</f>
        <v>0</v>
      </c>
      <c r="Y84" s="68">
        <f>('BS &amp; FCF'!Y42-'BS &amp; FCF'!X42)+('BS &amp; FCF'!Y43-'BS &amp; FCF'!X43)+('BS &amp; FCF'!Y39-'BS &amp; FCF'!X39)+Y73-Y77</f>
        <v>0</v>
      </c>
      <c r="Z84" s="28">
        <f>('BS &amp; FCF'!Z42-'BS &amp; FCF'!U42)+('BS &amp; FCF'!Z43-'BS &amp; FCF'!U43)+('BS &amp; FCF'!Z39-'BS &amp; FCF'!U39)+Z73-Z77</f>
        <v>0</v>
      </c>
      <c r="AA84" s="68">
        <f>('BS &amp; FCF'!AA42-'BS &amp; FCF'!Z42)+('BS &amp; FCF'!AA43-'BS &amp; FCF'!Z43)+('BS &amp; FCF'!AA39-'BS &amp; FCF'!Z39)+AA73-AA77</f>
        <v>0</v>
      </c>
      <c r="AB84" s="68">
        <f>('BS &amp; FCF'!AB42-'BS &amp; FCF'!AA42)+('BS &amp; FCF'!AB43-'BS &amp; FCF'!AA43)+('BS &amp; FCF'!AB39-'BS &amp; FCF'!AA39)+AB73-AB77</f>
        <v>0</v>
      </c>
      <c r="AC84" s="68">
        <f>('BS &amp; FCF'!AC42-'BS &amp; FCF'!AB42)+('BS &amp; FCF'!AC43-'BS &amp; FCF'!AB43)+('BS &amp; FCF'!AC39-'BS &amp; FCF'!AB39)+AC73-AC77</f>
        <v>0</v>
      </c>
      <c r="AD84" s="68">
        <f>('BS &amp; FCF'!AD42-'BS &amp; FCF'!AC42)+('BS &amp; FCF'!AD43-'BS &amp; FCF'!AC43)+('BS &amp; FCF'!AD39-'BS &amp; FCF'!AC39)+AD73-AD77</f>
        <v>0</v>
      </c>
      <c r="AE84" s="28">
        <f>('BS &amp; FCF'!AE42-'BS &amp; FCF'!Z42)+('BS &amp; FCF'!AE43-'BS &amp; FCF'!Z43)+('BS &amp; FCF'!AE39-'BS &amp; FCF'!Z39)+AE73-AE77</f>
        <v>0</v>
      </c>
      <c r="AF84" s="68">
        <f>('BS &amp; FCF'!AF42-'BS &amp; FCF'!AE42)+('BS &amp; FCF'!AF43-'BS &amp; FCF'!AE43)+('BS &amp; FCF'!AF39-'BS &amp; FCF'!AE39)+AF73-AF77</f>
        <v>0</v>
      </c>
      <c r="AG84" s="68">
        <f>('BS &amp; FCF'!AG42-'BS &amp; FCF'!AF42)+('BS &amp; FCF'!AG43-'BS &amp; FCF'!AF43)+('BS &amp; FCF'!AG39-'BS &amp; FCF'!AF39)+AG73-AG77</f>
        <v>0</v>
      </c>
      <c r="AH84" s="68">
        <f>('BS &amp; FCF'!AH42-'BS &amp; FCF'!AG42)+('BS &amp; FCF'!AH43-'BS &amp; FCF'!AG43)+('BS &amp; FCF'!AH39-'BS &amp; FCF'!AG39)+AH73-AH77</f>
        <v>0</v>
      </c>
      <c r="AI84" s="68">
        <f>('BS &amp; FCF'!AI42-'BS &amp; FCF'!AH42)+('BS &amp; FCF'!AI43-'BS &amp; FCF'!AH43)+('BS &amp; FCF'!AI39-'BS &amp; FCF'!AH39)+AI73-AI77</f>
        <v>0</v>
      </c>
      <c r="AJ84" s="28">
        <f>('BS &amp; FCF'!AJ42-'BS &amp; FCF'!AE42)+('BS &amp; FCF'!AJ43-'BS &amp; FCF'!AE43)+('BS &amp; FCF'!AJ39-'BS &amp; FCF'!AE39)+AJ73-AJ77</f>
        <v>0</v>
      </c>
      <c r="AK84" s="68">
        <f>(AK42-AJ42)+(AK43-AJ43)+(AK39-AJ39)+AK73-AK77</f>
        <v>571460.23399999994</v>
      </c>
      <c r="AL84" s="68">
        <f>(AL42-AK42)+(AL43-AK43)+(AL39-AK39)+AL73-AL77</f>
        <v>-21060.649999999961</v>
      </c>
      <c r="AM84" s="68">
        <f>(AM42-AL42)+(AM43-AL43)+(AM39-AL39)+AM73-AM77</f>
        <v>-4114.5460000000312</v>
      </c>
      <c r="AN84" s="68">
        <f>(AN42-AM42)+(AN43-AM43)+(AN39-AM39)+AN73-AN77</f>
        <v>-80363.213000000062</v>
      </c>
      <c r="AO84" s="28">
        <f>(AO42-AJ42)+(AO43-AJ43)+(AO39-AJ39)+AO73-AO77</f>
        <v>465921.82499999995</v>
      </c>
      <c r="AP84" s="68">
        <f>(AP42-AO42)+(AP43-AO43)+(AP39-AO39)+AP73-AP77</f>
        <v>-14432.578000000001</v>
      </c>
      <c r="AQ84" s="68">
        <f>(AQ42-AP42)+(AQ43-AP43)+(AQ39-AP39)+AQ73-AQ77</f>
        <v>-7020.2529999999897</v>
      </c>
      <c r="AR84" s="68">
        <f>(AR42-AQ42)+(AR43-AQ43)+(AR39-AQ39)+AR73-AR77</f>
        <v>-102256.24100000005</v>
      </c>
      <c r="AS84" s="68">
        <f>(AS42-AR42)+(AS43-AR43)+(AS39-AR39)+AS73-AS77</f>
        <v>-105030.38999999998</v>
      </c>
      <c r="AT84" s="28">
        <f>(AT42-AO42)+(AT43-AO43)+(AT39-AO39)+AT73-AT77</f>
        <v>-228739.46200000003</v>
      </c>
      <c r="AU84" s="68">
        <f>(AU42-AT42)+(AU43-AT43)+(AU39-AT39)+AU73-AU77</f>
        <v>-3819</v>
      </c>
      <c r="AV84" s="68">
        <f>(AV42-AU42)+(AV43-AU43)+(AV39-AU39)+AV73-AV77</f>
        <v>12657</v>
      </c>
      <c r="AW84" s="68">
        <f>(AW42-AV42)+(AW43-AV43)+(AW39-AV39)+AW73-AW77</f>
        <v>9431</v>
      </c>
      <c r="AX84" s="68">
        <f>(AX42-AW42)+(AX43-AW43)+(AX39-AW39)+AX73-AX77</f>
        <v>-125616</v>
      </c>
      <c r="AY84" s="28">
        <f>(AY42-AT42)+(AY43-AT43)+(AY39-AT39)+AY73-AY77</f>
        <v>-107347</v>
      </c>
      <c r="AZ84" s="68">
        <f>(AZ42-AY42)+(AZ43-AY43)+(AZ39-AY39)+AZ73-AZ77</f>
        <v>5327</v>
      </c>
      <c r="BA84" s="68">
        <f>(BA42-AZ42)+(BA43-AZ43)+(BA39-AZ39)+BA73-BA77</f>
        <v>7158</v>
      </c>
      <c r="BB84" s="68">
        <f>(BB42-BA42)+(BB43-BA43)+(BB39-BA39)+BB73-BB77</f>
        <v>161498</v>
      </c>
      <c r="BC84" s="68">
        <f>(BC42-BB42)+(BC43-BB43)+(BC39-BB39)+BC73-BC77</f>
        <v>-188012</v>
      </c>
      <c r="BD84" s="28">
        <f>(BD42-AY42)+(BD43-AY43)+(BD39-AY39)+BD73-BD77</f>
        <v>-14029</v>
      </c>
      <c r="BE84" s="68">
        <f>(BE42-BD42)+(BE43-BD43)+(BE39-BD39)+BE73-BE77</f>
        <v>1335</v>
      </c>
      <c r="BF84" s="68">
        <f>(BF42-BE42)+(BF43-BE43)+(BF39-BE39)+BF73-BF77</f>
        <v>-4126</v>
      </c>
      <c r="BG84" s="68">
        <f>(BG42-BF42)+(BG43-BF43)+(BG39-BF39)+BG73-BG77</f>
        <v>-116598</v>
      </c>
      <c r="BH84" s="68">
        <f>(BH42-BG42)+(BH43-BG43)+(BH39-BG39)+BH73-BH77</f>
        <v>-51542</v>
      </c>
      <c r="BI84" s="28">
        <f>(BI42-BD42)+(BI43-BD43)+(BI39-BD39)+BI73-BI77</f>
        <v>-170931</v>
      </c>
      <c r="BJ84" s="68">
        <f>(BJ42-BI42)+(BJ43-BI43)+(BJ39-BI39)+BJ73-BJ77</f>
        <v>-12983</v>
      </c>
      <c r="BK84" s="68">
        <f>(BK42-BJ42)+(BK43-BJ43)+(BK39-BJ39)+BK73-BK77</f>
        <v>-10607</v>
      </c>
      <c r="BL84" s="68">
        <f>(BL42-BK42)+(BL43-BK43)+(BL39-BK39)+BL73-BL77</f>
        <v>-163785</v>
      </c>
      <c r="BM84" s="68">
        <f>(BM42-BL42)+(BM43-BL43)+(BM39-BL39)+BM73-BM77</f>
        <v>-8022</v>
      </c>
      <c r="BN84" s="28">
        <f>(BN42-BI42)+(BN43-BI43)+(BN39-BI39)+BN73-BN77</f>
        <v>-195397</v>
      </c>
      <c r="BO84" s="68">
        <f>(BO42-BN42)+(BO43-BN43)+(BO39-BN39)+BO73-BO77</f>
        <v>-59944</v>
      </c>
      <c r="BP84" s="68">
        <f>(BP42-BO42)+(BP43-BO43)+(BP39-BO39)+BP73-BP77</f>
        <v>-6887</v>
      </c>
      <c r="BQ84" s="68">
        <f>(BQ42-BP42)+(BQ43-BP43)+(BQ39-BP39)+BQ73-BQ77</f>
        <v>-4543</v>
      </c>
      <c r="BR84" s="68">
        <f>(BR42-BQ42)+(BR43-BQ43)+(BR39-BQ39)+BR73-BR77</f>
        <v>-250970</v>
      </c>
      <c r="BS84" s="28">
        <f>(BS42-BN42)+(BS43-BN43)+(BS39-BN39)+BS73-BS77</f>
        <v>-322344</v>
      </c>
      <c r="BT84" s="68">
        <f>(BT42-BS42)+(BT43-BS43)+(BT39-BS39)+BT73-BT77</f>
        <v>20221</v>
      </c>
      <c r="BU84" s="68">
        <f>(BU42-BT42)+(BU43-BT43)+(BU39-BT39)+BU73-BU77</f>
        <v>-131256</v>
      </c>
      <c r="BV84" s="68">
        <f>(BV42-BU42)+(BV43-BU43)+(BV39-BU39)+BV73-BV77</f>
        <v>-255221</v>
      </c>
      <c r="BW84" s="68">
        <f>(BW42-BV42)+(BW43-BV43)+(BW39-BV39)+BW73-BW77</f>
        <v>-35227</v>
      </c>
      <c r="BX84" s="28">
        <f>(BX42-BS42)+(BX43-BS43)+(BX39-BS39)+BX73-BX77</f>
        <v>-401483</v>
      </c>
      <c r="BY84" s="68">
        <f>(BY42-BX42)+(BY43-BX43)+(BY39-BX39)+BY73-BY77</f>
        <v>-161530</v>
      </c>
      <c r="BZ84" s="68">
        <f>(BZ42-BY42)+(BZ43-BY43)+(BZ39-BY39)+BZ73-BZ77</f>
        <v>-14967</v>
      </c>
      <c r="CA84" s="68">
        <f>(CA42-BZ42)+(CA43-BZ43)+(CA39-BZ39)+CA73-CA77</f>
        <v>8582</v>
      </c>
      <c r="CB84" s="68">
        <f>(CB42-CA42)+(CB43-CA43)+(CB39-CA39)+CB73-CB77</f>
        <v>-568736</v>
      </c>
      <c r="CC84" s="28">
        <f>(CC42-BX42)+(CC43-BX43)+(CC39-BX39)+CC73-CC77</f>
        <v>-736651</v>
      </c>
      <c r="CD84" s="68">
        <f>(CD42-CC42)+(CD43-CC43)+(CD39-CC39)+CD73-CD77</f>
        <v>67049</v>
      </c>
      <c r="CE84" s="68">
        <f>(CE42-CD42)+(CE43-CD43)+(CE39-CD39)+CE73-CE77</f>
        <v>-223580</v>
      </c>
      <c r="CF84" s="68">
        <f ca="1">(CF42-CE42)+(CF43-CE43)+(CF39-CE39)+CF73-CF77</f>
        <v>-215100.34325584612</v>
      </c>
      <c r="CG84" s="68">
        <f ca="1">(CG42-CF42)+(CG43-CF43)+(CG39-CF39)+CG73-CG77</f>
        <v>-209730.78434943978</v>
      </c>
      <c r="CH84" s="28">
        <f ca="1">(CH42-CC42)+(CH43-CC43)+(CH39-CC39)+CH73-CH77</f>
        <v>-581362.12760528596</v>
      </c>
      <c r="CI84" s="68">
        <f ca="1">(CI42-CH42)+(CI43-CH43)+(CI39-CH39)+CI73-CI77</f>
        <v>28225.025400281535</v>
      </c>
      <c r="CJ84" s="68">
        <f ca="1">(CJ42-CI42)+(CJ43-CI43)+(CJ39-CI39)+CJ73-CJ77</f>
        <v>-491178.78225993505</v>
      </c>
      <c r="CK84" s="68">
        <f ca="1">(CK42-CJ42)+(CK43-CJ43)+(CK39-CJ39)+CK73-CK77</f>
        <v>-271499.52174468944</v>
      </c>
      <c r="CL84" s="68">
        <f ca="1">(CL42-CK42)+(CL43-CK43)+(CL39-CK39)+CL73-CL77</f>
        <v>-299124.20751085575</v>
      </c>
      <c r="CM84" s="28">
        <f ca="1">(CM42-CH42)+(CM43-CH43)+(CM39-CH39)+CM73-CM77</f>
        <v>-1033577.4861151987</v>
      </c>
      <c r="CN84" s="68">
        <f ca="1">(CN42-CM42)+(CN43-CM43)+(CN39-CM39)+CN73-CN77</f>
        <v>24589.800410317432</v>
      </c>
      <c r="CO84" s="68">
        <f ca="1">(CO42-CN42)+(CO43-CN43)+(CO39-CN39)+CO73-CO77</f>
        <v>-751834.59213851602</v>
      </c>
      <c r="CP84" s="68">
        <f ca="1">(CP42-CO42)+(CP43-CO43)+(CP39-CO39)+CP73-CP77</f>
        <v>-391809.56859482988</v>
      </c>
      <c r="CQ84" s="68">
        <f ca="1">(CQ42-CP42)+(CQ43-CP43)+(CQ39-CP39)+CQ73-CQ77</f>
        <v>-405543.08765393682</v>
      </c>
      <c r="CR84" s="28">
        <f ca="1">(CR42-CM42)+(CR43-CM43)+(CR39-CM39)+CR73-CR77</f>
        <v>-1524597.447976965</v>
      </c>
      <c r="CS84" s="68">
        <f ca="1">(CS42-CR42)+(CS43-CR43)+(CS39-CR39)+CS73-CS77</f>
        <v>20825.452624961385</v>
      </c>
      <c r="CT84" s="68">
        <f ca="1">(CT42-CS42)+(CT43-CS43)+(CT39-CS39)+CT73-CT77</f>
        <v>-841158.90312615712</v>
      </c>
      <c r="CU84" s="68">
        <f ca="1">(CU42-CT42)+(CU43-CT43)+(CU39-CT39)+CU73-CU77</f>
        <v>-417414.67377447552</v>
      </c>
      <c r="CV84" s="68">
        <f ca="1">(CV42-CU42)+(CV43-CU43)+(CV39-CU39)+CV73-CV77</f>
        <v>-428937.00085799844</v>
      </c>
      <c r="CW84" s="28">
        <f ca="1">(CW42-CR42)+(CW43-CR43)+(CW39-CR39)+CW73-CW77</f>
        <v>-1666685.1251336699</v>
      </c>
      <c r="CX84" s="68">
        <f ca="1">(CX42-CW42)+(CX43-CW43)+(CX39-CW39)+CX73-CX77</f>
        <v>18871.499717804603</v>
      </c>
      <c r="CY84" s="68">
        <f ca="1">(CY42-CX42)+(CY43-CX43)+(CY39-CX39)+CY73-CY77</f>
        <v>-888834.32017902529</v>
      </c>
      <c r="CZ84" s="68">
        <f ca="1">(CZ42-CY42)+(CZ43-CY43)+(CZ39-CY39)+CZ73-CZ77</f>
        <v>-448044.91885334329</v>
      </c>
      <c r="DA84" s="68">
        <f ca="1">(DA42-CZ42)+(DA43-CZ43)+(DA39-CZ39)+DA73-DA77</f>
        <v>-460229.2350817651</v>
      </c>
      <c r="DB84" s="28">
        <f ca="1">(DB42-CW42)+(DB43-CW43)+(DB39-CW39)+DB73-DB77</f>
        <v>-1778236.9743963291</v>
      </c>
    </row>
    <row r="85" spans="1:106" s="7" customFormat="1" ht="11.5" customHeight="1" x14ac:dyDescent="0.35">
      <c r="A85" s="11" t="s">
        <v>140</v>
      </c>
      <c r="B85" s="115" t="e">
        <f t="shared" ref="B85:AE85" si="511">SUM(B83:B84)</f>
        <v>#VALUE!</v>
      </c>
      <c r="C85" s="115">
        <f t="shared" si="511"/>
        <v>0</v>
      </c>
      <c r="D85" s="115">
        <f t="shared" si="511"/>
        <v>0</v>
      </c>
      <c r="E85" s="115">
        <f t="shared" si="511"/>
        <v>0</v>
      </c>
      <c r="F85" s="38" t="e">
        <f t="shared" si="511"/>
        <v>#VALUE!</v>
      </c>
      <c r="G85" s="115">
        <f t="shared" si="511"/>
        <v>0</v>
      </c>
      <c r="H85" s="115">
        <f t="shared" si="511"/>
        <v>0</v>
      </c>
      <c r="I85" s="115">
        <f t="shared" si="511"/>
        <v>0</v>
      </c>
      <c r="J85" s="115">
        <f t="shared" si="511"/>
        <v>0</v>
      </c>
      <c r="K85" s="38">
        <f t="shared" si="511"/>
        <v>0</v>
      </c>
      <c r="L85" s="115">
        <f t="shared" si="511"/>
        <v>0</v>
      </c>
      <c r="M85" s="115">
        <f t="shared" si="511"/>
        <v>0</v>
      </c>
      <c r="N85" s="115">
        <f t="shared" si="511"/>
        <v>0</v>
      </c>
      <c r="O85" s="115">
        <f t="shared" si="511"/>
        <v>0</v>
      </c>
      <c r="P85" s="38">
        <f t="shared" si="511"/>
        <v>0</v>
      </c>
      <c r="Q85" s="115">
        <f t="shared" si="511"/>
        <v>0</v>
      </c>
      <c r="R85" s="115">
        <f t="shared" si="511"/>
        <v>0</v>
      </c>
      <c r="S85" s="115">
        <f t="shared" si="511"/>
        <v>0</v>
      </c>
      <c r="T85" s="115">
        <f t="shared" si="511"/>
        <v>0</v>
      </c>
      <c r="U85" s="38">
        <f t="shared" si="511"/>
        <v>0</v>
      </c>
      <c r="V85" s="115">
        <f t="shared" si="511"/>
        <v>0</v>
      </c>
      <c r="W85" s="115">
        <f t="shared" si="511"/>
        <v>0</v>
      </c>
      <c r="X85" s="115">
        <f t="shared" si="511"/>
        <v>0</v>
      </c>
      <c r="Y85" s="115">
        <f t="shared" si="511"/>
        <v>0</v>
      </c>
      <c r="Z85" s="38">
        <f t="shared" si="511"/>
        <v>0</v>
      </c>
      <c r="AA85" s="115">
        <f t="shared" si="511"/>
        <v>0</v>
      </c>
      <c r="AB85" s="115">
        <f t="shared" si="511"/>
        <v>0</v>
      </c>
      <c r="AC85" s="115">
        <f t="shared" si="511"/>
        <v>0</v>
      </c>
      <c r="AD85" s="115">
        <f t="shared" si="511"/>
        <v>0</v>
      </c>
      <c r="AE85" s="38">
        <f t="shared" si="511"/>
        <v>0</v>
      </c>
      <c r="AF85" s="115">
        <f t="shared" ref="AF85:AL85" si="512">SUM(AF83:AF84)</f>
        <v>0</v>
      </c>
      <c r="AG85" s="115">
        <f t="shared" si="512"/>
        <v>0</v>
      </c>
      <c r="AH85" s="115">
        <f t="shared" si="512"/>
        <v>0</v>
      </c>
      <c r="AI85" s="115">
        <f t="shared" si="512"/>
        <v>0</v>
      </c>
      <c r="AJ85" s="38">
        <f t="shared" si="512"/>
        <v>0</v>
      </c>
      <c r="AK85" s="115">
        <f t="shared" si="512"/>
        <v>774446.23399999994</v>
      </c>
      <c r="AL85" s="115">
        <f t="shared" si="512"/>
        <v>-27424.649999999961</v>
      </c>
      <c r="AM85" s="115">
        <f t="shared" ref="AM85:BR85" si="513">SUM(AM83:AM84)</f>
        <v>-17406.546000000031</v>
      </c>
      <c r="AN85" s="115">
        <f t="shared" si="513"/>
        <v>-58195.213000000062</v>
      </c>
      <c r="AO85" s="38">
        <f t="shared" si="513"/>
        <v>671419.82499999995</v>
      </c>
      <c r="AP85" s="115">
        <f t="shared" si="513"/>
        <v>-55171.578000000001</v>
      </c>
      <c r="AQ85" s="115">
        <f t="shared" si="513"/>
        <v>-34019.25299999999</v>
      </c>
      <c r="AR85" s="115">
        <f t="shared" si="513"/>
        <v>43687.758999999947</v>
      </c>
      <c r="AS85" s="115">
        <f t="shared" si="513"/>
        <v>-112107.38999999998</v>
      </c>
      <c r="AT85" s="38">
        <f t="shared" si="513"/>
        <v>-157610.46200000003</v>
      </c>
      <c r="AU85" s="115">
        <f t="shared" si="513"/>
        <v>-8890</v>
      </c>
      <c r="AV85" s="115">
        <f t="shared" si="513"/>
        <v>-8570</v>
      </c>
      <c r="AW85" s="115">
        <f t="shared" si="513"/>
        <v>-11736</v>
      </c>
      <c r="AX85" s="115">
        <f t="shared" si="513"/>
        <v>-70949</v>
      </c>
      <c r="AY85" s="38">
        <f t="shared" si="513"/>
        <v>-100145</v>
      </c>
      <c r="AZ85" s="115">
        <f t="shared" si="513"/>
        <v>3093</v>
      </c>
      <c r="BA85" s="115">
        <f t="shared" si="513"/>
        <v>41122</v>
      </c>
      <c r="BB85" s="115">
        <f t="shared" si="513"/>
        <v>127105</v>
      </c>
      <c r="BC85" s="115">
        <f t="shared" si="513"/>
        <v>-197160</v>
      </c>
      <c r="BD85" s="38">
        <f t="shared" si="513"/>
        <v>-25840</v>
      </c>
      <c r="BE85" s="115">
        <f t="shared" si="513"/>
        <v>-1375</v>
      </c>
      <c r="BF85" s="115">
        <f t="shared" si="513"/>
        <v>-7168</v>
      </c>
      <c r="BG85" s="115">
        <f t="shared" si="513"/>
        <v>3324</v>
      </c>
      <c r="BH85" s="115">
        <f t="shared" si="513"/>
        <v>-50823</v>
      </c>
      <c r="BI85" s="38">
        <f t="shared" si="513"/>
        <v>-56042</v>
      </c>
      <c r="BJ85" s="115">
        <f t="shared" si="513"/>
        <v>-13473</v>
      </c>
      <c r="BK85" s="115">
        <f t="shared" si="513"/>
        <v>-2776</v>
      </c>
      <c r="BL85" s="115">
        <f t="shared" si="513"/>
        <v>-106367</v>
      </c>
      <c r="BM85" s="115">
        <f t="shared" si="513"/>
        <v>16227</v>
      </c>
      <c r="BN85" s="38">
        <f t="shared" si="513"/>
        <v>-106389</v>
      </c>
      <c r="BO85" s="115">
        <f t="shared" si="513"/>
        <v>-66332</v>
      </c>
      <c r="BP85" s="115">
        <f t="shared" si="513"/>
        <v>13973</v>
      </c>
      <c r="BQ85" s="115">
        <f t="shared" si="513"/>
        <v>141734</v>
      </c>
      <c r="BR85" s="115">
        <f t="shared" si="513"/>
        <v>-287159</v>
      </c>
      <c r="BS85" s="38">
        <f t="shared" ref="BS85:CX85" si="514">SUM(BS83:BS84)</f>
        <v>-197784</v>
      </c>
      <c r="BT85" s="115">
        <f t="shared" si="514"/>
        <v>4601</v>
      </c>
      <c r="BU85" s="115">
        <f t="shared" si="514"/>
        <v>343759</v>
      </c>
      <c r="BV85" s="115">
        <f t="shared" si="514"/>
        <v>-231002</v>
      </c>
      <c r="BW85" s="115">
        <f t="shared" si="514"/>
        <v>-152745</v>
      </c>
      <c r="BX85" s="38">
        <f t="shared" si="514"/>
        <v>-35387</v>
      </c>
      <c r="BY85" s="115">
        <f t="shared" si="514"/>
        <v>138945</v>
      </c>
      <c r="BZ85" s="115">
        <f t="shared" si="514"/>
        <v>1648</v>
      </c>
      <c r="CA85" s="115">
        <f t="shared" si="514"/>
        <v>35571</v>
      </c>
      <c r="CB85" s="115">
        <f t="shared" si="514"/>
        <v>-416392</v>
      </c>
      <c r="CC85" s="38">
        <f t="shared" si="514"/>
        <v>-240228</v>
      </c>
      <c r="CD85" s="115">
        <f t="shared" ref="CD85:CE85" si="515">SUM(CD83:CD84)</f>
        <v>-63394</v>
      </c>
      <c r="CE85" s="115">
        <f t="shared" si="515"/>
        <v>-231267</v>
      </c>
      <c r="CF85" s="115">
        <f t="shared" ca="1" si="514"/>
        <v>-198722.22661861946</v>
      </c>
      <c r="CG85" s="115">
        <f t="shared" ca="1" si="514"/>
        <v>-199853.00454104564</v>
      </c>
      <c r="CH85" s="38">
        <f t="shared" ca="1" si="514"/>
        <v>-693236.23115966516</v>
      </c>
      <c r="CI85" s="115">
        <f t="shared" ca="1" si="514"/>
        <v>155629.18429935735</v>
      </c>
      <c r="CJ85" s="115">
        <f t="shared" ca="1" si="514"/>
        <v>-399466.31516995095</v>
      </c>
      <c r="CK85" s="115">
        <f t="shared" ca="1" si="514"/>
        <v>-235713.06833077385</v>
      </c>
      <c r="CL85" s="115">
        <f t="shared" ca="1" si="514"/>
        <v>-273388.03251652163</v>
      </c>
      <c r="CM85" s="38">
        <f t="shared" ca="1" si="514"/>
        <v>-752938.23171788908</v>
      </c>
      <c r="CN85" s="115">
        <f t="shared" ca="1" si="514"/>
        <v>137071.31401981384</v>
      </c>
      <c r="CO85" s="115">
        <f t="shared" ca="1" si="514"/>
        <v>-700727.15520566329</v>
      </c>
      <c r="CP85" s="115">
        <f t="shared" ca="1" si="514"/>
        <v>-393211.16448173882</v>
      </c>
      <c r="CQ85" s="115">
        <f t="shared" ca="1" si="514"/>
        <v>-386525.02250896604</v>
      </c>
      <c r="CR85" s="38">
        <f t="shared" ca="1" si="514"/>
        <v>-1343392.028176554</v>
      </c>
      <c r="CS85" s="115">
        <f t="shared" ca="1" si="514"/>
        <v>117851.22266161989</v>
      </c>
      <c r="CT85" s="115">
        <f t="shared" ca="1" si="514"/>
        <v>-792597.30218067556</v>
      </c>
      <c r="CU85" s="115">
        <f t="shared" ca="1" si="514"/>
        <v>-423975.76094288524</v>
      </c>
      <c r="CV85" s="115">
        <f t="shared" ca="1" si="514"/>
        <v>-424566.11026692839</v>
      </c>
      <c r="CW85" s="38">
        <f t="shared" ca="1" si="514"/>
        <v>-1523287.9507288695</v>
      </c>
      <c r="CX85" s="115">
        <f t="shared" ca="1" si="514"/>
        <v>108062.91278877528</v>
      </c>
      <c r="CY85" s="115">
        <f t="shared" ref="CY85:DB85" ca="1" si="516">SUM(CY83:CY84)</f>
        <v>-847336.12372644886</v>
      </c>
      <c r="CZ85" s="115">
        <f t="shared" ca="1" si="516"/>
        <v>-461967.2136438103</v>
      </c>
      <c r="DA85" s="115">
        <f t="shared" ca="1" si="516"/>
        <v>-461432.50370437908</v>
      </c>
      <c r="DB85" s="38">
        <f t="shared" ca="1" si="516"/>
        <v>-1662672.928285863</v>
      </c>
    </row>
    <row r="86" spans="1:106" s="7" customFormat="1" ht="11.5" customHeight="1" x14ac:dyDescent="0.35">
      <c r="A86" s="11" t="s">
        <v>143</v>
      </c>
      <c r="B86" s="115" t="e">
        <f t="shared" ref="B86:AE86" si="517">B80+B82+B85</f>
        <v>#VALUE!</v>
      </c>
      <c r="C86" s="115">
        <f t="shared" si="517"/>
        <v>0</v>
      </c>
      <c r="D86" s="115">
        <f t="shared" si="517"/>
        <v>0</v>
      </c>
      <c r="E86" s="115">
        <f t="shared" si="517"/>
        <v>0</v>
      </c>
      <c r="F86" s="38" t="e">
        <f t="shared" si="517"/>
        <v>#VALUE!</v>
      </c>
      <c r="G86" s="115">
        <f t="shared" si="517"/>
        <v>0</v>
      </c>
      <c r="H86" s="115">
        <f t="shared" si="517"/>
        <v>0</v>
      </c>
      <c r="I86" s="115">
        <f t="shared" si="517"/>
        <v>0</v>
      </c>
      <c r="J86" s="115">
        <f t="shared" si="517"/>
        <v>0</v>
      </c>
      <c r="K86" s="38">
        <f t="shared" si="517"/>
        <v>0</v>
      </c>
      <c r="L86" s="115">
        <f t="shared" si="517"/>
        <v>0</v>
      </c>
      <c r="M86" s="115">
        <f t="shared" si="517"/>
        <v>0</v>
      </c>
      <c r="N86" s="115">
        <f t="shared" si="517"/>
        <v>0</v>
      </c>
      <c r="O86" s="115">
        <f t="shared" si="517"/>
        <v>0</v>
      </c>
      <c r="P86" s="38">
        <f t="shared" si="517"/>
        <v>0</v>
      </c>
      <c r="Q86" s="115">
        <f t="shared" si="517"/>
        <v>0</v>
      </c>
      <c r="R86" s="115">
        <f t="shared" si="517"/>
        <v>0</v>
      </c>
      <c r="S86" s="115">
        <f t="shared" si="517"/>
        <v>0</v>
      </c>
      <c r="T86" s="115">
        <f t="shared" si="517"/>
        <v>0</v>
      </c>
      <c r="U86" s="38">
        <f t="shared" si="517"/>
        <v>0</v>
      </c>
      <c r="V86" s="115">
        <f t="shared" si="517"/>
        <v>0</v>
      </c>
      <c r="W86" s="115">
        <f t="shared" si="517"/>
        <v>0</v>
      </c>
      <c r="X86" s="115">
        <f t="shared" si="517"/>
        <v>0</v>
      </c>
      <c r="Y86" s="115">
        <f t="shared" si="517"/>
        <v>0</v>
      </c>
      <c r="Z86" s="38">
        <f t="shared" si="517"/>
        <v>0</v>
      </c>
      <c r="AA86" s="115">
        <f t="shared" si="517"/>
        <v>0</v>
      </c>
      <c r="AB86" s="115">
        <f t="shared" si="517"/>
        <v>0</v>
      </c>
      <c r="AC86" s="115">
        <f t="shared" si="517"/>
        <v>0</v>
      </c>
      <c r="AD86" s="115">
        <f t="shared" si="517"/>
        <v>0</v>
      </c>
      <c r="AE86" s="38">
        <f t="shared" si="517"/>
        <v>0</v>
      </c>
      <c r="AF86" s="115">
        <f t="shared" ref="AF86:AL86" si="518">AF80+AF82+AF85</f>
        <v>0</v>
      </c>
      <c r="AG86" s="115">
        <f t="shared" si="518"/>
        <v>0</v>
      </c>
      <c r="AH86" s="115">
        <f t="shared" si="518"/>
        <v>0</v>
      </c>
      <c r="AI86" s="115">
        <f t="shared" si="518"/>
        <v>0</v>
      </c>
      <c r="AJ86" s="38">
        <f t="shared" si="518"/>
        <v>0</v>
      </c>
      <c r="AK86" s="115">
        <f t="shared" si="518"/>
        <v>143091</v>
      </c>
      <c r="AL86" s="115">
        <f t="shared" si="518"/>
        <v>-23244</v>
      </c>
      <c r="AM86" s="115">
        <f t="shared" ref="AM86:BR86" si="519">AM80+AM82+AM85</f>
        <v>4029</v>
      </c>
      <c r="AN86" s="115">
        <f t="shared" si="519"/>
        <v>74629.999999999985</v>
      </c>
      <c r="AO86" s="38">
        <f t="shared" si="519"/>
        <v>198506</v>
      </c>
      <c r="AP86" s="115">
        <f t="shared" si="519"/>
        <v>-54675</v>
      </c>
      <c r="AQ86" s="115">
        <f t="shared" si="519"/>
        <v>2044</v>
      </c>
      <c r="AR86" s="115">
        <f t="shared" si="519"/>
        <v>57715</v>
      </c>
      <c r="AS86" s="115">
        <f t="shared" si="519"/>
        <v>47371</v>
      </c>
      <c r="AT86" s="38">
        <f t="shared" si="519"/>
        <v>52455</v>
      </c>
      <c r="AU86" s="115">
        <f t="shared" si="519"/>
        <v>-11615</v>
      </c>
      <c r="AV86" s="115">
        <f t="shared" si="519"/>
        <v>29969</v>
      </c>
      <c r="AW86" s="115">
        <f t="shared" si="519"/>
        <v>13599</v>
      </c>
      <c r="AX86" s="115">
        <f t="shared" si="519"/>
        <v>31429</v>
      </c>
      <c r="AY86" s="38">
        <f t="shared" si="519"/>
        <v>63382</v>
      </c>
      <c r="AZ86" s="115">
        <f t="shared" si="519"/>
        <v>11185</v>
      </c>
      <c r="BA86" s="115">
        <f t="shared" si="519"/>
        <v>100319</v>
      </c>
      <c r="BB86" s="115">
        <f t="shared" si="519"/>
        <v>184002</v>
      </c>
      <c r="BC86" s="115">
        <f t="shared" si="519"/>
        <v>-178951</v>
      </c>
      <c r="BD86" s="38">
        <f t="shared" si="519"/>
        <v>116555</v>
      </c>
      <c r="BE86" s="115">
        <f t="shared" si="519"/>
        <v>5746</v>
      </c>
      <c r="BF86" s="115">
        <f t="shared" si="519"/>
        <v>55343</v>
      </c>
      <c r="BG86" s="115">
        <f t="shared" si="519"/>
        <v>62940</v>
      </c>
      <c r="BH86" s="115">
        <f t="shared" si="519"/>
        <v>39439</v>
      </c>
      <c r="BI86" s="38">
        <f t="shared" si="519"/>
        <v>163468</v>
      </c>
      <c r="BJ86" s="115">
        <f t="shared" si="519"/>
        <v>3187</v>
      </c>
      <c r="BK86" s="115">
        <f t="shared" si="519"/>
        <v>70214</v>
      </c>
      <c r="BL86" s="115">
        <f t="shared" si="519"/>
        <v>-45069</v>
      </c>
      <c r="BM86" s="115">
        <f t="shared" si="519"/>
        <v>154518</v>
      </c>
      <c r="BN86" s="38">
        <f t="shared" si="519"/>
        <v>182850</v>
      </c>
      <c r="BO86" s="115">
        <f t="shared" si="519"/>
        <v>-59603</v>
      </c>
      <c r="BP86" s="115">
        <f t="shared" si="519"/>
        <v>105567</v>
      </c>
      <c r="BQ86" s="115">
        <f t="shared" si="519"/>
        <v>273685</v>
      </c>
      <c r="BR86" s="115">
        <f t="shared" si="519"/>
        <v>-116806</v>
      </c>
      <c r="BS86" s="38">
        <f t="shared" ref="BS86:CX86" si="520">BS80+BS82+BS85</f>
        <v>202843</v>
      </c>
      <c r="BT86" s="115">
        <f t="shared" si="520"/>
        <v>19399</v>
      </c>
      <c r="BU86" s="115">
        <f t="shared" si="520"/>
        <v>546352</v>
      </c>
      <c r="BV86" s="115">
        <f t="shared" si="520"/>
        <v>-132805</v>
      </c>
      <c r="BW86" s="115">
        <f t="shared" si="520"/>
        <v>-8979</v>
      </c>
      <c r="BX86" s="38">
        <f t="shared" si="520"/>
        <v>423967</v>
      </c>
      <c r="BY86" s="115">
        <f t="shared" si="520"/>
        <v>127570</v>
      </c>
      <c r="BZ86" s="115">
        <f t="shared" si="520"/>
        <v>46361</v>
      </c>
      <c r="CA86" s="115">
        <f t="shared" si="520"/>
        <v>242328</v>
      </c>
      <c r="CB86" s="115">
        <f t="shared" si="520"/>
        <v>-100850</v>
      </c>
      <c r="CC86" s="38">
        <f t="shared" si="520"/>
        <v>315409</v>
      </c>
      <c r="CD86" s="115">
        <f t="shared" ref="CD86:CE86" si="521">CD80+CD82+CD85</f>
        <v>-33627</v>
      </c>
      <c r="CE86" s="115">
        <f t="shared" si="521"/>
        <v>-123604</v>
      </c>
      <c r="CF86" s="115">
        <f t="shared" ca="1" si="520"/>
        <v>117690.98342785187</v>
      </c>
      <c r="CG86" s="115">
        <f t="shared" ca="1" si="520"/>
        <v>121127.06038899673</v>
      </c>
      <c r="CH86" s="38">
        <f t="shared" ca="1" si="520"/>
        <v>81587.043816848658</v>
      </c>
      <c r="CI86" s="115">
        <f t="shared" ca="1" si="520"/>
        <v>405398.07668765163</v>
      </c>
      <c r="CJ86" s="115">
        <f t="shared" ca="1" si="520"/>
        <v>-146912.59314922741</v>
      </c>
      <c r="CK86" s="115">
        <f t="shared" ca="1" si="520"/>
        <v>25357.764271534892</v>
      </c>
      <c r="CL86" s="115">
        <f t="shared" ca="1" si="520"/>
        <v>29528.95887757797</v>
      </c>
      <c r="CM86" s="38">
        <f t="shared" ca="1" si="520"/>
        <v>313372.20668753691</v>
      </c>
      <c r="CN86" s="115">
        <f t="shared" ca="1" si="520"/>
        <v>512672.49517520604</v>
      </c>
      <c r="CO86" s="115">
        <f t="shared" ca="1" si="520"/>
        <v>-321010.49419736688</v>
      </c>
      <c r="CP86" s="115">
        <f t="shared" ca="1" si="520"/>
        <v>-5110.4381284139818</v>
      </c>
      <c r="CQ86" s="115">
        <f t="shared" ca="1" si="520"/>
        <v>-8970.1489677778445</v>
      </c>
      <c r="CR86" s="38">
        <f t="shared" ca="1" si="520"/>
        <v>177581.4138816474</v>
      </c>
      <c r="CS86" s="115">
        <f t="shared" ca="1" si="520"/>
        <v>553990.77487375867</v>
      </c>
      <c r="CT86" s="115">
        <f t="shared" ca="1" si="520"/>
        <v>-387954.85357171431</v>
      </c>
      <c r="CU86" s="115">
        <f t="shared" ca="1" si="520"/>
        <v>-12472.816450687125</v>
      </c>
      <c r="CV86" s="115">
        <f t="shared" ca="1" si="520"/>
        <v>-3108.6936250890722</v>
      </c>
      <c r="CW86" s="38">
        <f t="shared" ca="1" si="520"/>
        <v>150454.41122626793</v>
      </c>
      <c r="CX86" s="115">
        <f t="shared" ca="1" si="520"/>
        <v>588992.71724390658</v>
      </c>
      <c r="CY86" s="115">
        <f t="shared" ref="CY86:DB86" ca="1" si="522">CY80+CY82+CY85</f>
        <v>-410984.48982182232</v>
      </c>
      <c r="CZ86" s="115">
        <f t="shared" ca="1" si="522"/>
        <v>-28430.05480968015</v>
      </c>
      <c r="DA86" s="115">
        <f t="shared" ca="1" si="522"/>
        <v>-24665.528623952297</v>
      </c>
      <c r="DB86" s="38">
        <f t="shared" ca="1" si="522"/>
        <v>124912.64398845169</v>
      </c>
    </row>
    <row r="87" spans="1:106" s="7" customFormat="1" ht="11.5" customHeight="1" x14ac:dyDescent="0.35">
      <c r="A87" s="7" t="s">
        <v>134</v>
      </c>
      <c r="B87" s="68" t="str">
        <f>'BS &amp; FCF'!A6</f>
        <v>Cash and equivalents</v>
      </c>
      <c r="C87" s="68">
        <f>'BS &amp; FCF'!B6</f>
        <v>0</v>
      </c>
      <c r="D87" s="68">
        <f>'BS &amp; FCF'!C6</f>
        <v>0</v>
      </c>
      <c r="E87" s="68">
        <f>'BS &amp; FCF'!D6</f>
        <v>0</v>
      </c>
      <c r="F87" s="28" t="str">
        <f>'BS &amp; FCF'!A6</f>
        <v>Cash and equivalents</v>
      </c>
      <c r="G87" s="68">
        <f>'BS &amp; FCF'!F6</f>
        <v>0</v>
      </c>
      <c r="H87" s="68">
        <f>'BS &amp; FCF'!G6</f>
        <v>0</v>
      </c>
      <c r="I87" s="68">
        <f>'BS &amp; FCF'!H6</f>
        <v>0</v>
      </c>
      <c r="J87" s="68">
        <f>'BS &amp; FCF'!I6</f>
        <v>0</v>
      </c>
      <c r="K87" s="28">
        <f>'BS &amp; FCF'!F6</f>
        <v>0</v>
      </c>
      <c r="L87" s="68">
        <f>'BS &amp; FCF'!K6</f>
        <v>0</v>
      </c>
      <c r="M87" s="68">
        <f>'BS &amp; FCF'!L6</f>
        <v>0</v>
      </c>
      <c r="N87" s="68">
        <f>'BS &amp; FCF'!M6</f>
        <v>0</v>
      </c>
      <c r="O87" s="68">
        <f>'BS &amp; FCF'!N6</f>
        <v>0</v>
      </c>
      <c r="P87" s="28">
        <f>'BS &amp; FCF'!K6</f>
        <v>0</v>
      </c>
      <c r="Q87" s="68">
        <f>'BS &amp; FCF'!P6</f>
        <v>0</v>
      </c>
      <c r="R87" s="68">
        <f>'BS &amp; FCF'!Q6</f>
        <v>0</v>
      </c>
      <c r="S87" s="68">
        <f>'BS &amp; FCF'!R6</f>
        <v>0</v>
      </c>
      <c r="T87" s="68">
        <f>'BS &amp; FCF'!S6</f>
        <v>0</v>
      </c>
      <c r="U87" s="28">
        <f>'BS &amp; FCF'!P6</f>
        <v>0</v>
      </c>
      <c r="V87" s="68">
        <f>'BS &amp; FCF'!U6</f>
        <v>0</v>
      </c>
      <c r="W87" s="68">
        <f>'BS &amp; FCF'!V6</f>
        <v>0</v>
      </c>
      <c r="X87" s="68">
        <f>'BS &amp; FCF'!W6</f>
        <v>0</v>
      </c>
      <c r="Y87" s="68">
        <f>'BS &amp; FCF'!X6</f>
        <v>0</v>
      </c>
      <c r="Z87" s="28">
        <f>'BS &amp; FCF'!U6</f>
        <v>0</v>
      </c>
      <c r="AA87" s="68">
        <f>'BS &amp; FCF'!Z6</f>
        <v>0</v>
      </c>
      <c r="AB87" s="68">
        <f>'BS &amp; FCF'!AA6</f>
        <v>0</v>
      </c>
      <c r="AC87" s="68">
        <f>'BS &amp; FCF'!AB6</f>
        <v>0</v>
      </c>
      <c r="AD87" s="68">
        <f>'BS &amp; FCF'!AC6</f>
        <v>0</v>
      </c>
      <c r="AE87" s="28">
        <f>'BS &amp; FCF'!Z6</f>
        <v>0</v>
      </c>
      <c r="AF87" s="68">
        <f>'BS &amp; FCF'!AE6</f>
        <v>0</v>
      </c>
      <c r="AG87" s="68">
        <f>'BS &amp; FCF'!AF6</f>
        <v>0</v>
      </c>
      <c r="AH87" s="68">
        <f>'BS &amp; FCF'!AG6</f>
        <v>0</v>
      </c>
      <c r="AI87" s="68">
        <f>'BS &amp; FCF'!AH6</f>
        <v>0</v>
      </c>
      <c r="AJ87" s="28">
        <f>'BS &amp; FCF'!AE6</f>
        <v>0</v>
      </c>
      <c r="AK87" s="68">
        <f>AJ6</f>
        <v>0</v>
      </c>
      <c r="AL87" s="68">
        <f>AK6</f>
        <v>143091</v>
      </c>
      <c r="AM87" s="68">
        <f>AL6</f>
        <v>119847</v>
      </c>
      <c r="AN87" s="68">
        <f>AM6</f>
        <v>123876</v>
      </c>
      <c r="AO87" s="28">
        <f>AJ6</f>
        <v>0</v>
      </c>
      <c r="AP87" s="68">
        <f>AO6</f>
        <v>198506</v>
      </c>
      <c r="AQ87" s="68">
        <f>AP6</f>
        <v>143831</v>
      </c>
      <c r="AR87" s="68">
        <f>AQ6</f>
        <v>145875</v>
      </c>
      <c r="AS87" s="68">
        <f>AR6</f>
        <v>203590</v>
      </c>
      <c r="AT87" s="28">
        <f>AO6</f>
        <v>198506</v>
      </c>
      <c r="AU87" s="68">
        <f>AT6</f>
        <v>250961</v>
      </c>
      <c r="AV87" s="68">
        <f>AU6</f>
        <v>239346</v>
      </c>
      <c r="AW87" s="68">
        <f>AV6</f>
        <v>269315</v>
      </c>
      <c r="AX87" s="68">
        <f>AW6</f>
        <v>282914</v>
      </c>
      <c r="AY87" s="28">
        <f>AT6</f>
        <v>250961</v>
      </c>
      <c r="AZ87" s="68">
        <f>AY6</f>
        <v>314343</v>
      </c>
      <c r="BA87" s="68">
        <f>AZ6</f>
        <v>325528</v>
      </c>
      <c r="BB87" s="68">
        <f>BA6</f>
        <v>425847</v>
      </c>
      <c r="BC87" s="68">
        <f>BB6</f>
        <v>609849</v>
      </c>
      <c r="BD87" s="28">
        <f>AY6</f>
        <v>314343</v>
      </c>
      <c r="BE87" s="68">
        <f>BD6</f>
        <v>430898</v>
      </c>
      <c r="BF87" s="68">
        <f>BE6</f>
        <v>436644</v>
      </c>
      <c r="BG87" s="68">
        <f>BF6</f>
        <v>491987</v>
      </c>
      <c r="BH87" s="68">
        <f>BG6</f>
        <v>554927</v>
      </c>
      <c r="BI87" s="28">
        <f>BD6</f>
        <v>430898</v>
      </c>
      <c r="BJ87" s="68">
        <f>BI6</f>
        <v>594487</v>
      </c>
      <c r="BK87" s="68">
        <f>BJ6</f>
        <v>602568</v>
      </c>
      <c r="BL87" s="68">
        <f>BK6</f>
        <v>679977</v>
      </c>
      <c r="BM87" s="68">
        <f>BL6</f>
        <v>634908</v>
      </c>
      <c r="BN87" s="28">
        <f>BI6</f>
        <v>594487</v>
      </c>
      <c r="BO87" s="68">
        <f>BN6</f>
        <v>789426</v>
      </c>
      <c r="BP87" s="68">
        <f>BO6</f>
        <v>729823</v>
      </c>
      <c r="BQ87" s="68">
        <f>BP6</f>
        <v>835390</v>
      </c>
      <c r="BR87" s="68">
        <f>BQ6</f>
        <v>1109075</v>
      </c>
      <c r="BS87" s="28">
        <f>BN6</f>
        <v>789426</v>
      </c>
      <c r="BT87" s="68">
        <f>BS6</f>
        <v>992269</v>
      </c>
      <c r="BU87" s="68">
        <f>BT6</f>
        <v>1011668</v>
      </c>
      <c r="BV87" s="68">
        <f>BU6</f>
        <v>1558020</v>
      </c>
      <c r="BW87" s="68">
        <f>BV6</f>
        <v>1425215</v>
      </c>
      <c r="BX87" s="28">
        <f>BS6</f>
        <v>992269</v>
      </c>
      <c r="BY87" s="68">
        <f>BX6</f>
        <v>1416236</v>
      </c>
      <c r="BZ87" s="68">
        <f>BY6</f>
        <v>1543806</v>
      </c>
      <c r="CA87" s="68">
        <f>BZ6</f>
        <v>1530875</v>
      </c>
      <c r="CB87" s="68">
        <f>CA6</f>
        <v>1773203</v>
      </c>
      <c r="CC87" s="28">
        <f>BX6</f>
        <v>1416236</v>
      </c>
      <c r="CD87" s="68">
        <f>CC6</f>
        <v>1790937</v>
      </c>
      <c r="CE87" s="68">
        <f>CD6</f>
        <v>1757310</v>
      </c>
      <c r="CF87" s="68">
        <f>CE6</f>
        <v>1633706</v>
      </c>
      <c r="CG87" s="68">
        <f ca="1">CF6</f>
        <v>1751396.9834278519</v>
      </c>
      <c r="CH87" s="28">
        <f>CC6</f>
        <v>1790937</v>
      </c>
      <c r="CI87" s="68">
        <f ca="1">CH6</f>
        <v>1872524.0438168487</v>
      </c>
      <c r="CJ87" s="68">
        <f ca="1">CI6</f>
        <v>2277922.1205045003</v>
      </c>
      <c r="CK87" s="68">
        <f ca="1">CJ6</f>
        <v>2131009.5273552728</v>
      </c>
      <c r="CL87" s="68">
        <f ca="1">CK6</f>
        <v>2156367.2916268078</v>
      </c>
      <c r="CM87" s="28">
        <f ca="1">CH6</f>
        <v>1872524.0438168487</v>
      </c>
      <c r="CN87" s="68">
        <f ca="1">CM6</f>
        <v>2185896.2505043857</v>
      </c>
      <c r="CO87" s="68">
        <f ca="1">CN6</f>
        <v>2698568.7456795918</v>
      </c>
      <c r="CP87" s="68">
        <f ca="1">CO6</f>
        <v>2377558.251482225</v>
      </c>
      <c r="CQ87" s="68">
        <f ca="1">CP6</f>
        <v>2372447.8133538109</v>
      </c>
      <c r="CR87" s="28">
        <f ca="1">CM6</f>
        <v>2185896.2505043857</v>
      </c>
      <c r="CS87" s="68">
        <f ca="1">CR6</f>
        <v>2363477.6643860331</v>
      </c>
      <c r="CT87" s="68">
        <f ca="1">CS6</f>
        <v>2917468.4392597917</v>
      </c>
      <c r="CU87" s="68">
        <f ca="1">CT6</f>
        <v>2529513.5856880774</v>
      </c>
      <c r="CV87" s="68">
        <f ca="1">CU6</f>
        <v>2517040.7692373903</v>
      </c>
      <c r="CW87" s="28">
        <f ca="1">CR6</f>
        <v>2363477.6643860331</v>
      </c>
      <c r="CX87" s="68">
        <f ca="1">CW6</f>
        <v>2513932.075612301</v>
      </c>
      <c r="CY87" s="68">
        <f ca="1">CX6</f>
        <v>3102924.7928562076</v>
      </c>
      <c r="CZ87" s="68">
        <f ca="1">CY6</f>
        <v>2691940.3030343852</v>
      </c>
      <c r="DA87" s="68">
        <f ca="1">CZ6</f>
        <v>2663510.248224705</v>
      </c>
      <c r="DB87" s="28">
        <f ca="1">CW6</f>
        <v>2513932.075612301</v>
      </c>
    </row>
    <row r="88" spans="1:106" s="7" customFormat="1" ht="11.5" customHeight="1" x14ac:dyDescent="0.35">
      <c r="A88" s="75" t="s">
        <v>135</v>
      </c>
      <c r="B88" s="88" t="e">
        <f t="shared" ref="B88:E88" si="523">B86+B87</f>
        <v>#VALUE!</v>
      </c>
      <c r="C88" s="88">
        <f t="shared" si="523"/>
        <v>0</v>
      </c>
      <c r="D88" s="88">
        <f t="shared" si="523"/>
        <v>0</v>
      </c>
      <c r="E88" s="88">
        <f t="shared" si="523"/>
        <v>0</v>
      </c>
      <c r="F88" s="71">
        <f>'BS &amp; FCF'!F6</f>
        <v>0</v>
      </c>
      <c r="G88" s="88">
        <f t="shared" ref="G88:J88" si="524">G86+G87</f>
        <v>0</v>
      </c>
      <c r="H88" s="88">
        <f t="shared" si="524"/>
        <v>0</v>
      </c>
      <c r="I88" s="88">
        <f t="shared" si="524"/>
        <v>0</v>
      </c>
      <c r="J88" s="88">
        <f t="shared" si="524"/>
        <v>0</v>
      </c>
      <c r="K88" s="71">
        <f>'BS &amp; FCF'!K6</f>
        <v>0</v>
      </c>
      <c r="L88" s="88">
        <f t="shared" ref="L88:O88" si="525">L86+L87</f>
        <v>0</v>
      </c>
      <c r="M88" s="88">
        <f t="shared" si="525"/>
        <v>0</v>
      </c>
      <c r="N88" s="88">
        <f t="shared" si="525"/>
        <v>0</v>
      </c>
      <c r="O88" s="88">
        <f t="shared" si="525"/>
        <v>0</v>
      </c>
      <c r="P88" s="71">
        <f>'BS &amp; FCF'!P6</f>
        <v>0</v>
      </c>
      <c r="Q88" s="88">
        <f t="shared" ref="Q88:T88" si="526">Q86+Q87</f>
        <v>0</v>
      </c>
      <c r="R88" s="88">
        <f t="shared" si="526"/>
        <v>0</v>
      </c>
      <c r="S88" s="88">
        <f t="shared" si="526"/>
        <v>0</v>
      </c>
      <c r="T88" s="88">
        <f t="shared" si="526"/>
        <v>0</v>
      </c>
      <c r="U88" s="71">
        <f>'BS &amp; FCF'!U6</f>
        <v>0</v>
      </c>
      <c r="V88" s="88">
        <f t="shared" ref="V88:Y88" si="527">V86+V87</f>
        <v>0</v>
      </c>
      <c r="W88" s="88">
        <f t="shared" si="527"/>
        <v>0</v>
      </c>
      <c r="X88" s="88">
        <f t="shared" si="527"/>
        <v>0</v>
      </c>
      <c r="Y88" s="88">
        <f t="shared" si="527"/>
        <v>0</v>
      </c>
      <c r="Z88" s="71">
        <f>'BS &amp; FCF'!Z6</f>
        <v>0</v>
      </c>
      <c r="AA88" s="88">
        <f t="shared" ref="AA88:AD88" si="528">AA86+AA87</f>
        <v>0</v>
      </c>
      <c r="AB88" s="88">
        <f t="shared" si="528"/>
        <v>0</v>
      </c>
      <c r="AC88" s="88">
        <f t="shared" si="528"/>
        <v>0</v>
      </c>
      <c r="AD88" s="88">
        <f t="shared" si="528"/>
        <v>0</v>
      </c>
      <c r="AE88" s="71">
        <f>'BS &amp; FCF'!AE6</f>
        <v>0</v>
      </c>
      <c r="AF88" s="88">
        <f>AF86+AF87</f>
        <v>0</v>
      </c>
      <c r="AG88" s="88">
        <f>AG86+AG87</f>
        <v>0</v>
      </c>
      <c r="AH88" s="88">
        <f>AH86+AH87</f>
        <v>0</v>
      </c>
      <c r="AI88" s="88">
        <f>AI86+AI87</f>
        <v>0</v>
      </c>
      <c r="AJ88" s="71">
        <f>'BS &amp; FCF'!AJ6</f>
        <v>0</v>
      </c>
      <c r="AK88" s="88">
        <f>AK86+AK87</f>
        <v>143091</v>
      </c>
      <c r="AL88" s="88">
        <f>AL86+AL87</f>
        <v>119847</v>
      </c>
      <c r="AM88" s="88">
        <f>AM86+AM87</f>
        <v>123876</v>
      </c>
      <c r="AN88" s="88">
        <f>AN86+AN87</f>
        <v>198506</v>
      </c>
      <c r="AO88" s="71">
        <f>'BS &amp; FCF'!AO6</f>
        <v>198506</v>
      </c>
      <c r="AP88" s="88">
        <f>AP86+AP87</f>
        <v>143831</v>
      </c>
      <c r="AQ88" s="88">
        <f>AQ86+AQ87</f>
        <v>145875</v>
      </c>
      <c r="AR88" s="88">
        <f>AR86+AR87</f>
        <v>203590</v>
      </c>
      <c r="AS88" s="88">
        <f>AS86+AS87</f>
        <v>250961</v>
      </c>
      <c r="AT88" s="71">
        <f>'BS &amp; FCF'!AT6</f>
        <v>250961</v>
      </c>
      <c r="AU88" s="88">
        <f>AU86+AU87</f>
        <v>239346</v>
      </c>
      <c r="AV88" s="88">
        <f>AV86+AV87</f>
        <v>269315</v>
      </c>
      <c r="AW88" s="88">
        <f>AW86+AW87</f>
        <v>282914</v>
      </c>
      <c r="AX88" s="88">
        <f>AX86+AX87</f>
        <v>314343</v>
      </c>
      <c r="AY88" s="71">
        <f>'BS &amp; FCF'!AY6</f>
        <v>314343</v>
      </c>
      <c r="AZ88" s="88">
        <f>AZ86+AZ87</f>
        <v>325528</v>
      </c>
      <c r="BA88" s="88">
        <f>BA86+BA87</f>
        <v>425847</v>
      </c>
      <c r="BB88" s="88">
        <f>BB86+BB87</f>
        <v>609849</v>
      </c>
      <c r="BC88" s="88">
        <f>BC86+BC87</f>
        <v>430898</v>
      </c>
      <c r="BD88" s="71">
        <f>'BS &amp; FCF'!BD6</f>
        <v>430898</v>
      </c>
      <c r="BE88" s="88">
        <f>BE86+BE87</f>
        <v>436644</v>
      </c>
      <c r="BF88" s="88">
        <f>BF86+BF87</f>
        <v>491987</v>
      </c>
      <c r="BG88" s="88">
        <f>BG86+BG87</f>
        <v>554927</v>
      </c>
      <c r="BH88" s="88">
        <f>BH86+BH87</f>
        <v>594366</v>
      </c>
      <c r="BI88" s="71">
        <f>'BS &amp; FCF'!BI6</f>
        <v>594487</v>
      </c>
      <c r="BJ88" s="88">
        <f>BJ86+BJ87</f>
        <v>597674</v>
      </c>
      <c r="BK88" s="88">
        <f>BK86+BK87</f>
        <v>672782</v>
      </c>
      <c r="BL88" s="88">
        <f>BL86+BL87</f>
        <v>634908</v>
      </c>
      <c r="BM88" s="88">
        <f>BM86+BM87</f>
        <v>789426</v>
      </c>
      <c r="BN88" s="71">
        <f>'BS &amp; FCF'!BN6</f>
        <v>789426</v>
      </c>
      <c r="BO88" s="88">
        <f>BO86+BO87</f>
        <v>729823</v>
      </c>
      <c r="BP88" s="88">
        <f>BP86+BP87</f>
        <v>835390</v>
      </c>
      <c r="BQ88" s="88">
        <f>BQ86+BQ87</f>
        <v>1109075</v>
      </c>
      <c r="BR88" s="88">
        <f>BR86+BR87</f>
        <v>992269</v>
      </c>
      <c r="BS88" s="71">
        <f>'BS &amp; FCF'!BS6</f>
        <v>992269</v>
      </c>
      <c r="BT88" s="88">
        <f>BT86+BT87</f>
        <v>1011668</v>
      </c>
      <c r="BU88" s="88">
        <f>BU86+BU87</f>
        <v>1558020</v>
      </c>
      <c r="BV88" s="88">
        <f>BV86+BV87</f>
        <v>1425215</v>
      </c>
      <c r="BW88" s="88">
        <f>BW86+BW87</f>
        <v>1416236</v>
      </c>
      <c r="BX88" s="71">
        <f>'BS &amp; FCF'!BX6</f>
        <v>1416236</v>
      </c>
      <c r="BY88" s="88">
        <f>BY86+BY87</f>
        <v>1543806</v>
      </c>
      <c r="BZ88" s="88">
        <f>BZ86+BZ87</f>
        <v>1590167</v>
      </c>
      <c r="CA88" s="88">
        <f>CA86+CA87</f>
        <v>1773203</v>
      </c>
      <c r="CB88" s="88">
        <f>CB86+CB87</f>
        <v>1672353</v>
      </c>
      <c r="CC88" s="71">
        <f>'BS &amp; FCF'!CC6</f>
        <v>1790937</v>
      </c>
      <c r="CD88" s="88">
        <f>CD86+CD87</f>
        <v>1757310</v>
      </c>
      <c r="CE88" s="88">
        <f>CE86+CE87</f>
        <v>1633706</v>
      </c>
      <c r="CF88" s="88">
        <f ca="1">CF86+CF87</f>
        <v>1751396.9834278519</v>
      </c>
      <c r="CG88" s="88">
        <f ca="1">CG86+CG87</f>
        <v>1872524.0438168487</v>
      </c>
      <c r="CH88" s="71">
        <f ca="1">'BS &amp; FCF'!CH6</f>
        <v>1872524.0438168487</v>
      </c>
      <c r="CI88" s="88">
        <f ca="1">CI86+CI87</f>
        <v>2277922.1205045003</v>
      </c>
      <c r="CJ88" s="88">
        <f ca="1">CJ86+CJ87</f>
        <v>2131009.5273552728</v>
      </c>
      <c r="CK88" s="88">
        <f ca="1">CK86+CK87</f>
        <v>2156367.2916268078</v>
      </c>
      <c r="CL88" s="88">
        <f ca="1">CL86+CL87</f>
        <v>2185896.2505043857</v>
      </c>
      <c r="CM88" s="71">
        <f ca="1">'BS &amp; FCF'!CM6</f>
        <v>2185896.2505043857</v>
      </c>
      <c r="CN88" s="88">
        <f ca="1">CN86+CN87</f>
        <v>2698568.7456795918</v>
      </c>
      <c r="CO88" s="88">
        <f ca="1">CO86+CO87</f>
        <v>2377558.251482225</v>
      </c>
      <c r="CP88" s="88">
        <f ca="1">CP86+CP87</f>
        <v>2372447.8133538109</v>
      </c>
      <c r="CQ88" s="88">
        <f ca="1">CQ86+CQ87</f>
        <v>2363477.6643860331</v>
      </c>
      <c r="CR88" s="71">
        <f ca="1">'BS &amp; FCF'!CR6</f>
        <v>2363477.6643860331</v>
      </c>
      <c r="CS88" s="88">
        <f ca="1">CS86+CS87</f>
        <v>2917468.4392597917</v>
      </c>
      <c r="CT88" s="88">
        <f ca="1">CT86+CT87</f>
        <v>2529513.5856880774</v>
      </c>
      <c r="CU88" s="88">
        <f ca="1">CU86+CU87</f>
        <v>2517040.7692373903</v>
      </c>
      <c r="CV88" s="88">
        <f ca="1">CV86+CV87</f>
        <v>2513932.075612301</v>
      </c>
      <c r="CW88" s="71">
        <f ca="1">'BS &amp; FCF'!CW6</f>
        <v>2513932.075612301</v>
      </c>
      <c r="CX88" s="88">
        <f ca="1">CX86+CX87</f>
        <v>3102924.7928562076</v>
      </c>
      <c r="CY88" s="88">
        <f ca="1">CY86+CY87</f>
        <v>2691940.3030343852</v>
      </c>
      <c r="CZ88" s="88">
        <f ca="1">CZ86+CZ87</f>
        <v>2663510.248224705</v>
      </c>
      <c r="DA88" s="88">
        <f ca="1">DA86+DA87</f>
        <v>2638844.7196007529</v>
      </c>
      <c r="DB88" s="71">
        <f ca="1">'BS &amp; FCF'!DB6</f>
        <v>2638844.7196007529</v>
      </c>
    </row>
    <row r="89" spans="1:106" s="11" customFormat="1" ht="11.5" customHeight="1" x14ac:dyDescent="0.35">
      <c r="A89" s="167" t="s">
        <v>29</v>
      </c>
      <c r="B89" s="168" t="e">
        <f>B86-B84-B83-IS!B66</f>
        <v>#VALUE!</v>
      </c>
      <c r="C89" s="168">
        <f>C86-C84-C83-IS!C66</f>
        <v>0</v>
      </c>
      <c r="D89" s="168">
        <f>D86-D84-D83-IS!D66</f>
        <v>0</v>
      </c>
      <c r="E89" s="168">
        <f>E86-E84-E83-IS!E66</f>
        <v>0</v>
      </c>
      <c r="F89" s="169" t="e">
        <f>F86-F84-F83-IS!F66</f>
        <v>#VALUE!</v>
      </c>
      <c r="G89" s="168">
        <f>G86-G84-G83-IS!G66</f>
        <v>0</v>
      </c>
      <c r="H89" s="168">
        <f>H86-H84-H83-IS!H66</f>
        <v>0</v>
      </c>
      <c r="I89" s="168">
        <f>I86-I84-I83-IS!I66</f>
        <v>0</v>
      </c>
      <c r="J89" s="168">
        <f>J86-J84-J83-IS!J66</f>
        <v>0</v>
      </c>
      <c r="K89" s="169">
        <f>K86-K84-K83-IS!K66</f>
        <v>0</v>
      </c>
      <c r="L89" s="168">
        <f>L86-L84-L83-IS!L66</f>
        <v>0</v>
      </c>
      <c r="M89" s="168">
        <f>M86-M84-M83-IS!M66</f>
        <v>0</v>
      </c>
      <c r="N89" s="168">
        <f>N86-N84-N83-IS!N66</f>
        <v>0</v>
      </c>
      <c r="O89" s="168">
        <f>O86-O84-O83-IS!O66</f>
        <v>0</v>
      </c>
      <c r="P89" s="169">
        <f>P86-P84-P83-IS!P66</f>
        <v>0</v>
      </c>
      <c r="Q89" s="168">
        <f>Q86-Q84-Q83-IS!Q66</f>
        <v>0</v>
      </c>
      <c r="R89" s="168">
        <f>R86-R84-R83-IS!R66</f>
        <v>0</v>
      </c>
      <c r="S89" s="168">
        <f>S86-S84-S83-IS!S66</f>
        <v>0</v>
      </c>
      <c r="T89" s="168">
        <f>T86-T84-T83-IS!T66</f>
        <v>0</v>
      </c>
      <c r="U89" s="169">
        <f>U86-U84-U83-IS!U66</f>
        <v>0</v>
      </c>
      <c r="V89" s="168">
        <f>V86-V84-V83-IS!V66</f>
        <v>0</v>
      </c>
      <c r="W89" s="168">
        <f>W86-W84-W83-IS!W66</f>
        <v>0</v>
      </c>
      <c r="X89" s="168">
        <f>X86-X84-X83-IS!X66</f>
        <v>0</v>
      </c>
      <c r="Y89" s="168">
        <f>Y86-Y84-Y83-IS!Y66</f>
        <v>0</v>
      </c>
      <c r="Z89" s="169">
        <f>Z86-Z84-Z83-IS!Z66</f>
        <v>0</v>
      </c>
      <c r="AA89" s="168">
        <f>AA86-AA84-AA83-IS!AA66</f>
        <v>0</v>
      </c>
      <c r="AB89" s="168">
        <f>AB86-AB84-AB83-IS!AB66</f>
        <v>0</v>
      </c>
      <c r="AC89" s="168">
        <f>AC86-AC84-AC83-IS!AC66</f>
        <v>0</v>
      </c>
      <c r="AD89" s="168">
        <f>AD86-AD84-AD83-IS!AD66</f>
        <v>0</v>
      </c>
      <c r="AE89" s="169">
        <f>AE86-AE84-AE83-IS!AE66</f>
        <v>0</v>
      </c>
      <c r="AF89" s="168">
        <f>AF86-AF84-AF83-IS!AF66</f>
        <v>0</v>
      </c>
      <c r="AG89" s="168">
        <f>AG86-AG84-AG83-IS!AG66</f>
        <v>0</v>
      </c>
      <c r="AH89" s="168">
        <f>AH86-AH84-AH83-IS!AH66</f>
        <v>0</v>
      </c>
      <c r="AI89" s="168">
        <f>AI86-AI84-AI83-IS!AI66</f>
        <v>0</v>
      </c>
      <c r="AJ89" s="169">
        <f>AJ86-AJ84-AJ83-IS!AJ66</f>
        <v>0</v>
      </c>
      <c r="AK89" s="168">
        <f>AK86-AK84-AK83-IS!AK66</f>
        <v>-635016.42899999989</v>
      </c>
      <c r="AL89" s="168">
        <f>AL86-AL84-AL83-IS!AL66</f>
        <v>1024.3519999999612</v>
      </c>
      <c r="AM89" s="168">
        <f>AM86-AM84-AM83-IS!AM66</f>
        <v>16347.199000000031</v>
      </c>
      <c r="AN89" s="168">
        <f>AN86-AN84-AN83-IS!AN66</f>
        <v>129674.08600000005</v>
      </c>
      <c r="AO89" s="169">
        <f>AO86-AO84-AO83-IS!AO66</f>
        <v>-487970.79199999996</v>
      </c>
      <c r="AP89" s="168">
        <f>AP86-AP84-AP83-IS!AP66</f>
        <v>-1613.3579999999984</v>
      </c>
      <c r="AQ89" s="168">
        <f>AQ86-AQ84-AQ83-IS!AQ66</f>
        <v>34961.817999999992</v>
      </c>
      <c r="AR89" s="168">
        <f>AR86-AR84-AR83-IS!AR66</f>
        <v>14367.568000000038</v>
      </c>
      <c r="AS89" s="168">
        <f>AS86-AS84-AS83-IS!AS66</f>
        <v>159887.21899999998</v>
      </c>
      <c r="AT89" s="169">
        <f>AT86-AT84-AT83-IS!AT66</f>
        <v>207603.24700000006</v>
      </c>
      <c r="AU89" s="168">
        <f>AU86-AU84-AU83-IS!AU66</f>
        <v>-488</v>
      </c>
      <c r="AV89" s="168">
        <f>AV86-AV84-AV83-IS!AV66</f>
        <v>39806</v>
      </c>
      <c r="AW89" s="168">
        <f>AW86-AW84-AW83-IS!AW66</f>
        <v>30924</v>
      </c>
      <c r="AX89" s="168">
        <f>AX86-AX84-AX83-IS!AX66</f>
        <v>111025</v>
      </c>
      <c r="AY89" s="169">
        <f>AY86-AY84-AY83-IS!AY66</f>
        <v>181267</v>
      </c>
      <c r="AZ89" s="168">
        <f>AZ86-AZ84-AZ83-IS!AZ66</f>
        <v>11632</v>
      </c>
      <c r="BA89" s="168">
        <f>BA86-BA84-BA83-IS!BA66</f>
        <v>63775</v>
      </c>
      <c r="BB89" s="168">
        <f>BB86-BB84-BB83-IS!BB66</f>
        <v>58517</v>
      </c>
      <c r="BC89" s="168">
        <f>BC86-BC84-BC83-IS!BC66</f>
        <v>21496</v>
      </c>
      <c r="BD89" s="169">
        <f>BD86-BD84-BD83-IS!BD66</f>
        <v>155420</v>
      </c>
      <c r="BE89" s="168">
        <f>BE86-BE84-BE83-IS!BE66</f>
        <v>12277</v>
      </c>
      <c r="BF89" s="168">
        <f>BF86-BF84-BF83-IS!BF66</f>
        <v>68029</v>
      </c>
      <c r="BG89" s="168">
        <f>BG86-BG84-BG83-IS!BG66</f>
        <v>61026</v>
      </c>
      <c r="BH89" s="168">
        <f>BH86-BH84-BH83-IS!BH66</f>
        <v>104239</v>
      </c>
      <c r="BI89" s="169">
        <f>BI86-BI84-BI83-IS!BI66</f>
        <v>245571</v>
      </c>
      <c r="BJ89" s="168">
        <f>BJ86-BJ84-BJ83-IS!BJ66</f>
        <v>21352</v>
      </c>
      <c r="BK89" s="168">
        <f>BK86-BK84-BK83-IS!BK66</f>
        <v>78163</v>
      </c>
      <c r="BL89" s="168">
        <f>BL86-BL84-BL83-IS!BL66</f>
        <v>66463</v>
      </c>
      <c r="BM89" s="168">
        <f>BM86-BM84-BM83-IS!BM66</f>
        <v>150982</v>
      </c>
      <c r="BN89" s="169">
        <f>BN86-BN84-BN83-IS!BN66</f>
        <v>316960</v>
      </c>
      <c r="BO89" s="168">
        <f>BO86-BO84-BO83-IS!BO66</f>
        <v>13472</v>
      </c>
      <c r="BP89" s="168">
        <f>BP86-BP84-BP83-IS!BP66</f>
        <v>98610</v>
      </c>
      <c r="BQ89" s="168">
        <f>BQ86-BQ84-BQ83-IS!BQ66</f>
        <v>136986</v>
      </c>
      <c r="BR89" s="168">
        <f>BR86-BR84-BR83-IS!BR66</f>
        <v>171434</v>
      </c>
      <c r="BS89" s="169">
        <f>BS86-BS84-BS83-IS!BS66</f>
        <v>420502</v>
      </c>
      <c r="BT89" s="168">
        <f>BT86-BT84-BT83-IS!BT66</f>
        <v>21571</v>
      </c>
      <c r="BU89" s="168">
        <f>BU86-BU84-BU83-IS!BU66</f>
        <v>210469</v>
      </c>
      <c r="BV89" s="168">
        <f>BV86-BV84-BV83-IS!BV66</f>
        <v>107851</v>
      </c>
      <c r="BW89" s="168">
        <f>BW86-BW84-BW83-IS!BW66</f>
        <v>158908</v>
      </c>
      <c r="BX89" s="169">
        <f>BX86-BX84-BX83-IS!BX66</f>
        <v>498799</v>
      </c>
      <c r="BY89" s="168">
        <f>BY86-BY84-BY83-IS!BY66</f>
        <v>4916</v>
      </c>
      <c r="BZ89" s="168">
        <f>BZ86-BZ84-BZ83-IS!BZ66</f>
        <v>63798</v>
      </c>
      <c r="CA89" s="168">
        <f>CA86-CA84-CA83-IS!CA66</f>
        <v>218512</v>
      </c>
      <c r="CB89" s="168">
        <f>CB86-CB84-CB83-IS!CB66</f>
        <v>328781</v>
      </c>
      <c r="CC89" s="169">
        <f>CC86-CC84-CC83-IS!CC66</f>
        <v>616007</v>
      </c>
      <c r="CD89" s="168">
        <f>CD86-CD84-CD83-IS!CD66</f>
        <v>44719</v>
      </c>
      <c r="CE89" s="168">
        <f>CE86-CE84-CE83-IS!CE66</f>
        <v>135058</v>
      </c>
      <c r="CF89" s="168">
        <f ca="1">CF86-CF84-CF83-IS!CF66</f>
        <v>324235.98179647006</v>
      </c>
      <c r="CG89" s="168">
        <f ca="1">CG86-CG84-CG83-IS!CG66</f>
        <v>325598.44872581982</v>
      </c>
      <c r="CH89" s="169">
        <f ca="1">CH86-CH84-CH83-IS!CH66</f>
        <v>829611.43052228994</v>
      </c>
      <c r="CI89" s="168">
        <f ca="1">CI86-CI84-CI83-IS!CI66</f>
        <v>258362.8776396866</v>
      </c>
      <c r="CJ89" s="168">
        <f ca="1">CJ86-CJ84-CJ83-IS!CJ66</f>
        <v>257453.72642074648</v>
      </c>
      <c r="CK89" s="168">
        <f ca="1">CK86-CK84-CK83-IS!CK66</f>
        <v>269563.32695506373</v>
      </c>
      <c r="CL89" s="168">
        <f ca="1">CL86-CL84-CL83-IS!CL66</f>
        <v>311504.52495252714</v>
      </c>
      <c r="CM89" s="169">
        <f ca="1">CM86-CM84-CM83-IS!CM66</f>
        <v>1096884.4559680237</v>
      </c>
      <c r="CN89" s="168">
        <f ca="1">CN86-CN84-CN83-IS!CN66</f>
        <v>370997.04394418467</v>
      </c>
      <c r="CO89" s="168">
        <f ca="1">CO86-CO84-CO83-IS!CO66</f>
        <v>373814.30084642913</v>
      </c>
      <c r="CP89" s="168">
        <f ca="1">CP86-CP84-CP83-IS!CP66</f>
        <v>389375.43811825226</v>
      </c>
      <c r="CQ89" s="168">
        <f ca="1">CQ86-CQ84-CQ83-IS!CQ66</f>
        <v>379315.44171226909</v>
      </c>
      <c r="CR89" s="169">
        <f ca="1">CR86-CR84-CR83-IS!CR66</f>
        <v>1513502.2246211348</v>
      </c>
      <c r="CS89" s="168">
        <f ca="1">CS86-CS84-CS83-IS!CS66</f>
        <v>430177.13572303508</v>
      </c>
      <c r="CT89" s="168">
        <f ca="1">CT86-CT84-CT83-IS!CT66</f>
        <v>397724.49015399127</v>
      </c>
      <c r="CU89" s="168">
        <f ca="1">CU86-CU84-CU83-IS!CU66</f>
        <v>413388.58173201489</v>
      </c>
      <c r="CV89" s="168">
        <f ca="1">CV86-CV84-CV83-IS!CV66</f>
        <v>423870.18856082286</v>
      </c>
      <c r="CW89" s="169">
        <f ca="1">CW86-CW84-CW83-IS!CW66</f>
        <v>1665160.3961698641</v>
      </c>
      <c r="CX89" s="168">
        <f ca="1">CX86-CX84-CX83-IS!CX66</f>
        <v>474616.15094602189</v>
      </c>
      <c r="CY89" s="168">
        <f ca="1">CY86-CY84-CY83-IS!CY66</f>
        <v>428698.3282170493</v>
      </c>
      <c r="CZ89" s="168">
        <f ca="1">CZ86-CZ84-CZ83-IS!CZ66</f>
        <v>435376.81419327209</v>
      </c>
      <c r="DA89" s="168">
        <f ca="1">DA86-DA84-DA83-IS!DA66</f>
        <v>439490.22296758171</v>
      </c>
      <c r="DB89" s="169">
        <f ca="1">DB86-DB84-DB83-IS!DB66</f>
        <v>1778181.516323925</v>
      </c>
    </row>
    <row r="90" spans="1:106" s="11" customFormat="1" ht="11.5" customHeight="1" x14ac:dyDescent="0.35">
      <c r="A90" s="74" t="s">
        <v>30</v>
      </c>
      <c r="B90" s="116" t="e">
        <f t="shared" ref="B90:AE90" si="529">B86-B84</f>
        <v>#VALUE!</v>
      </c>
      <c r="C90" s="116">
        <f t="shared" si="529"/>
        <v>0</v>
      </c>
      <c r="D90" s="116">
        <f t="shared" si="529"/>
        <v>0</v>
      </c>
      <c r="E90" s="116">
        <f t="shared" si="529"/>
        <v>0</v>
      </c>
      <c r="F90" s="117" t="e">
        <f t="shared" si="529"/>
        <v>#VALUE!</v>
      </c>
      <c r="G90" s="116">
        <f t="shared" si="529"/>
        <v>0</v>
      </c>
      <c r="H90" s="116">
        <f t="shared" si="529"/>
        <v>0</v>
      </c>
      <c r="I90" s="116">
        <f t="shared" si="529"/>
        <v>0</v>
      </c>
      <c r="J90" s="116">
        <f t="shared" si="529"/>
        <v>0</v>
      </c>
      <c r="K90" s="117">
        <f t="shared" si="529"/>
        <v>0</v>
      </c>
      <c r="L90" s="116">
        <f t="shared" si="529"/>
        <v>0</v>
      </c>
      <c r="M90" s="116">
        <f t="shared" si="529"/>
        <v>0</v>
      </c>
      <c r="N90" s="116">
        <f t="shared" si="529"/>
        <v>0</v>
      </c>
      <c r="O90" s="116">
        <f t="shared" si="529"/>
        <v>0</v>
      </c>
      <c r="P90" s="117">
        <f t="shared" si="529"/>
        <v>0</v>
      </c>
      <c r="Q90" s="116">
        <f t="shared" si="529"/>
        <v>0</v>
      </c>
      <c r="R90" s="116">
        <f t="shared" si="529"/>
        <v>0</v>
      </c>
      <c r="S90" s="116">
        <f t="shared" si="529"/>
        <v>0</v>
      </c>
      <c r="T90" s="116">
        <f t="shared" si="529"/>
        <v>0</v>
      </c>
      <c r="U90" s="117">
        <f t="shared" si="529"/>
        <v>0</v>
      </c>
      <c r="V90" s="116">
        <f t="shared" si="529"/>
        <v>0</v>
      </c>
      <c r="W90" s="116">
        <f t="shared" si="529"/>
        <v>0</v>
      </c>
      <c r="X90" s="116">
        <f t="shared" si="529"/>
        <v>0</v>
      </c>
      <c r="Y90" s="116">
        <f t="shared" si="529"/>
        <v>0</v>
      </c>
      <c r="Z90" s="117">
        <f t="shared" si="529"/>
        <v>0</v>
      </c>
      <c r="AA90" s="116">
        <f t="shared" si="529"/>
        <v>0</v>
      </c>
      <c r="AB90" s="116">
        <f t="shared" si="529"/>
        <v>0</v>
      </c>
      <c r="AC90" s="116">
        <f t="shared" si="529"/>
        <v>0</v>
      </c>
      <c r="AD90" s="116">
        <f t="shared" si="529"/>
        <v>0</v>
      </c>
      <c r="AE90" s="117">
        <f t="shared" si="529"/>
        <v>0</v>
      </c>
      <c r="AF90" s="116">
        <f t="shared" ref="AF90:AL90" si="530">AF86-AF84</f>
        <v>0</v>
      </c>
      <c r="AG90" s="116">
        <f t="shared" si="530"/>
        <v>0</v>
      </c>
      <c r="AH90" s="116">
        <f t="shared" si="530"/>
        <v>0</v>
      </c>
      <c r="AI90" s="116">
        <f t="shared" si="530"/>
        <v>0</v>
      </c>
      <c r="AJ90" s="117">
        <f t="shared" si="530"/>
        <v>0</v>
      </c>
      <c r="AK90" s="116">
        <f t="shared" si="530"/>
        <v>-428369.23399999994</v>
      </c>
      <c r="AL90" s="116">
        <f t="shared" si="530"/>
        <v>-2183.3500000000386</v>
      </c>
      <c r="AM90" s="116">
        <f t="shared" ref="AM90:BR90" si="531">AM86-AM84</f>
        <v>8143.5460000000312</v>
      </c>
      <c r="AN90" s="116">
        <f t="shared" si="531"/>
        <v>154993.21300000005</v>
      </c>
      <c r="AO90" s="117">
        <f t="shared" si="531"/>
        <v>-267415.82499999995</v>
      </c>
      <c r="AP90" s="116">
        <f t="shared" si="531"/>
        <v>-40242.421999999999</v>
      </c>
      <c r="AQ90" s="116">
        <f t="shared" si="531"/>
        <v>9064.2529999999897</v>
      </c>
      <c r="AR90" s="116">
        <f t="shared" si="531"/>
        <v>159971.24100000004</v>
      </c>
      <c r="AS90" s="116">
        <f t="shared" si="531"/>
        <v>152401.38999999998</v>
      </c>
      <c r="AT90" s="117">
        <f t="shared" si="531"/>
        <v>281194.46200000006</v>
      </c>
      <c r="AU90" s="116">
        <f t="shared" si="531"/>
        <v>-7796</v>
      </c>
      <c r="AV90" s="116">
        <f t="shared" si="531"/>
        <v>17312</v>
      </c>
      <c r="AW90" s="116">
        <f t="shared" si="531"/>
        <v>4168</v>
      </c>
      <c r="AX90" s="116">
        <f t="shared" si="531"/>
        <v>157045</v>
      </c>
      <c r="AY90" s="117">
        <f t="shared" si="531"/>
        <v>170729</v>
      </c>
      <c r="AZ90" s="116">
        <f t="shared" si="531"/>
        <v>5858</v>
      </c>
      <c r="BA90" s="116">
        <f t="shared" si="531"/>
        <v>93161</v>
      </c>
      <c r="BB90" s="116">
        <f t="shared" si="531"/>
        <v>22504</v>
      </c>
      <c r="BC90" s="116">
        <f t="shared" si="531"/>
        <v>9061</v>
      </c>
      <c r="BD90" s="117">
        <f t="shared" si="531"/>
        <v>130584</v>
      </c>
      <c r="BE90" s="116">
        <f t="shared" si="531"/>
        <v>4411</v>
      </c>
      <c r="BF90" s="116">
        <f t="shared" si="531"/>
        <v>59469</v>
      </c>
      <c r="BG90" s="116">
        <f t="shared" si="531"/>
        <v>179538</v>
      </c>
      <c r="BH90" s="116">
        <f t="shared" si="531"/>
        <v>90981</v>
      </c>
      <c r="BI90" s="117">
        <f t="shared" si="531"/>
        <v>334399</v>
      </c>
      <c r="BJ90" s="116">
        <f t="shared" si="531"/>
        <v>16170</v>
      </c>
      <c r="BK90" s="116">
        <f t="shared" si="531"/>
        <v>80821</v>
      </c>
      <c r="BL90" s="116">
        <f t="shared" si="531"/>
        <v>118716</v>
      </c>
      <c r="BM90" s="116">
        <f t="shared" si="531"/>
        <v>162540</v>
      </c>
      <c r="BN90" s="117">
        <f t="shared" si="531"/>
        <v>378247</v>
      </c>
      <c r="BO90" s="116">
        <f t="shared" si="531"/>
        <v>341</v>
      </c>
      <c r="BP90" s="116">
        <f t="shared" si="531"/>
        <v>112454</v>
      </c>
      <c r="BQ90" s="116">
        <f t="shared" si="531"/>
        <v>278228</v>
      </c>
      <c r="BR90" s="116">
        <f t="shared" si="531"/>
        <v>134164</v>
      </c>
      <c r="BS90" s="117">
        <f t="shared" ref="BS90:DB90" si="532">BS86-BS84</f>
        <v>525187</v>
      </c>
      <c r="BT90" s="116">
        <f t="shared" si="532"/>
        <v>-822</v>
      </c>
      <c r="BU90" s="116">
        <f t="shared" si="532"/>
        <v>677608</v>
      </c>
      <c r="BV90" s="116">
        <f t="shared" si="532"/>
        <v>122416</v>
      </c>
      <c r="BW90" s="116">
        <f t="shared" si="532"/>
        <v>26248</v>
      </c>
      <c r="BX90" s="117">
        <f t="shared" si="532"/>
        <v>825450</v>
      </c>
      <c r="BY90" s="116">
        <f t="shared" si="532"/>
        <v>289100</v>
      </c>
      <c r="BZ90" s="116">
        <f t="shared" si="532"/>
        <v>61328</v>
      </c>
      <c r="CA90" s="116">
        <f t="shared" si="532"/>
        <v>233746</v>
      </c>
      <c r="CB90" s="116">
        <f t="shared" si="532"/>
        <v>467886</v>
      </c>
      <c r="CC90" s="117">
        <f t="shared" si="532"/>
        <v>1052060</v>
      </c>
      <c r="CD90" s="116">
        <f t="shared" ref="CD90:CE90" si="533">CD86-CD84</f>
        <v>-100676</v>
      </c>
      <c r="CE90" s="116">
        <f t="shared" si="533"/>
        <v>99976</v>
      </c>
      <c r="CF90" s="116">
        <f t="shared" ca="1" si="532"/>
        <v>332791.32668369799</v>
      </c>
      <c r="CG90" s="116">
        <f t="shared" ca="1" si="532"/>
        <v>330857.84473843651</v>
      </c>
      <c r="CH90" s="117">
        <f t="shared" ca="1" si="532"/>
        <v>662949.17142213462</v>
      </c>
      <c r="CI90" s="116">
        <f t="shared" ca="1" si="532"/>
        <v>377173.05128737009</v>
      </c>
      <c r="CJ90" s="116">
        <f t="shared" ca="1" si="532"/>
        <v>344266.18911070761</v>
      </c>
      <c r="CK90" s="116">
        <f t="shared" ca="1" si="532"/>
        <v>296857.2860162243</v>
      </c>
      <c r="CL90" s="116">
        <f t="shared" ca="1" si="532"/>
        <v>328653.16638843372</v>
      </c>
      <c r="CM90" s="117">
        <f t="shared" ca="1" si="532"/>
        <v>1346949.6928027356</v>
      </c>
      <c r="CN90" s="116">
        <f t="shared" ca="1" si="532"/>
        <v>488082.69476488861</v>
      </c>
      <c r="CO90" s="116">
        <f t="shared" ca="1" si="532"/>
        <v>430824.09794114914</v>
      </c>
      <c r="CP90" s="116">
        <f t="shared" ca="1" si="532"/>
        <v>386699.1304664159</v>
      </c>
      <c r="CQ90" s="116">
        <f t="shared" ca="1" si="532"/>
        <v>396572.93868615897</v>
      </c>
      <c r="CR90" s="117">
        <f t="shared" ca="1" si="532"/>
        <v>1702178.8618586124</v>
      </c>
      <c r="CS90" s="116">
        <f t="shared" ca="1" si="532"/>
        <v>533165.32224879728</v>
      </c>
      <c r="CT90" s="116">
        <f t="shared" ca="1" si="532"/>
        <v>453204.04955444281</v>
      </c>
      <c r="CU90" s="116">
        <f t="shared" ca="1" si="532"/>
        <v>404941.8573237884</v>
      </c>
      <c r="CV90" s="116">
        <f t="shared" ca="1" si="532"/>
        <v>425828.30723290937</v>
      </c>
      <c r="CW90" s="117">
        <f t="shared" ca="1" si="532"/>
        <v>1817139.5363599379</v>
      </c>
      <c r="CX90" s="116">
        <f t="shared" ca="1" si="532"/>
        <v>570121.21752610197</v>
      </c>
      <c r="CY90" s="116">
        <f t="shared" ca="1" si="532"/>
        <v>477849.83035720297</v>
      </c>
      <c r="CZ90" s="116">
        <f t="shared" ca="1" si="532"/>
        <v>419614.86404366314</v>
      </c>
      <c r="DA90" s="116">
        <f t="shared" ca="1" si="532"/>
        <v>435563.7064578128</v>
      </c>
      <c r="DB90" s="117">
        <f t="shared" ca="1" si="532"/>
        <v>1903149.6183847808</v>
      </c>
    </row>
    <row r="91" spans="1:106" s="7" customFormat="1" ht="11.5" customHeight="1" x14ac:dyDescent="0.35">
      <c r="B91" s="118"/>
      <c r="C91" s="118"/>
      <c r="D91" s="118"/>
      <c r="E91" s="118"/>
      <c r="F91" s="55"/>
      <c r="G91" s="118"/>
      <c r="H91" s="118"/>
      <c r="I91" s="118"/>
      <c r="J91" s="118"/>
      <c r="K91" s="55"/>
      <c r="L91" s="118"/>
      <c r="M91" s="118"/>
      <c r="N91" s="118"/>
      <c r="O91" s="118"/>
      <c r="P91" s="55"/>
      <c r="Q91" s="118"/>
      <c r="R91" s="118"/>
      <c r="S91" s="118"/>
      <c r="T91" s="118"/>
      <c r="U91" s="55"/>
      <c r="V91" s="118"/>
      <c r="W91" s="118"/>
      <c r="X91" s="118"/>
      <c r="Y91" s="118"/>
      <c r="Z91" s="55"/>
      <c r="AA91" s="118"/>
      <c r="AB91" s="118"/>
      <c r="AC91" s="118"/>
      <c r="AD91" s="118"/>
      <c r="AE91" s="55"/>
      <c r="AF91" s="118"/>
      <c r="AG91" s="118"/>
      <c r="AH91" s="118"/>
      <c r="AI91" s="118"/>
      <c r="AJ91" s="55"/>
      <c r="AK91" s="118"/>
      <c r="AL91" s="118"/>
      <c r="AM91" s="118"/>
      <c r="AN91" s="118"/>
      <c r="AO91" s="55"/>
      <c r="AP91" s="118"/>
      <c r="AQ91" s="118"/>
      <c r="AR91" s="118"/>
      <c r="AS91" s="118"/>
      <c r="AT91" s="55"/>
      <c r="AU91" s="118"/>
      <c r="AV91" s="118"/>
      <c r="AW91" s="118"/>
      <c r="AX91" s="118"/>
      <c r="AY91" s="55"/>
      <c r="AZ91" s="118"/>
      <c r="BA91" s="118"/>
      <c r="BB91" s="118"/>
      <c r="BC91" s="118"/>
      <c r="BD91" s="55"/>
      <c r="BE91" s="118"/>
      <c r="BF91" s="118"/>
      <c r="BG91" s="118"/>
      <c r="BH91" s="118"/>
      <c r="BI91" s="55"/>
      <c r="BJ91" s="118"/>
      <c r="BK91" s="118"/>
      <c r="BL91" s="118"/>
      <c r="BM91" s="118"/>
      <c r="BN91" s="55"/>
      <c r="BO91" s="118"/>
      <c r="BP91" s="118"/>
      <c r="BQ91" s="118"/>
      <c r="BR91" s="118"/>
      <c r="BS91" s="55"/>
      <c r="BT91" s="118"/>
      <c r="BU91" s="118"/>
      <c r="BV91" s="118"/>
      <c r="BW91" s="118"/>
      <c r="BX91" s="55"/>
      <c r="BY91" s="118"/>
      <c r="BZ91" s="118"/>
      <c r="CA91" s="118"/>
      <c r="CB91" s="118"/>
      <c r="CC91" s="55"/>
      <c r="CD91" s="118"/>
      <c r="CE91" s="518"/>
      <c r="CF91" s="118"/>
      <c r="CG91" s="118"/>
      <c r="CH91" s="519">
        <f ca="1">CH75/IS!CH45</f>
        <v>0.73291756584737289</v>
      </c>
      <c r="CI91" s="118"/>
      <c r="CJ91" s="118"/>
      <c r="CK91" s="118"/>
      <c r="CL91" s="118"/>
      <c r="CM91" s="519">
        <f ca="1">CM75/IS!CM45</f>
        <v>0.74143848742427509</v>
      </c>
      <c r="CN91" s="118"/>
      <c r="CO91" s="118"/>
      <c r="CP91" s="118"/>
      <c r="CQ91" s="118"/>
      <c r="CR91" s="55"/>
      <c r="CS91" s="118"/>
      <c r="CT91" s="118"/>
      <c r="CU91" s="118"/>
      <c r="CV91" s="118"/>
      <c r="CW91" s="55"/>
      <c r="CX91" s="118"/>
      <c r="CY91" s="118"/>
      <c r="CZ91" s="118"/>
      <c r="DA91" s="118"/>
      <c r="DB91" s="55"/>
    </row>
    <row r="92" spans="1:106" s="80" customFormat="1" ht="11.5" customHeight="1" thickBot="1" x14ac:dyDescent="0.4">
      <c r="A92" s="34" t="s">
        <v>191</v>
      </c>
      <c r="B92" s="43" t="str">
        <f>Macro!B$3</f>
        <v>1Q10</v>
      </c>
      <c r="C92" s="43" t="str">
        <f>Macro!C$3</f>
        <v>2Q10</v>
      </c>
      <c r="D92" s="43" t="str">
        <f>Macro!D$3</f>
        <v>3Q10</v>
      </c>
      <c r="E92" s="44" t="str">
        <f>Macro!E$3</f>
        <v>4Q10</v>
      </c>
      <c r="F92" s="42" t="str">
        <f>Macro!F$3</f>
        <v>2010</v>
      </c>
      <c r="G92" s="43" t="str">
        <f>Macro!G$3</f>
        <v>1Q11</v>
      </c>
      <c r="H92" s="43" t="str">
        <f>Macro!H$3</f>
        <v>2Q11</v>
      </c>
      <c r="I92" s="43" t="str">
        <f>Macro!I$3</f>
        <v>3Q11</v>
      </c>
      <c r="J92" s="44" t="str">
        <f>Macro!J$3</f>
        <v>4Q11</v>
      </c>
      <c r="K92" s="42" t="str">
        <f>Macro!K$3</f>
        <v>2011</v>
      </c>
      <c r="L92" s="43" t="str">
        <f>Macro!L$3</f>
        <v>1Q12</v>
      </c>
      <c r="M92" s="43" t="str">
        <f>Macro!M$3</f>
        <v>2Q12</v>
      </c>
      <c r="N92" s="43" t="str">
        <f>Macro!N$3</f>
        <v>3Q12</v>
      </c>
      <c r="O92" s="44" t="str">
        <f>Macro!O$3</f>
        <v>4Q12</v>
      </c>
      <c r="P92" s="42" t="str">
        <f>Macro!P$3</f>
        <v>2012</v>
      </c>
      <c r="Q92" s="43" t="str">
        <f>Macro!Q$3</f>
        <v>1Q13</v>
      </c>
      <c r="R92" s="43" t="str">
        <f>Macro!R$3</f>
        <v>2Q13</v>
      </c>
      <c r="S92" s="43" t="str">
        <f>Macro!S$3</f>
        <v>3Q13</v>
      </c>
      <c r="T92" s="44" t="str">
        <f>Macro!T$3</f>
        <v>4Q13</v>
      </c>
      <c r="U92" s="42" t="str">
        <f>Macro!U$3</f>
        <v>2013</v>
      </c>
      <c r="V92" s="43" t="str">
        <f>Macro!V$3</f>
        <v>1Q14</v>
      </c>
      <c r="W92" s="43" t="str">
        <f>Macro!W$3</f>
        <v>2Q14</v>
      </c>
      <c r="X92" s="43" t="str">
        <f>Macro!X$3</f>
        <v>3Q14</v>
      </c>
      <c r="Y92" s="44" t="str">
        <f>Macro!Y$3</f>
        <v>4Q14</v>
      </c>
      <c r="Z92" s="42" t="str">
        <f>Macro!Z$3</f>
        <v>2014</v>
      </c>
      <c r="AA92" s="43" t="str">
        <f>Macro!AA$3</f>
        <v>1Q15</v>
      </c>
      <c r="AB92" s="43" t="str">
        <f>Macro!AB$3</f>
        <v>2Q15</v>
      </c>
      <c r="AC92" s="43" t="str">
        <f>Macro!AC$3</f>
        <v>3Q15</v>
      </c>
      <c r="AD92" s="44" t="str">
        <f>Macro!AD$3</f>
        <v>4Q15</v>
      </c>
      <c r="AE92" s="42" t="str">
        <f>Macro!AE$3</f>
        <v>2015</v>
      </c>
      <c r="AF92" s="43" t="str">
        <f>Macro!AF$3</f>
        <v>1Q16</v>
      </c>
      <c r="AG92" s="43" t="str">
        <f>Macro!AG$3</f>
        <v>2Q16</v>
      </c>
      <c r="AH92" s="43" t="str">
        <f>Macro!AH$3</f>
        <v>3Q16</v>
      </c>
      <c r="AI92" s="44" t="str">
        <f>Macro!AI$3</f>
        <v>4Q16</v>
      </c>
      <c r="AJ92" s="42" t="str">
        <f>Macro!AJ$3</f>
        <v>2016</v>
      </c>
      <c r="AK92" s="43" t="str">
        <f>Macro!AK$3</f>
        <v>1Q17</v>
      </c>
      <c r="AL92" s="43" t="str">
        <f>Macro!AL$3</f>
        <v>2Q17</v>
      </c>
      <c r="AM92" s="43" t="str">
        <f>Macro!AM$3</f>
        <v>3Q17</v>
      </c>
      <c r="AN92" s="44" t="str">
        <f>Macro!AN$3</f>
        <v>4Q17</v>
      </c>
      <c r="AO92" s="42" t="str">
        <f>Macro!AO$3</f>
        <v>2017</v>
      </c>
      <c r="AP92" s="43" t="str">
        <f>Macro!AP$3</f>
        <v>1Q18</v>
      </c>
      <c r="AQ92" s="43" t="str">
        <f>Macro!AQ$3</f>
        <v>2Q18</v>
      </c>
      <c r="AR92" s="43" t="str">
        <f>Macro!AR$3</f>
        <v>3Q18</v>
      </c>
      <c r="AS92" s="44" t="str">
        <f>Macro!AS$3</f>
        <v>4Q18</v>
      </c>
      <c r="AT92" s="42" t="str">
        <f>Macro!AT$3</f>
        <v>2018</v>
      </c>
      <c r="AU92" s="43" t="str">
        <f>Macro!AU$3</f>
        <v>1Q19</v>
      </c>
      <c r="AV92" s="43" t="str">
        <f>Macro!AV$3</f>
        <v>2Q19</v>
      </c>
      <c r="AW92" s="43" t="str">
        <f>Macro!AW$3</f>
        <v>3Q19</v>
      </c>
      <c r="AX92" s="44" t="str">
        <f>Macro!AX$3</f>
        <v>4Q19</v>
      </c>
      <c r="AY92" s="42" t="str">
        <f>Macro!AY$3</f>
        <v>2019</v>
      </c>
      <c r="AZ92" s="43" t="str">
        <f>Macro!AZ$3</f>
        <v>1Q20</v>
      </c>
      <c r="BA92" s="43" t="str">
        <f>Macro!BA$3</f>
        <v>2Q20</v>
      </c>
      <c r="BB92" s="43" t="str">
        <f>Macro!BB$3</f>
        <v>3Q20</v>
      </c>
      <c r="BC92" s="44" t="str">
        <f>Macro!BC$3</f>
        <v>4Q20</v>
      </c>
      <c r="BD92" s="42" t="str">
        <f>Macro!BD$3</f>
        <v>2020</v>
      </c>
      <c r="BE92" s="43" t="str">
        <f>Macro!BE$3</f>
        <v>1Q21</v>
      </c>
      <c r="BF92" s="43" t="str">
        <f>Macro!BF$3</f>
        <v>2Q21</v>
      </c>
      <c r="BG92" s="43" t="str">
        <f>Macro!BG$3</f>
        <v>3Q21</v>
      </c>
      <c r="BH92" s="44" t="str">
        <f>Macro!BH$3</f>
        <v>4Q21</v>
      </c>
      <c r="BI92" s="42" t="str">
        <f>Macro!BI$3</f>
        <v>2021</v>
      </c>
      <c r="BJ92" s="43" t="str">
        <f>Macro!BJ$3</f>
        <v>1Q22</v>
      </c>
      <c r="BK92" s="43" t="str">
        <f>Macro!BK$3</f>
        <v>2Q22</v>
      </c>
      <c r="BL92" s="43" t="str">
        <f>Macro!BL$3</f>
        <v>3Q22</v>
      </c>
      <c r="BM92" s="44" t="str">
        <f>Macro!BM$3</f>
        <v>4Q22</v>
      </c>
      <c r="BN92" s="42" t="str">
        <f>Macro!BN$3</f>
        <v>2022</v>
      </c>
      <c r="BO92" s="43" t="str">
        <f>Macro!BO$3</f>
        <v>1Q23</v>
      </c>
      <c r="BP92" s="43" t="str">
        <f>Macro!BP$3</f>
        <v>2Q23</v>
      </c>
      <c r="BQ92" s="43" t="str">
        <f>Macro!BQ$3</f>
        <v>3Q23</v>
      </c>
      <c r="BR92" s="44" t="str">
        <f>Macro!BR$3</f>
        <v>4Q23</v>
      </c>
      <c r="BS92" s="42" t="str">
        <f>Macro!BS$3</f>
        <v>2023</v>
      </c>
      <c r="BT92" s="43" t="str">
        <f>Macro!BT$3</f>
        <v>1Q24</v>
      </c>
      <c r="BU92" s="43" t="str">
        <f>Macro!BU$3</f>
        <v>2Q24</v>
      </c>
      <c r="BV92" s="43" t="str">
        <f>Macro!BV$3</f>
        <v>3Q24</v>
      </c>
      <c r="BW92" s="44" t="str">
        <f>Macro!BW$3</f>
        <v>4Q24</v>
      </c>
      <c r="BX92" s="42" t="str">
        <f>Macro!BX$3</f>
        <v>2024</v>
      </c>
      <c r="BY92" s="43" t="str">
        <f>Macro!BY$3</f>
        <v>1Q25</v>
      </c>
      <c r="BZ92" s="43" t="str">
        <f>Macro!BZ$3</f>
        <v>2Q25</v>
      </c>
      <c r="CA92" s="35" t="str">
        <f>Macro!CA$3</f>
        <v>3Q25</v>
      </c>
      <c r="CB92" s="35" t="str">
        <f>Macro!CB$3</f>
        <v>4Q25</v>
      </c>
      <c r="CC92" s="36" t="str">
        <f>Macro!CC$3</f>
        <v>2025</v>
      </c>
      <c r="CD92" s="35" t="str">
        <f>Macro!CD$3</f>
        <v>1Q26</v>
      </c>
      <c r="CE92" s="35" t="str">
        <f>Macro!CE$3</f>
        <v>2Q26E</v>
      </c>
      <c r="CF92" s="35" t="str">
        <f>Macro!CF$3</f>
        <v>3Q26E</v>
      </c>
      <c r="CG92" s="35" t="str">
        <f>Macro!CG$3</f>
        <v>4Q26E</v>
      </c>
      <c r="CH92" s="36" t="str">
        <f>Macro!CH$3</f>
        <v>2026E</v>
      </c>
      <c r="CI92" s="35" t="str">
        <f>Macro!CI$3</f>
        <v>1Q27E</v>
      </c>
      <c r="CJ92" s="35" t="str">
        <f>Macro!CJ$3</f>
        <v>2Q27E</v>
      </c>
      <c r="CK92" s="35" t="str">
        <f>Macro!CK$3</f>
        <v>3Q27E</v>
      </c>
      <c r="CL92" s="35" t="str">
        <f>Macro!CL$3</f>
        <v>4Q27E</v>
      </c>
      <c r="CM92" s="36" t="str">
        <f>Macro!CM$3</f>
        <v>2027E</v>
      </c>
      <c r="CN92" s="35" t="str">
        <f>Macro!CN$3</f>
        <v>1Q28E</v>
      </c>
      <c r="CO92" s="35" t="str">
        <f>Macro!CO$3</f>
        <v>2Q28E</v>
      </c>
      <c r="CP92" s="35" t="str">
        <f>Macro!CP$3</f>
        <v>3Q28E</v>
      </c>
      <c r="CQ92" s="35" t="str">
        <f>Macro!CQ$3</f>
        <v>4Q28E</v>
      </c>
      <c r="CR92" s="36" t="str">
        <f>Macro!CR$3</f>
        <v>2028E</v>
      </c>
      <c r="CS92" s="35" t="str">
        <f>Macro!CS$3</f>
        <v>1Q29E</v>
      </c>
      <c r="CT92" s="35" t="str">
        <f>Macro!CT$3</f>
        <v>2Q29E</v>
      </c>
      <c r="CU92" s="35" t="str">
        <f>Macro!CU$3</f>
        <v>3Q29E</v>
      </c>
      <c r="CV92" s="35" t="str">
        <f>Macro!CV$3</f>
        <v>4Q29E</v>
      </c>
      <c r="CW92" s="36" t="str">
        <f>Macro!CW$3</f>
        <v>2029E</v>
      </c>
      <c r="CX92" s="35" t="str">
        <f>Macro!CX$3</f>
        <v>1Q30E</v>
      </c>
      <c r="CY92" s="35" t="str">
        <f>Macro!CY$3</f>
        <v>2Q30E</v>
      </c>
      <c r="CZ92" s="35" t="str">
        <f>Macro!CZ$3</f>
        <v>3Q30E</v>
      </c>
      <c r="DA92" s="35" t="str">
        <f>Macro!DA$3</f>
        <v>4Q30E</v>
      </c>
      <c r="DB92" s="36" t="str">
        <f>Macro!DB$3</f>
        <v>2030E</v>
      </c>
    </row>
    <row r="93" spans="1:106" ht="11.5" customHeight="1" x14ac:dyDescent="0.35">
      <c r="A93" s="16" t="s">
        <v>225</v>
      </c>
      <c r="B93" s="90">
        <f t="shared" ref="B93:AE93" si="534">B8</f>
        <v>0</v>
      </c>
      <c r="C93" s="90">
        <f t="shared" si="534"/>
        <v>0</v>
      </c>
      <c r="D93" s="90">
        <f t="shared" si="534"/>
        <v>0</v>
      </c>
      <c r="E93" s="90">
        <f t="shared" si="534"/>
        <v>0</v>
      </c>
      <c r="F93" s="91">
        <f t="shared" si="534"/>
        <v>0</v>
      </c>
      <c r="G93" s="90">
        <f t="shared" si="534"/>
        <v>0</v>
      </c>
      <c r="H93" s="90">
        <f t="shared" si="534"/>
        <v>0</v>
      </c>
      <c r="I93" s="90">
        <f t="shared" si="534"/>
        <v>0</v>
      </c>
      <c r="J93" s="90">
        <f t="shared" si="534"/>
        <v>0</v>
      </c>
      <c r="K93" s="91">
        <f t="shared" si="534"/>
        <v>0</v>
      </c>
      <c r="L93" s="90">
        <f t="shared" si="534"/>
        <v>0</v>
      </c>
      <c r="M93" s="90">
        <f t="shared" si="534"/>
        <v>0</v>
      </c>
      <c r="N93" s="90">
        <f t="shared" si="534"/>
        <v>0</v>
      </c>
      <c r="O93" s="90">
        <f t="shared" si="534"/>
        <v>0</v>
      </c>
      <c r="P93" s="91">
        <f t="shared" si="534"/>
        <v>0</v>
      </c>
      <c r="Q93" s="90">
        <f t="shared" si="534"/>
        <v>0</v>
      </c>
      <c r="R93" s="90">
        <f t="shared" si="534"/>
        <v>0</v>
      </c>
      <c r="S93" s="90">
        <f t="shared" si="534"/>
        <v>0</v>
      </c>
      <c r="T93" s="90">
        <f t="shared" si="534"/>
        <v>0</v>
      </c>
      <c r="U93" s="91">
        <f t="shared" si="534"/>
        <v>0</v>
      </c>
      <c r="V93" s="90">
        <f t="shared" si="534"/>
        <v>0</v>
      </c>
      <c r="W93" s="90">
        <f t="shared" si="534"/>
        <v>0</v>
      </c>
      <c r="X93" s="90">
        <f t="shared" si="534"/>
        <v>0</v>
      </c>
      <c r="Y93" s="90">
        <f t="shared" si="534"/>
        <v>0</v>
      </c>
      <c r="Z93" s="91">
        <f t="shared" si="534"/>
        <v>0</v>
      </c>
      <c r="AA93" s="90">
        <f t="shared" si="534"/>
        <v>0</v>
      </c>
      <c r="AB93" s="90">
        <f t="shared" si="534"/>
        <v>0</v>
      </c>
      <c r="AC93" s="90">
        <f t="shared" si="534"/>
        <v>0</v>
      </c>
      <c r="AD93" s="90">
        <f t="shared" si="534"/>
        <v>0</v>
      </c>
      <c r="AE93" s="91">
        <f t="shared" si="534"/>
        <v>0</v>
      </c>
      <c r="AF93" s="90">
        <f t="shared" ref="AF93:AG93" si="535">AF8</f>
        <v>0</v>
      </c>
      <c r="AG93" s="90">
        <f t="shared" si="535"/>
        <v>0</v>
      </c>
      <c r="AH93" s="90">
        <f t="shared" ref="AH93:BM93" si="536">AH8</f>
        <v>0</v>
      </c>
      <c r="AI93" s="90">
        <f t="shared" si="536"/>
        <v>0</v>
      </c>
      <c r="AJ93" s="91">
        <f t="shared" si="536"/>
        <v>0</v>
      </c>
      <c r="AK93" s="90">
        <f t="shared" si="536"/>
        <v>802877</v>
      </c>
      <c r="AL93" s="90">
        <f t="shared" si="536"/>
        <v>825558</v>
      </c>
      <c r="AM93" s="90">
        <f t="shared" si="536"/>
        <v>883567</v>
      </c>
      <c r="AN93" s="90">
        <f t="shared" si="536"/>
        <v>765298</v>
      </c>
      <c r="AO93" s="91">
        <f t="shared" si="536"/>
        <v>765298</v>
      </c>
      <c r="AP93" s="90">
        <f t="shared" si="536"/>
        <v>680771</v>
      </c>
      <c r="AQ93" s="90">
        <f t="shared" si="536"/>
        <v>760173</v>
      </c>
      <c r="AR93" s="90">
        <f t="shared" si="536"/>
        <v>734956</v>
      </c>
      <c r="AS93" s="90">
        <f t="shared" si="536"/>
        <v>557065</v>
      </c>
      <c r="AT93" s="91">
        <f t="shared" si="536"/>
        <v>557065</v>
      </c>
      <c r="AU93" s="90">
        <f t="shared" si="536"/>
        <v>543697</v>
      </c>
      <c r="AV93" s="90">
        <f t="shared" si="536"/>
        <v>592779</v>
      </c>
      <c r="AW93" s="90">
        <f t="shared" si="536"/>
        <v>685769</v>
      </c>
      <c r="AX93" s="90">
        <f t="shared" si="536"/>
        <v>659335</v>
      </c>
      <c r="AY93" s="91">
        <f t="shared" si="536"/>
        <v>659335</v>
      </c>
      <c r="AZ93" s="90">
        <f t="shared" si="536"/>
        <v>605454</v>
      </c>
      <c r="BA93" s="90">
        <f t="shared" si="536"/>
        <v>685673</v>
      </c>
      <c r="BB93" s="90">
        <f t="shared" si="536"/>
        <v>831054</v>
      </c>
      <c r="BC93" s="90">
        <f t="shared" si="536"/>
        <v>799322</v>
      </c>
      <c r="BD93" s="91">
        <f t="shared" si="536"/>
        <v>799322</v>
      </c>
      <c r="BE93" s="90">
        <f t="shared" si="536"/>
        <v>938013</v>
      </c>
      <c r="BF93" s="90">
        <f t="shared" si="536"/>
        <v>1049124</v>
      </c>
      <c r="BG93" s="90">
        <f t="shared" si="536"/>
        <v>1106282</v>
      </c>
      <c r="BH93" s="90">
        <f t="shared" si="536"/>
        <v>1277665</v>
      </c>
      <c r="BI93" s="91">
        <f t="shared" si="536"/>
        <v>1277665</v>
      </c>
      <c r="BJ93" s="90">
        <f t="shared" si="536"/>
        <v>1630579</v>
      </c>
      <c r="BK93" s="90">
        <f t="shared" si="536"/>
        <v>1556792</v>
      </c>
      <c r="BL93" s="90">
        <f t="shared" si="536"/>
        <v>1399701</v>
      </c>
      <c r="BM93" s="90">
        <f t="shared" si="536"/>
        <v>1179262</v>
      </c>
      <c r="BN93" s="91">
        <f t="shared" ref="BN93:CS93" si="537">BN8</f>
        <v>1179262</v>
      </c>
      <c r="BO93" s="90">
        <f t="shared" si="537"/>
        <v>1050636</v>
      </c>
      <c r="BP93" s="90">
        <f t="shared" si="537"/>
        <v>1085689</v>
      </c>
      <c r="BQ93" s="90">
        <f t="shared" si="537"/>
        <v>1080391</v>
      </c>
      <c r="BR93" s="90">
        <f t="shared" si="537"/>
        <v>1090801</v>
      </c>
      <c r="BS93" s="91">
        <f t="shared" si="537"/>
        <v>1090801</v>
      </c>
      <c r="BT93" s="90">
        <f t="shared" si="537"/>
        <v>1285208</v>
      </c>
      <c r="BU93" s="90">
        <f t="shared" si="537"/>
        <v>1379252</v>
      </c>
      <c r="BV93" s="90">
        <f t="shared" si="537"/>
        <v>1454230</v>
      </c>
      <c r="BW93" s="90">
        <f t="shared" si="537"/>
        <v>1437237</v>
      </c>
      <c r="BX93" s="91">
        <f t="shared" si="537"/>
        <v>1437237</v>
      </c>
      <c r="BY93" s="90">
        <f t="shared" si="537"/>
        <v>1896708</v>
      </c>
      <c r="BZ93" s="90">
        <f t="shared" ref="BZ93:CB93" si="538">BZ8</f>
        <v>2133707</v>
      </c>
      <c r="CA93" s="90">
        <f t="shared" si="538"/>
        <v>2198778</v>
      </c>
      <c r="CB93" s="90">
        <f t="shared" si="538"/>
        <v>2157943</v>
      </c>
      <c r="CC93" s="91">
        <f t="shared" si="537"/>
        <v>2157943</v>
      </c>
      <c r="CD93" s="90">
        <f t="shared" ref="CD93:CE93" si="539">CD8</f>
        <v>2549380</v>
      </c>
      <c r="CE93" s="90">
        <f t="shared" si="539"/>
        <v>2722340</v>
      </c>
      <c r="CF93" s="90">
        <f t="shared" si="537"/>
        <v>2749247.0627774708</v>
      </c>
      <c r="CG93" s="90">
        <f t="shared" si="537"/>
        <v>2808598.4693500674</v>
      </c>
      <c r="CH93" s="91">
        <f t="shared" si="537"/>
        <v>2808598.4693500674</v>
      </c>
      <c r="CI93" s="90">
        <f t="shared" si="537"/>
        <v>2968201.5431951843</v>
      </c>
      <c r="CJ93" s="90">
        <f t="shared" si="537"/>
        <v>3156901.1319450163</v>
      </c>
      <c r="CK93" s="90">
        <f t="shared" si="537"/>
        <v>3330521.9717645901</v>
      </c>
      <c r="CL93" s="90">
        <f t="shared" si="537"/>
        <v>3446827.2460011151</v>
      </c>
      <c r="CM93" s="91">
        <f t="shared" si="537"/>
        <v>3446827.2460011151</v>
      </c>
      <c r="CN93" s="90">
        <f t="shared" si="537"/>
        <v>3564094.900992753</v>
      </c>
      <c r="CO93" s="90">
        <f t="shared" si="537"/>
        <v>3644230.0603092322</v>
      </c>
      <c r="CP93" s="90">
        <f t="shared" si="537"/>
        <v>3723636.3094072165</v>
      </c>
      <c r="CQ93" s="90">
        <f t="shared" si="537"/>
        <v>3825212.1767003229</v>
      </c>
      <c r="CR93" s="91">
        <f t="shared" si="537"/>
        <v>3825212.1767003229</v>
      </c>
      <c r="CS93" s="90">
        <f t="shared" si="537"/>
        <v>3916353.2599288835</v>
      </c>
      <c r="CT93" s="90">
        <f t="shared" ref="CT93:DB93" si="540">CT8</f>
        <v>4000898.7456914955</v>
      </c>
      <c r="CU93" s="90">
        <f t="shared" si="540"/>
        <v>4078653.8149989233</v>
      </c>
      <c r="CV93" s="90">
        <f t="shared" si="540"/>
        <v>4149887.9044129211</v>
      </c>
      <c r="CW93" s="91">
        <f t="shared" si="540"/>
        <v>4149887.9044129211</v>
      </c>
      <c r="CX93" s="90">
        <f t="shared" si="540"/>
        <v>4217937.6130442703</v>
      </c>
      <c r="CY93" s="90">
        <f t="shared" si="540"/>
        <v>4284847.0290661203</v>
      </c>
      <c r="CZ93" s="90">
        <f t="shared" si="540"/>
        <v>4348767.498566471</v>
      </c>
      <c r="DA93" s="90">
        <f t="shared" si="540"/>
        <v>4408886.4038201729</v>
      </c>
      <c r="DB93" s="91">
        <f t="shared" si="540"/>
        <v>4408886.4038201729</v>
      </c>
    </row>
    <row r="94" spans="1:106" ht="11.5" customHeight="1" outlineLevel="1" x14ac:dyDescent="0.35">
      <c r="A94" s="19" t="s">
        <v>226</v>
      </c>
      <c r="B94" s="454" t="e">
        <f>IS!B9+IS!#REF!+IS!#REF!+IS!#REF!</f>
        <v>#REF!</v>
      </c>
      <c r="C94" s="454" t="e">
        <f>IS!C9+IS!B9+IS!#REF!+IS!#REF!</f>
        <v>#REF!</v>
      </c>
      <c r="D94" s="454" t="e">
        <f>IS!D9+IS!C9+IS!B9+IS!#REF!</f>
        <v>#REF!</v>
      </c>
      <c r="E94" s="454">
        <f>IS!B9+IS!C9+IS!D9+IS!E9</f>
        <v>0</v>
      </c>
      <c r="F94" s="455">
        <f>IS!F9</f>
        <v>0</v>
      </c>
      <c r="G94" s="454">
        <f>IS!G9+IS!E9+IS!D9+IS!C9</f>
        <v>0</v>
      </c>
      <c r="H94" s="454">
        <f>IS!H9+IS!G9+IS!E9+IS!D9</f>
        <v>0</v>
      </c>
      <c r="I94" s="454">
        <f>IS!I9+IS!H9+IS!G9+IS!E9</f>
        <v>0</v>
      </c>
      <c r="J94" s="454">
        <f>IS!G9+IS!H9+IS!I9+IS!J9</f>
        <v>0</v>
      </c>
      <c r="K94" s="455">
        <f>IS!K9</f>
        <v>0</v>
      </c>
      <c r="L94" s="454">
        <f>IS!L9+IS!J9+IS!I9+IS!H9</f>
        <v>0</v>
      </c>
      <c r="M94" s="454">
        <f>IS!M9+IS!L9+IS!J9+IS!I9</f>
        <v>0</v>
      </c>
      <c r="N94" s="454">
        <f>IS!N9+IS!M9+IS!L9+IS!J9</f>
        <v>0</v>
      </c>
      <c r="O94" s="454">
        <f>IS!L9+IS!M9+IS!N9+IS!O9</f>
        <v>0</v>
      </c>
      <c r="P94" s="455">
        <f>IS!P9</f>
        <v>0</v>
      </c>
      <c r="Q94" s="454">
        <f>IS!Q9+IS!O9+IS!N9+IS!M9</f>
        <v>0</v>
      </c>
      <c r="R94" s="454">
        <f>IS!R9+IS!Q9+IS!O9+IS!N9</f>
        <v>0</v>
      </c>
      <c r="S94" s="454">
        <f>IS!S9+IS!R9+IS!Q9+IS!O9</f>
        <v>0</v>
      </c>
      <c r="T94" s="454">
        <f>IS!Q9+IS!R9+IS!S9+IS!T9</f>
        <v>0</v>
      </c>
      <c r="U94" s="455">
        <f>IS!U9</f>
        <v>0</v>
      </c>
      <c r="V94" s="454">
        <f>IS!V9+IS!T9+IS!S9+IS!R9</f>
        <v>0</v>
      </c>
      <c r="W94" s="454">
        <f>IS!W9+IS!V9+IS!T9+IS!S9</f>
        <v>0</v>
      </c>
      <c r="X94" s="454">
        <f>IS!X9+IS!W9+IS!V9+IS!T9</f>
        <v>0</v>
      </c>
      <c r="Y94" s="454">
        <f>IS!V9+IS!W9+IS!X9+IS!Y9</f>
        <v>0</v>
      </c>
      <c r="Z94" s="455">
        <f>IS!Z9</f>
        <v>0</v>
      </c>
      <c r="AA94" s="454">
        <f>IS!AA9+IS!Y9+IS!X9+IS!W9</f>
        <v>0</v>
      </c>
      <c r="AB94" s="454">
        <f>IS!AB9+IS!AA9+IS!Y9+IS!X9</f>
        <v>0</v>
      </c>
      <c r="AC94" s="454">
        <f>IS!AC9+IS!AB9+IS!AA9+IS!Y9</f>
        <v>0</v>
      </c>
      <c r="AD94" s="454">
        <f>IS!AA9+IS!AB9+IS!AC9+IS!AD9</f>
        <v>0</v>
      </c>
      <c r="AE94" s="455">
        <f>IS!AE9</f>
        <v>0</v>
      </c>
      <c r="AF94" s="454">
        <f>IS!AF9+IS!AD9+IS!AC9+IS!AB9</f>
        <v>0</v>
      </c>
      <c r="AG94" s="454">
        <f>IS!AG9+IS!AF9+IS!AD9+IS!AC9</f>
        <v>0</v>
      </c>
      <c r="AH94" s="454">
        <f>IS!AH9+IS!AG9+IS!AF9+IS!AD9</f>
        <v>0</v>
      </c>
      <c r="AI94" s="454">
        <f>IS!AF9+IS!AG9+IS!AH9+IS!AI9</f>
        <v>0</v>
      </c>
      <c r="AJ94" s="455">
        <f>IS!AJ9</f>
        <v>0</v>
      </c>
      <c r="AK94" s="454">
        <f>IS!AK9+IS!AI9+IS!AH9+IS!AG9</f>
        <v>166288.48000000001</v>
      </c>
      <c r="AL94" s="454">
        <f>IS!AL9+IS!AK9+IS!AI9+IS!AH9</f>
        <v>374447.34</v>
      </c>
      <c r="AM94" s="454">
        <f>IS!AM9+IS!AL9+IS!AK9+IS!AI9</f>
        <v>591287.23300000001</v>
      </c>
      <c r="AN94" s="454">
        <f>IS!AK9+IS!AL9+IS!AM9+IS!AN9</f>
        <v>814384.50300000003</v>
      </c>
      <c r="AO94" s="455">
        <f>IS!AO9</f>
        <v>814384.50300000003</v>
      </c>
      <c r="AP94" s="454">
        <f>IS!AP9+IS!AN9+IS!AM9+IS!AL9</f>
        <v>796462.81699999992</v>
      </c>
      <c r="AQ94" s="454">
        <f>IS!AQ9+IS!AP9+IS!AN9+IS!AM9</f>
        <v>820272.23200000008</v>
      </c>
      <c r="AR94" s="454">
        <f>IS!AR9+IS!AQ9+IS!AP9+IS!AN9</f>
        <v>866741.09200000006</v>
      </c>
      <c r="AS94" s="454">
        <f>IS!AP9+IS!AQ9+IS!AR9+IS!AS9</f>
        <v>920253.49600000004</v>
      </c>
      <c r="AT94" s="455">
        <f>IS!AT9</f>
        <v>920253.49600000004</v>
      </c>
      <c r="AU94" s="454">
        <f>IS!AU9+IS!AS9+IS!AR9+IS!AQ9</f>
        <v>960256.70200000005</v>
      </c>
      <c r="AV94" s="454">
        <f>IS!AV9+IS!AU9+IS!AS9+IS!AR9</f>
        <v>996021.42700000003</v>
      </c>
      <c r="AW94" s="454">
        <f>IS!AW9+IS!AV9+IS!AU9+IS!AS9</f>
        <v>994236.674</v>
      </c>
      <c r="AX94" s="454">
        <f>IS!AU9+IS!AV9+IS!AW9+IS!AX9</f>
        <v>1019277</v>
      </c>
      <c r="AY94" s="455">
        <f>IS!AY9</f>
        <v>1019277</v>
      </c>
      <c r="AZ94" s="454">
        <f>IS!AZ9+IS!AX9+IS!AW9+IS!AV9</f>
        <v>1058228</v>
      </c>
      <c r="BA94" s="454">
        <f>IS!BA9+IS!AZ9+IS!AX9+IS!AW9</f>
        <v>1036699</v>
      </c>
      <c r="BB94" s="454">
        <f>IS!BB9+IS!BA9+IS!AZ9+IS!AX9</f>
        <v>1101072</v>
      </c>
      <c r="BC94" s="454">
        <f>IS!AZ9+IS!BA9+IS!BB9+IS!BC9</f>
        <v>1144682</v>
      </c>
      <c r="BD94" s="455">
        <f>IS!BD9</f>
        <v>1144682</v>
      </c>
      <c r="BE94" s="454">
        <f>IS!BE9+IS!BC9+IS!BB9+IS!BA9</f>
        <v>1256647</v>
      </c>
      <c r="BF94" s="454">
        <f>IS!BF9+IS!BE9+IS!BC9+IS!BB9</f>
        <v>1461780</v>
      </c>
      <c r="BG94" s="454">
        <f>IS!BG9+IS!BF9+IS!BE9+IS!BC9</f>
        <v>1592332</v>
      </c>
      <c r="BH94" s="454">
        <f>IS!BE9+IS!BF9+IS!BG9+IS!BH9</f>
        <v>1738295</v>
      </c>
      <c r="BI94" s="455">
        <f>IS!BI9</f>
        <v>1738295</v>
      </c>
      <c r="BJ94" s="454">
        <f>IS!BJ9+IS!BH9+IS!BG9+IS!BF9</f>
        <v>1846383</v>
      </c>
      <c r="BK94" s="454">
        <f>IS!BK9+IS!BJ9+IS!BH9+IS!BG9</f>
        <v>1997829</v>
      </c>
      <c r="BL94" s="454">
        <f>IS!BL9+IS!BK9+IS!BJ9+IS!BH9</f>
        <v>2168039</v>
      </c>
      <c r="BM94" s="454">
        <f>IS!BJ9+IS!BK9+IS!BL9+IS!BM9</f>
        <v>2257294</v>
      </c>
      <c r="BN94" s="455">
        <f>IS!BN9</f>
        <v>2257294</v>
      </c>
      <c r="BO94" s="454">
        <f>IS!BO9+IS!BM9+IS!BL9+IS!BK9</f>
        <v>2404876</v>
      </c>
      <c r="BP94" s="454">
        <f>IS!BP9+IS!BO9+IS!BM9+IS!BL9</f>
        <v>2529839</v>
      </c>
      <c r="BQ94" s="454">
        <f>IS!BQ9+IS!BP9+IS!BO9+IS!BM9</f>
        <v>2655054</v>
      </c>
      <c r="BR94" s="454">
        <f>IS!BO9+IS!BP9+IS!BQ9+IS!BR9</f>
        <v>2886172</v>
      </c>
      <c r="BS94" s="455">
        <f>IS!BS9</f>
        <v>2886172</v>
      </c>
      <c r="BT94" s="454">
        <f>IS!BT9+IS!BR9+IS!BQ9+IS!BP9</f>
        <v>3128598</v>
      </c>
      <c r="BU94" s="454">
        <f>IS!BU9+IS!BT9+IS!BR9+IS!BQ9</f>
        <v>3398937</v>
      </c>
      <c r="BV94" s="454">
        <f>IS!BV9+IS!BU9+IS!BT9+IS!BR9</f>
        <v>3702935</v>
      </c>
      <c r="BW94" s="454">
        <f>IS!BT9+IS!BU9+IS!BV9+IS!BW9</f>
        <v>3926310</v>
      </c>
      <c r="BX94" s="455">
        <f>IS!BX9</f>
        <v>3926310</v>
      </c>
      <c r="BY94" s="454">
        <f>IS!BY9+IS!BW9+IS!BV9+IS!BU9</f>
        <v>4305112</v>
      </c>
      <c r="BZ94" s="454">
        <f>IS!BZ9+IS!BY9+IS!BW9+IS!BV9</f>
        <v>4653626</v>
      </c>
      <c r="CA94" s="454">
        <f>IS!CA9+IS!BZ9+IS!BX9+IS!BW9</f>
        <v>7724806</v>
      </c>
      <c r="CB94" s="454">
        <f>IS!BY9+IS!BZ9+IS!CA9+IS!CB9</f>
        <v>5399424</v>
      </c>
      <c r="CC94" s="455">
        <f>IS!CC9</f>
        <v>5399424</v>
      </c>
      <c r="CD94" s="454">
        <f>IS!CD9+IS!CB9+IS!CA9+IS!BZ9</f>
        <v>5795811</v>
      </c>
      <c r="CE94" s="454">
        <f>IS!CE9+IS!CD9+IS!CB9+IS!CA9</f>
        <v>6139806</v>
      </c>
      <c r="CF94" s="454">
        <f>IS!CF9+IS!CE9+IS!CD9+IS!CB9</f>
        <v>6474033.4058953347</v>
      </c>
      <c r="CG94" s="454">
        <f>IS!CD9+IS!CE9+IS!CF9+IS!CG9</f>
        <v>6834256.2754184976</v>
      </c>
      <c r="CH94" s="455">
        <f>IS!CH9</f>
        <v>6834256.2754184976</v>
      </c>
      <c r="CI94" s="454">
        <f>IS!CI9+IS!CG9+IS!CF9+IS!CE9</f>
        <v>7104220.0869917525</v>
      </c>
      <c r="CJ94" s="454">
        <f>IS!CJ9+IS!CI9+IS!CG9+IS!CF9</f>
        <v>7555861.7256388916</v>
      </c>
      <c r="CK94" s="454">
        <f>IS!CK9+IS!CJ9+IS!CI9+IS!CG9</f>
        <v>7971413.2438955754</v>
      </c>
      <c r="CL94" s="454">
        <f>IS!CI9+IS!CJ9+IS!CK9+IS!CL9</f>
        <v>8249783.244527258</v>
      </c>
      <c r="CM94" s="455">
        <f>IS!CM9</f>
        <v>8249783.244527258</v>
      </c>
      <c r="CN94" s="454">
        <f>IS!CN9+IS!CL9+IS!CK9+IS!CJ9</f>
        <v>8530456.6482777353</v>
      </c>
      <c r="CO94" s="454">
        <f>IS!CO9+IS!CN9+IS!CL9+IS!CK9</f>
        <v>8722255.554182753</v>
      </c>
      <c r="CP94" s="454">
        <f>IS!CP9+IS!CO9+IS!CN9+IS!CL9</f>
        <v>8912309.8553025182</v>
      </c>
      <c r="CQ94" s="454">
        <f>IS!CN9+IS!CO9+IS!CP9+IS!CQ9</f>
        <v>9155425.8655450344</v>
      </c>
      <c r="CR94" s="455">
        <f>IS!CR9</f>
        <v>9155425.8655450344</v>
      </c>
      <c r="CS94" s="454">
        <f>IS!CS9+IS!CQ9+IS!CP9+IS!CO9</f>
        <v>9373566.818846181</v>
      </c>
      <c r="CT94" s="454">
        <f>IS!CT9+IS!CS9+IS!CQ9+IS!CP9</f>
        <v>9575921.5880484972</v>
      </c>
      <c r="CU94" s="454">
        <f>IS!CU9+IS!CT9+IS!CS9+IS!CQ9</f>
        <v>9762023.8850793894</v>
      </c>
      <c r="CV94" s="454">
        <f>IS!CS9+IS!CT9+IS!CU9+IS!CV9</f>
        <v>9932518.5908899419</v>
      </c>
      <c r="CW94" s="455">
        <f>IS!CW9</f>
        <v>9932518.5908899419</v>
      </c>
      <c r="CX94" s="454">
        <f>IS!CX9+IS!CV9+IS!CU9+IS!CT9</f>
        <v>10095391.664007599</v>
      </c>
      <c r="CY94" s="454">
        <f>IS!CY9+IS!CX9+IS!CV9+IS!CU9</f>
        <v>10255535.512191042</v>
      </c>
      <c r="CZ94" s="454">
        <f>IS!CZ9+IS!CY9+IS!CX9+IS!CV9</f>
        <v>10408525.48837221</v>
      </c>
      <c r="DA94" s="454">
        <f>IS!CX9+IS!CY9+IS!CZ9+IS!DA9</f>
        <v>10552416.638651561</v>
      </c>
      <c r="DB94" s="455">
        <f>IS!DB9</f>
        <v>10552416.638651561</v>
      </c>
    </row>
    <row r="95" spans="1:106" ht="11.5" customHeight="1" outlineLevel="1" x14ac:dyDescent="0.35">
      <c r="A95" s="149" t="s">
        <v>227</v>
      </c>
      <c r="B95" s="92" t="e">
        <f t="shared" ref="B95:AE95" si="541">365/(B94/B93)</f>
        <v>#REF!</v>
      </c>
      <c r="C95" s="92" t="e">
        <f t="shared" si="541"/>
        <v>#REF!</v>
      </c>
      <c r="D95" s="92" t="e">
        <f t="shared" si="541"/>
        <v>#REF!</v>
      </c>
      <c r="E95" s="92" t="e">
        <f t="shared" si="541"/>
        <v>#DIV/0!</v>
      </c>
      <c r="F95" s="93" t="e">
        <f t="shared" si="541"/>
        <v>#DIV/0!</v>
      </c>
      <c r="G95" s="92" t="e">
        <f t="shared" si="541"/>
        <v>#DIV/0!</v>
      </c>
      <c r="H95" s="92" t="e">
        <f t="shared" si="541"/>
        <v>#DIV/0!</v>
      </c>
      <c r="I95" s="92" t="e">
        <f t="shared" si="541"/>
        <v>#DIV/0!</v>
      </c>
      <c r="J95" s="92" t="e">
        <f t="shared" si="541"/>
        <v>#DIV/0!</v>
      </c>
      <c r="K95" s="93" t="e">
        <f t="shared" si="541"/>
        <v>#DIV/0!</v>
      </c>
      <c r="L95" s="92" t="e">
        <f t="shared" si="541"/>
        <v>#DIV/0!</v>
      </c>
      <c r="M95" s="92" t="e">
        <f t="shared" si="541"/>
        <v>#DIV/0!</v>
      </c>
      <c r="N95" s="92" t="e">
        <f t="shared" si="541"/>
        <v>#DIV/0!</v>
      </c>
      <c r="O95" s="92" t="e">
        <f t="shared" si="541"/>
        <v>#DIV/0!</v>
      </c>
      <c r="P95" s="93" t="e">
        <f t="shared" si="541"/>
        <v>#DIV/0!</v>
      </c>
      <c r="Q95" s="92" t="e">
        <f t="shared" si="541"/>
        <v>#DIV/0!</v>
      </c>
      <c r="R95" s="92" t="e">
        <f t="shared" si="541"/>
        <v>#DIV/0!</v>
      </c>
      <c r="S95" s="92" t="e">
        <f t="shared" si="541"/>
        <v>#DIV/0!</v>
      </c>
      <c r="T95" s="92" t="e">
        <f t="shared" si="541"/>
        <v>#DIV/0!</v>
      </c>
      <c r="U95" s="93" t="e">
        <f t="shared" si="541"/>
        <v>#DIV/0!</v>
      </c>
      <c r="V95" s="92" t="e">
        <f t="shared" si="541"/>
        <v>#DIV/0!</v>
      </c>
      <c r="W95" s="92" t="e">
        <f t="shared" si="541"/>
        <v>#DIV/0!</v>
      </c>
      <c r="X95" s="92" t="e">
        <f t="shared" si="541"/>
        <v>#DIV/0!</v>
      </c>
      <c r="Y95" s="92" t="e">
        <f t="shared" si="541"/>
        <v>#DIV/0!</v>
      </c>
      <c r="Z95" s="93" t="e">
        <f t="shared" si="541"/>
        <v>#DIV/0!</v>
      </c>
      <c r="AA95" s="92" t="e">
        <f t="shared" si="541"/>
        <v>#DIV/0!</v>
      </c>
      <c r="AB95" s="92" t="e">
        <f t="shared" si="541"/>
        <v>#DIV/0!</v>
      </c>
      <c r="AC95" s="92" t="e">
        <f t="shared" si="541"/>
        <v>#DIV/0!</v>
      </c>
      <c r="AD95" s="92" t="e">
        <f t="shared" si="541"/>
        <v>#DIV/0!</v>
      </c>
      <c r="AE95" s="93" t="e">
        <f t="shared" si="541"/>
        <v>#DIV/0!</v>
      </c>
      <c r="AF95" s="92" t="e">
        <f t="shared" ref="AF95:AG95" si="542">365/(AF94/AF93)</f>
        <v>#DIV/0!</v>
      </c>
      <c r="AG95" s="92" t="e">
        <f t="shared" si="542"/>
        <v>#DIV/0!</v>
      </c>
      <c r="AH95" s="92" t="e">
        <f t="shared" ref="AH95:BM95" si="543">365/(AH94/AH93)</f>
        <v>#DIV/0!</v>
      </c>
      <c r="AI95" s="92" t="e">
        <f t="shared" si="543"/>
        <v>#DIV/0!</v>
      </c>
      <c r="AJ95" s="93" t="e">
        <f t="shared" si="543"/>
        <v>#DIV/0!</v>
      </c>
      <c r="AK95" s="92">
        <f t="shared" si="543"/>
        <v>1762.2994990392599</v>
      </c>
      <c r="AL95" s="92">
        <f t="shared" si="543"/>
        <v>804.72909755481237</v>
      </c>
      <c r="AM95" s="92">
        <f t="shared" si="543"/>
        <v>545.42350485690258</v>
      </c>
      <c r="AN95" s="92">
        <f t="shared" si="543"/>
        <v>342.99985936741228</v>
      </c>
      <c r="AO95" s="93">
        <f t="shared" si="543"/>
        <v>342.99985936741228</v>
      </c>
      <c r="AP95" s="92">
        <f t="shared" si="543"/>
        <v>311.98118693844816</v>
      </c>
      <c r="AQ95" s="92">
        <f t="shared" si="543"/>
        <v>338.25739087069326</v>
      </c>
      <c r="AR95" s="92">
        <f t="shared" si="543"/>
        <v>309.50296746747523</v>
      </c>
      <c r="AS95" s="92">
        <f t="shared" si="543"/>
        <v>220.94860370951525</v>
      </c>
      <c r="AT95" s="93">
        <f t="shared" si="543"/>
        <v>220.94860370951525</v>
      </c>
      <c r="AU95" s="92">
        <f t="shared" si="543"/>
        <v>206.66286898771367</v>
      </c>
      <c r="AV95" s="92">
        <f t="shared" si="543"/>
        <v>217.22859482218749</v>
      </c>
      <c r="AW95" s="92">
        <f t="shared" si="543"/>
        <v>251.75664059239884</v>
      </c>
      <c r="AX95" s="92">
        <f t="shared" si="543"/>
        <v>236.10586229258584</v>
      </c>
      <c r="AY95" s="93">
        <f t="shared" si="543"/>
        <v>236.10586229258584</v>
      </c>
      <c r="AZ95" s="92">
        <f t="shared" si="543"/>
        <v>208.83090411518123</v>
      </c>
      <c r="BA95" s="92">
        <f t="shared" si="543"/>
        <v>241.41109907504494</v>
      </c>
      <c r="BB95" s="92">
        <f t="shared" si="543"/>
        <v>275.49034940494352</v>
      </c>
      <c r="BC95" s="92">
        <f t="shared" si="543"/>
        <v>254.87648971504748</v>
      </c>
      <c r="BD95" s="93">
        <f t="shared" si="543"/>
        <v>254.87648971504748</v>
      </c>
      <c r="BE95" s="92">
        <f t="shared" si="543"/>
        <v>272.45101050653051</v>
      </c>
      <c r="BF95" s="92">
        <f t="shared" si="543"/>
        <v>261.96162213192133</v>
      </c>
      <c r="BG95" s="92">
        <f t="shared" si="543"/>
        <v>253.58589163566393</v>
      </c>
      <c r="BH95" s="92">
        <f t="shared" si="543"/>
        <v>268.27881631138558</v>
      </c>
      <c r="BI95" s="93">
        <f t="shared" si="543"/>
        <v>268.27881631138558</v>
      </c>
      <c r="BJ95" s="92">
        <f t="shared" si="543"/>
        <v>322.33904612423311</v>
      </c>
      <c r="BK95" s="92">
        <f t="shared" si="543"/>
        <v>284.4232814720379</v>
      </c>
      <c r="BL95" s="92">
        <f t="shared" si="543"/>
        <v>235.64652896004179</v>
      </c>
      <c r="BM95" s="92">
        <f t="shared" si="543"/>
        <v>190.68434594696126</v>
      </c>
      <c r="BN95" s="93">
        <f t="shared" ref="BN95:CS95" si="544">365/(BN94/BN93)</f>
        <v>190.68434594696126</v>
      </c>
      <c r="BO95" s="92">
        <f t="shared" si="544"/>
        <v>159.46025491543014</v>
      </c>
      <c r="BP95" s="92">
        <f t="shared" si="544"/>
        <v>156.64098980211784</v>
      </c>
      <c r="BQ95" s="92">
        <f t="shared" si="544"/>
        <v>148.52530871311845</v>
      </c>
      <c r="BR95" s="92">
        <f t="shared" si="544"/>
        <v>137.948245981182</v>
      </c>
      <c r="BS95" s="93">
        <f t="shared" si="544"/>
        <v>137.948245981182</v>
      </c>
      <c r="BT95" s="92">
        <f t="shared" si="544"/>
        <v>149.9396598732084</v>
      </c>
      <c r="BU95" s="92">
        <f t="shared" si="544"/>
        <v>148.11306593796826</v>
      </c>
      <c r="BV95" s="92">
        <f t="shared" si="544"/>
        <v>143.34411757160197</v>
      </c>
      <c r="BW95" s="92">
        <f t="shared" si="544"/>
        <v>133.60929345874371</v>
      </c>
      <c r="BX95" s="93">
        <f t="shared" si="544"/>
        <v>133.60929345874371</v>
      </c>
      <c r="BY95" s="92">
        <f t="shared" si="544"/>
        <v>160.80845748031641</v>
      </c>
      <c r="BZ95" s="92">
        <f t="shared" ref="BZ95:CB95" si="545">365/(BZ94/BZ93)</f>
        <v>167.35402780541452</v>
      </c>
      <c r="CA95" s="92">
        <f t="shared" si="545"/>
        <v>103.89309064849007</v>
      </c>
      <c r="CB95" s="92">
        <f t="shared" si="545"/>
        <v>145.87652219940497</v>
      </c>
      <c r="CC95" s="93">
        <f t="shared" si="544"/>
        <v>145.87652219940497</v>
      </c>
      <c r="CD95" s="92">
        <f t="shared" ref="CD95:CE95" si="546">365/(CD94/CD93)</f>
        <v>160.55107732118941</v>
      </c>
      <c r="CE95" s="92">
        <f t="shared" si="546"/>
        <v>161.83802875856338</v>
      </c>
      <c r="CF95" s="92">
        <f t="shared" si="544"/>
        <v>155</v>
      </c>
      <c r="CG95" s="92">
        <f t="shared" si="544"/>
        <v>149.99999999999997</v>
      </c>
      <c r="CH95" s="93">
        <f t="shared" si="544"/>
        <v>149.99999999999997</v>
      </c>
      <c r="CI95" s="92">
        <f t="shared" si="544"/>
        <v>152.5</v>
      </c>
      <c r="CJ95" s="92">
        <f t="shared" si="544"/>
        <v>152.5</v>
      </c>
      <c r="CK95" s="92">
        <f t="shared" si="544"/>
        <v>152.50000000000003</v>
      </c>
      <c r="CL95" s="92">
        <f t="shared" si="544"/>
        <v>152.50000000000003</v>
      </c>
      <c r="CM95" s="93">
        <f t="shared" si="544"/>
        <v>152.50000000000003</v>
      </c>
      <c r="CN95" s="92">
        <f t="shared" si="544"/>
        <v>152.50000000000003</v>
      </c>
      <c r="CO95" s="92">
        <f t="shared" si="544"/>
        <v>152.5</v>
      </c>
      <c r="CP95" s="92">
        <f t="shared" si="544"/>
        <v>152.5</v>
      </c>
      <c r="CQ95" s="92">
        <f t="shared" si="544"/>
        <v>152.5</v>
      </c>
      <c r="CR95" s="93">
        <f t="shared" si="544"/>
        <v>152.5</v>
      </c>
      <c r="CS95" s="92">
        <f t="shared" si="544"/>
        <v>152.5</v>
      </c>
      <c r="CT95" s="92">
        <f t="shared" ref="CT95:DB95" si="547">365/(CT94/CT93)</f>
        <v>152.5</v>
      </c>
      <c r="CU95" s="92">
        <f t="shared" si="547"/>
        <v>152.5</v>
      </c>
      <c r="CV95" s="92">
        <f t="shared" si="547"/>
        <v>152.5</v>
      </c>
      <c r="CW95" s="93">
        <f t="shared" si="547"/>
        <v>152.5</v>
      </c>
      <c r="CX95" s="92">
        <f t="shared" si="547"/>
        <v>152.5</v>
      </c>
      <c r="CY95" s="92">
        <f t="shared" si="547"/>
        <v>152.5</v>
      </c>
      <c r="CZ95" s="92">
        <f t="shared" si="547"/>
        <v>152.49999999999997</v>
      </c>
      <c r="DA95" s="92">
        <f t="shared" si="547"/>
        <v>152.5</v>
      </c>
      <c r="DB95" s="93">
        <f t="shared" si="547"/>
        <v>152.5</v>
      </c>
    </row>
    <row r="96" spans="1:106" s="56" customFormat="1" ht="11.5" customHeight="1" outlineLevel="1" x14ac:dyDescent="0.35">
      <c r="A96" s="16" t="s">
        <v>228</v>
      </c>
      <c r="B96" s="94" t="e">
        <f t="shared" ref="B96:E96" si="548">-(B93-A93)</f>
        <v>#VALUE!</v>
      </c>
      <c r="C96" s="94">
        <f t="shared" si="548"/>
        <v>0</v>
      </c>
      <c r="D96" s="94">
        <f t="shared" si="548"/>
        <v>0</v>
      </c>
      <c r="E96" s="94">
        <f t="shared" si="548"/>
        <v>0</v>
      </c>
      <c r="F96" s="95" t="e">
        <f t="shared" ref="F96" si="549">-(+F93-A93)</f>
        <v>#VALUE!</v>
      </c>
      <c r="G96" s="94">
        <f t="shared" ref="G96:J96" si="550">-(G93-F93)</f>
        <v>0</v>
      </c>
      <c r="H96" s="94">
        <f t="shared" si="550"/>
        <v>0</v>
      </c>
      <c r="I96" s="94">
        <f t="shared" si="550"/>
        <v>0</v>
      </c>
      <c r="J96" s="94">
        <f t="shared" si="550"/>
        <v>0</v>
      </c>
      <c r="K96" s="95">
        <f t="shared" ref="K96" si="551">-(+K93-F93)</f>
        <v>0</v>
      </c>
      <c r="L96" s="94">
        <f t="shared" ref="L96:O96" si="552">-(L93-K93)</f>
        <v>0</v>
      </c>
      <c r="M96" s="94">
        <f t="shared" si="552"/>
        <v>0</v>
      </c>
      <c r="N96" s="94">
        <f t="shared" si="552"/>
        <v>0</v>
      </c>
      <c r="O96" s="94">
        <f t="shared" si="552"/>
        <v>0</v>
      </c>
      <c r="P96" s="95">
        <f t="shared" ref="P96" si="553">-(+P93-K93)</f>
        <v>0</v>
      </c>
      <c r="Q96" s="94">
        <f t="shared" ref="Q96:T96" si="554">-(Q93-P93)</f>
        <v>0</v>
      </c>
      <c r="R96" s="94">
        <f t="shared" si="554"/>
        <v>0</v>
      </c>
      <c r="S96" s="94">
        <f t="shared" si="554"/>
        <v>0</v>
      </c>
      <c r="T96" s="94">
        <f t="shared" si="554"/>
        <v>0</v>
      </c>
      <c r="U96" s="95">
        <f t="shared" ref="U96" si="555">-(+U93-P93)</f>
        <v>0</v>
      </c>
      <c r="V96" s="94">
        <f t="shared" ref="V96:Y96" si="556">-(V93-U93)</f>
        <v>0</v>
      </c>
      <c r="W96" s="94">
        <f t="shared" si="556"/>
        <v>0</v>
      </c>
      <c r="X96" s="94">
        <f t="shared" si="556"/>
        <v>0</v>
      </c>
      <c r="Y96" s="94">
        <f t="shared" si="556"/>
        <v>0</v>
      </c>
      <c r="Z96" s="95">
        <f t="shared" ref="Z96" si="557">-(+Z93-U93)</f>
        <v>0</v>
      </c>
      <c r="AA96" s="94">
        <f t="shared" ref="AA96:AD96" si="558">-(AA93-Z93)</f>
        <v>0</v>
      </c>
      <c r="AB96" s="94">
        <f t="shared" si="558"/>
        <v>0</v>
      </c>
      <c r="AC96" s="94">
        <f t="shared" si="558"/>
        <v>0</v>
      </c>
      <c r="AD96" s="94">
        <f t="shared" si="558"/>
        <v>0</v>
      </c>
      <c r="AE96" s="95">
        <f t="shared" ref="AE96" si="559">-(+AE93-Z93)</f>
        <v>0</v>
      </c>
      <c r="AF96" s="94">
        <f>-(AF93-AE93)</f>
        <v>0</v>
      </c>
      <c r="AG96" s="94">
        <f>-(AG93-AF93)</f>
        <v>0</v>
      </c>
      <c r="AH96" s="94">
        <f>-(AH93-AG93)</f>
        <v>0</v>
      </c>
      <c r="AI96" s="94">
        <f>-(AI93-AH93)</f>
        <v>0</v>
      </c>
      <c r="AJ96" s="95">
        <f>-(+AJ93-AE93)</f>
        <v>0</v>
      </c>
      <c r="AK96" s="94">
        <f>-(AK93-AJ93)</f>
        <v>-802877</v>
      </c>
      <c r="AL96" s="94">
        <f>-(AL93-AK93)</f>
        <v>-22681</v>
      </c>
      <c r="AM96" s="94">
        <f>-(AM93-AL93)</f>
        <v>-58009</v>
      </c>
      <c r="AN96" s="94">
        <f>-(AN93-AM93)</f>
        <v>118269</v>
      </c>
      <c r="AO96" s="95">
        <f>-(+AO93-AJ93)</f>
        <v>-765298</v>
      </c>
      <c r="AP96" s="94">
        <f>-(AP93-AO93)</f>
        <v>84527</v>
      </c>
      <c r="AQ96" s="94">
        <f>-(AQ93-AP93)</f>
        <v>-79402</v>
      </c>
      <c r="AR96" s="94">
        <f>-(AR93-AQ93)</f>
        <v>25217</v>
      </c>
      <c r="AS96" s="94">
        <f>-(AS93-AR93)</f>
        <v>177891</v>
      </c>
      <c r="AT96" s="95">
        <f>-(+AT93-AO93)</f>
        <v>208233</v>
      </c>
      <c r="AU96" s="94">
        <f>-(AU93-AT93)</f>
        <v>13368</v>
      </c>
      <c r="AV96" s="94">
        <f>-(AV93-AU93)</f>
        <v>-49082</v>
      </c>
      <c r="AW96" s="94">
        <f>-(AW93-AV93)</f>
        <v>-92990</v>
      </c>
      <c r="AX96" s="94">
        <f>-(AX93-AW93)</f>
        <v>26434</v>
      </c>
      <c r="AY96" s="95">
        <f>-(+AY93-AT93)</f>
        <v>-102270</v>
      </c>
      <c r="AZ96" s="94">
        <f>-(AZ93-AY93)</f>
        <v>53881</v>
      </c>
      <c r="BA96" s="94">
        <f>-(BA93-AZ93)</f>
        <v>-80219</v>
      </c>
      <c r="BB96" s="94">
        <f>-(BB93-BA93)</f>
        <v>-145381</v>
      </c>
      <c r="BC96" s="94">
        <f>-(BC93-BB93)</f>
        <v>31732</v>
      </c>
      <c r="BD96" s="95">
        <f>-(+BD93-AY93)</f>
        <v>-139987</v>
      </c>
      <c r="BE96" s="94">
        <f>-(BE93-BD93)</f>
        <v>-138691</v>
      </c>
      <c r="BF96" s="94">
        <f>-(BF93-BE93)</f>
        <v>-111111</v>
      </c>
      <c r="BG96" s="94">
        <f>-(BG93-BF93)</f>
        <v>-57158</v>
      </c>
      <c r="BH96" s="94">
        <f>-(BH93-BG93)</f>
        <v>-171383</v>
      </c>
      <c r="BI96" s="95">
        <f>-(+BI93-BD93)</f>
        <v>-478343</v>
      </c>
      <c r="BJ96" s="94">
        <f>-(BJ93-BI93)</f>
        <v>-352914</v>
      </c>
      <c r="BK96" s="94">
        <f>-(BK93-BJ93)</f>
        <v>73787</v>
      </c>
      <c r="BL96" s="94">
        <f>-(BL93-BK93)</f>
        <v>157091</v>
      </c>
      <c r="BM96" s="94">
        <f>-(BM93-BL93)</f>
        <v>220439</v>
      </c>
      <c r="BN96" s="95">
        <f>-(+BN93-BI93)</f>
        <v>98403</v>
      </c>
      <c r="BO96" s="94">
        <f>-(BO93-BN93)</f>
        <v>128626</v>
      </c>
      <c r="BP96" s="94">
        <f>-(BP93-BO93)</f>
        <v>-35053</v>
      </c>
      <c r="BQ96" s="94">
        <f>-(BQ93-BP93)</f>
        <v>5298</v>
      </c>
      <c r="BR96" s="94">
        <f>-(BR93-BQ93)</f>
        <v>-10410</v>
      </c>
      <c r="BS96" s="95">
        <f>-(+BS93-BN93)</f>
        <v>88461</v>
      </c>
      <c r="BT96" s="94">
        <f>-(BT93-BS93)</f>
        <v>-194407</v>
      </c>
      <c r="BU96" s="94">
        <f>-(BU93-BT93)</f>
        <v>-94044</v>
      </c>
      <c r="BV96" s="94">
        <f>-(BV93-BU93)</f>
        <v>-74978</v>
      </c>
      <c r="BW96" s="94">
        <f>-(BW93-BV93)</f>
        <v>16993</v>
      </c>
      <c r="BX96" s="95">
        <f>-(+BX93-BS93)</f>
        <v>-346436</v>
      </c>
      <c r="BY96" s="94">
        <f>-(BY93-BX93)</f>
        <v>-459471</v>
      </c>
      <c r="BZ96" s="94">
        <f>-(BZ93-BY93)</f>
        <v>-236999</v>
      </c>
      <c r="CA96" s="94">
        <f>-(CA93-BZ93)</f>
        <v>-65071</v>
      </c>
      <c r="CB96" s="94">
        <f>-(CB93-CA93)</f>
        <v>40835</v>
      </c>
      <c r="CC96" s="95">
        <f>-(+CC93-BX93)</f>
        <v>-720706</v>
      </c>
      <c r="CD96" s="94">
        <f>-(CD93-CC93)</f>
        <v>-391437</v>
      </c>
      <c r="CE96" s="94">
        <f>-(CE93-CD93)</f>
        <v>-172960</v>
      </c>
      <c r="CF96" s="94">
        <f>-(CF93-CE93)</f>
        <v>-26907.062777470797</v>
      </c>
      <c r="CG96" s="94">
        <f>-(CG93-CF93)</f>
        <v>-59351.406572596636</v>
      </c>
      <c r="CH96" s="95">
        <f>-(+CH93-CC93)</f>
        <v>-650655.46935006743</v>
      </c>
      <c r="CI96" s="94">
        <f>-(CI93-CH93)</f>
        <v>-159603.07384511689</v>
      </c>
      <c r="CJ96" s="94">
        <f>-(CJ93-CI93)</f>
        <v>-188699.58874983201</v>
      </c>
      <c r="CK96" s="94">
        <f>-(CK93-CJ93)</f>
        <v>-173620.8398195738</v>
      </c>
      <c r="CL96" s="94">
        <f>-(CL93-CK93)</f>
        <v>-116305.27423652494</v>
      </c>
      <c r="CM96" s="95">
        <f>-(+CM93-CH93)</f>
        <v>-638228.77665104764</v>
      </c>
      <c r="CN96" s="94">
        <f>-(CN93-CM93)</f>
        <v>-117267.65499163792</v>
      </c>
      <c r="CO96" s="94">
        <f>-(CO93-CN93)</f>
        <v>-80135.159316479228</v>
      </c>
      <c r="CP96" s="94">
        <f>-(CP93-CO93)</f>
        <v>-79406.249097984284</v>
      </c>
      <c r="CQ96" s="94">
        <f>-(CQ93-CP93)</f>
        <v>-101575.86729310639</v>
      </c>
      <c r="CR96" s="95">
        <f>-(+CR93-CM93)</f>
        <v>-378384.93069920782</v>
      </c>
      <c r="CS96" s="94">
        <f>-(CS93-CR93)</f>
        <v>-91141.08322856063</v>
      </c>
      <c r="CT96" s="94">
        <f>-(CT93-CS93)</f>
        <v>-84545.485762611963</v>
      </c>
      <c r="CU96" s="94">
        <f>-(CU93-CT93)</f>
        <v>-77755.069307427853</v>
      </c>
      <c r="CV96" s="94">
        <f>-(CV93-CU93)</f>
        <v>-71234.089413997717</v>
      </c>
      <c r="CW96" s="95">
        <f>-(+CW93-CR93)</f>
        <v>-324675.72771259816</v>
      </c>
      <c r="CX96" s="94">
        <f>-(CX93-CW93)</f>
        <v>-68049.708631349262</v>
      </c>
      <c r="CY96" s="94">
        <f>-(CY93-CX93)</f>
        <v>-66909.41602184996</v>
      </c>
      <c r="CZ96" s="94">
        <f>-(CZ93-CY93)</f>
        <v>-63920.469500350766</v>
      </c>
      <c r="DA96" s="94">
        <f>-(DA93-CZ93)</f>
        <v>-60118.905253701843</v>
      </c>
      <c r="DB96" s="95">
        <f>-(+DB93-CW93)</f>
        <v>-258998.49940725183</v>
      </c>
    </row>
    <row r="97" spans="1:106" ht="11.5" customHeight="1" x14ac:dyDescent="0.35">
      <c r="A97" s="19" t="s">
        <v>231</v>
      </c>
      <c r="B97" s="92">
        <f t="shared" ref="B97:AE97" si="560">B9</f>
        <v>0</v>
      </c>
      <c r="C97" s="92">
        <f t="shared" si="560"/>
        <v>0</v>
      </c>
      <c r="D97" s="92">
        <f t="shared" si="560"/>
        <v>0</v>
      </c>
      <c r="E97" s="92">
        <f t="shared" si="560"/>
        <v>0</v>
      </c>
      <c r="F97" s="93">
        <f t="shared" si="560"/>
        <v>0</v>
      </c>
      <c r="G97" s="92">
        <f t="shared" si="560"/>
        <v>0</v>
      </c>
      <c r="H97" s="92">
        <f t="shared" si="560"/>
        <v>0</v>
      </c>
      <c r="I97" s="92">
        <f t="shared" si="560"/>
        <v>0</v>
      </c>
      <c r="J97" s="92">
        <f t="shared" si="560"/>
        <v>0</v>
      </c>
      <c r="K97" s="93">
        <f t="shared" si="560"/>
        <v>0</v>
      </c>
      <c r="L97" s="92">
        <f t="shared" si="560"/>
        <v>0</v>
      </c>
      <c r="M97" s="92">
        <f t="shared" si="560"/>
        <v>0</v>
      </c>
      <c r="N97" s="92">
        <f t="shared" si="560"/>
        <v>0</v>
      </c>
      <c r="O97" s="92">
        <f t="shared" si="560"/>
        <v>0</v>
      </c>
      <c r="P97" s="93">
        <f t="shared" si="560"/>
        <v>0</v>
      </c>
      <c r="Q97" s="92">
        <f t="shared" si="560"/>
        <v>0</v>
      </c>
      <c r="R97" s="92">
        <f t="shared" si="560"/>
        <v>0</v>
      </c>
      <c r="S97" s="92">
        <f t="shared" si="560"/>
        <v>0</v>
      </c>
      <c r="T97" s="92">
        <f t="shared" si="560"/>
        <v>0</v>
      </c>
      <c r="U97" s="93">
        <f t="shared" si="560"/>
        <v>0</v>
      </c>
      <c r="V97" s="92">
        <f t="shared" si="560"/>
        <v>0</v>
      </c>
      <c r="W97" s="92">
        <f t="shared" si="560"/>
        <v>0</v>
      </c>
      <c r="X97" s="92">
        <f t="shared" si="560"/>
        <v>0</v>
      </c>
      <c r="Y97" s="92">
        <f t="shared" si="560"/>
        <v>0</v>
      </c>
      <c r="Z97" s="93">
        <f t="shared" si="560"/>
        <v>0</v>
      </c>
      <c r="AA97" s="92">
        <f t="shared" si="560"/>
        <v>0</v>
      </c>
      <c r="AB97" s="92">
        <f t="shared" si="560"/>
        <v>0</v>
      </c>
      <c r="AC97" s="92">
        <f t="shared" si="560"/>
        <v>0</v>
      </c>
      <c r="AD97" s="92">
        <f t="shared" si="560"/>
        <v>0</v>
      </c>
      <c r="AE97" s="93">
        <f t="shared" si="560"/>
        <v>0</v>
      </c>
      <c r="AF97" s="92">
        <f t="shared" ref="AF97:AG97" si="561">AF9</f>
        <v>0</v>
      </c>
      <c r="AG97" s="92">
        <f t="shared" si="561"/>
        <v>0</v>
      </c>
      <c r="AH97" s="92">
        <f t="shared" ref="AH97:BM97" si="562">AH9</f>
        <v>0</v>
      </c>
      <c r="AI97" s="92">
        <f t="shared" si="562"/>
        <v>0</v>
      </c>
      <c r="AJ97" s="93">
        <f t="shared" si="562"/>
        <v>0</v>
      </c>
      <c r="AK97" s="92">
        <f t="shared" si="562"/>
        <v>0</v>
      </c>
      <c r="AL97" s="92">
        <f t="shared" si="562"/>
        <v>0</v>
      </c>
      <c r="AM97" s="92">
        <f t="shared" si="562"/>
        <v>0</v>
      </c>
      <c r="AN97" s="92">
        <f t="shared" si="562"/>
        <v>0</v>
      </c>
      <c r="AO97" s="93">
        <f t="shared" si="562"/>
        <v>0</v>
      </c>
      <c r="AP97" s="92">
        <f t="shared" si="562"/>
        <v>0</v>
      </c>
      <c r="AQ97" s="92">
        <f t="shared" si="562"/>
        <v>0</v>
      </c>
      <c r="AR97" s="92">
        <f t="shared" si="562"/>
        <v>0</v>
      </c>
      <c r="AS97" s="92">
        <f t="shared" si="562"/>
        <v>0</v>
      </c>
      <c r="AT97" s="93">
        <f t="shared" si="562"/>
        <v>0</v>
      </c>
      <c r="AU97" s="92">
        <f t="shared" si="562"/>
        <v>0</v>
      </c>
      <c r="AV97" s="92">
        <f t="shared" si="562"/>
        <v>0</v>
      </c>
      <c r="AW97" s="92">
        <f t="shared" si="562"/>
        <v>0</v>
      </c>
      <c r="AX97" s="92">
        <f t="shared" si="562"/>
        <v>0</v>
      </c>
      <c r="AY97" s="93">
        <f t="shared" si="562"/>
        <v>0</v>
      </c>
      <c r="AZ97" s="92">
        <f t="shared" si="562"/>
        <v>0</v>
      </c>
      <c r="BA97" s="92">
        <f t="shared" si="562"/>
        <v>0</v>
      </c>
      <c r="BB97" s="92">
        <f t="shared" si="562"/>
        <v>0</v>
      </c>
      <c r="BC97" s="92">
        <f t="shared" si="562"/>
        <v>0</v>
      </c>
      <c r="BD97" s="93">
        <f t="shared" si="562"/>
        <v>0</v>
      </c>
      <c r="BE97" s="92">
        <f t="shared" si="562"/>
        <v>0</v>
      </c>
      <c r="BF97" s="92">
        <f t="shared" si="562"/>
        <v>0</v>
      </c>
      <c r="BG97" s="92">
        <f t="shared" si="562"/>
        <v>0</v>
      </c>
      <c r="BH97" s="92">
        <f t="shared" si="562"/>
        <v>0</v>
      </c>
      <c r="BI97" s="93">
        <f t="shared" si="562"/>
        <v>0</v>
      </c>
      <c r="BJ97" s="92">
        <f t="shared" si="562"/>
        <v>0</v>
      </c>
      <c r="BK97" s="92">
        <f t="shared" si="562"/>
        <v>0</v>
      </c>
      <c r="BL97" s="92">
        <f t="shared" si="562"/>
        <v>0</v>
      </c>
      <c r="BM97" s="92">
        <f t="shared" si="562"/>
        <v>0</v>
      </c>
      <c r="BN97" s="93">
        <f t="shared" ref="BN97:CS97" si="563">BN9</f>
        <v>0</v>
      </c>
      <c r="BO97" s="92">
        <f t="shared" si="563"/>
        <v>0</v>
      </c>
      <c r="BP97" s="92">
        <f t="shared" si="563"/>
        <v>0</v>
      </c>
      <c r="BQ97" s="92">
        <f t="shared" si="563"/>
        <v>0</v>
      </c>
      <c r="BR97" s="92">
        <f t="shared" si="563"/>
        <v>0</v>
      </c>
      <c r="BS97" s="93">
        <f t="shared" si="563"/>
        <v>0</v>
      </c>
      <c r="BT97" s="92">
        <f t="shared" si="563"/>
        <v>0</v>
      </c>
      <c r="BU97" s="92">
        <f t="shared" si="563"/>
        <v>0</v>
      </c>
      <c r="BV97" s="92">
        <f t="shared" si="563"/>
        <v>0</v>
      </c>
      <c r="BW97" s="92">
        <f t="shared" si="563"/>
        <v>0</v>
      </c>
      <c r="BX97" s="93">
        <f t="shared" si="563"/>
        <v>0</v>
      </c>
      <c r="BY97" s="92">
        <f t="shared" si="563"/>
        <v>0</v>
      </c>
      <c r="BZ97" s="92">
        <f t="shared" ref="BZ97:CB97" si="564">BZ9</f>
        <v>0</v>
      </c>
      <c r="CA97" s="92">
        <f t="shared" si="564"/>
        <v>0</v>
      </c>
      <c r="CB97" s="92">
        <f t="shared" si="564"/>
        <v>0</v>
      </c>
      <c r="CC97" s="93">
        <f t="shared" si="563"/>
        <v>0</v>
      </c>
      <c r="CD97" s="92">
        <f t="shared" ref="CD97:CE97" si="565">CD9</f>
        <v>0</v>
      </c>
      <c r="CE97" s="92">
        <f t="shared" si="565"/>
        <v>0</v>
      </c>
      <c r="CF97" s="92">
        <f t="shared" si="563"/>
        <v>0</v>
      </c>
      <c r="CG97" s="92">
        <f t="shared" si="563"/>
        <v>0</v>
      </c>
      <c r="CH97" s="93">
        <f t="shared" si="563"/>
        <v>0</v>
      </c>
      <c r="CI97" s="92">
        <f t="shared" si="563"/>
        <v>0</v>
      </c>
      <c r="CJ97" s="92">
        <f t="shared" si="563"/>
        <v>0</v>
      </c>
      <c r="CK97" s="92">
        <f t="shared" si="563"/>
        <v>0</v>
      </c>
      <c r="CL97" s="92">
        <f t="shared" si="563"/>
        <v>0</v>
      </c>
      <c r="CM97" s="93">
        <f t="shared" si="563"/>
        <v>0</v>
      </c>
      <c r="CN97" s="92">
        <f t="shared" si="563"/>
        <v>0</v>
      </c>
      <c r="CO97" s="92">
        <f t="shared" si="563"/>
        <v>0</v>
      </c>
      <c r="CP97" s="92">
        <f t="shared" si="563"/>
        <v>0</v>
      </c>
      <c r="CQ97" s="92">
        <f t="shared" si="563"/>
        <v>0</v>
      </c>
      <c r="CR97" s="93">
        <f t="shared" si="563"/>
        <v>0</v>
      </c>
      <c r="CS97" s="92">
        <f t="shared" si="563"/>
        <v>0</v>
      </c>
      <c r="CT97" s="92">
        <f t="shared" ref="CT97:DB97" si="566">CT9</f>
        <v>0</v>
      </c>
      <c r="CU97" s="92">
        <f t="shared" si="566"/>
        <v>0</v>
      </c>
      <c r="CV97" s="92">
        <f t="shared" si="566"/>
        <v>0</v>
      </c>
      <c r="CW97" s="93">
        <f t="shared" si="566"/>
        <v>0</v>
      </c>
      <c r="CX97" s="92">
        <f t="shared" si="566"/>
        <v>0</v>
      </c>
      <c r="CY97" s="92">
        <f t="shared" si="566"/>
        <v>0</v>
      </c>
      <c r="CZ97" s="92">
        <f t="shared" si="566"/>
        <v>0</v>
      </c>
      <c r="DA97" s="92">
        <f t="shared" si="566"/>
        <v>0</v>
      </c>
      <c r="DB97" s="93">
        <f t="shared" si="566"/>
        <v>0</v>
      </c>
    </row>
    <row r="98" spans="1:106" ht="11.5" customHeight="1" x14ac:dyDescent="0.35">
      <c r="A98" s="149" t="s">
        <v>229</v>
      </c>
      <c r="B98" s="456" t="e">
        <f t="shared" ref="B98:AE98" si="567">365/(B$94/B97)</f>
        <v>#REF!</v>
      </c>
      <c r="C98" s="456" t="e">
        <f t="shared" si="567"/>
        <v>#REF!</v>
      </c>
      <c r="D98" s="456" t="e">
        <f t="shared" si="567"/>
        <v>#REF!</v>
      </c>
      <c r="E98" s="456" t="e">
        <f t="shared" si="567"/>
        <v>#DIV/0!</v>
      </c>
      <c r="F98" s="457" t="e">
        <f t="shared" si="567"/>
        <v>#DIV/0!</v>
      </c>
      <c r="G98" s="456" t="e">
        <f t="shared" si="567"/>
        <v>#DIV/0!</v>
      </c>
      <c r="H98" s="456" t="e">
        <f t="shared" si="567"/>
        <v>#DIV/0!</v>
      </c>
      <c r="I98" s="456" t="e">
        <f t="shared" si="567"/>
        <v>#DIV/0!</v>
      </c>
      <c r="J98" s="456" t="e">
        <f t="shared" si="567"/>
        <v>#DIV/0!</v>
      </c>
      <c r="K98" s="457" t="e">
        <f t="shared" si="567"/>
        <v>#DIV/0!</v>
      </c>
      <c r="L98" s="456" t="e">
        <f t="shared" si="567"/>
        <v>#DIV/0!</v>
      </c>
      <c r="M98" s="456" t="e">
        <f t="shared" si="567"/>
        <v>#DIV/0!</v>
      </c>
      <c r="N98" s="456" t="e">
        <f t="shared" si="567"/>
        <v>#DIV/0!</v>
      </c>
      <c r="O98" s="456" t="e">
        <f t="shared" si="567"/>
        <v>#DIV/0!</v>
      </c>
      <c r="P98" s="457" t="e">
        <f t="shared" si="567"/>
        <v>#DIV/0!</v>
      </c>
      <c r="Q98" s="456" t="e">
        <f t="shared" si="567"/>
        <v>#DIV/0!</v>
      </c>
      <c r="R98" s="456" t="e">
        <f t="shared" si="567"/>
        <v>#DIV/0!</v>
      </c>
      <c r="S98" s="456" t="e">
        <f t="shared" si="567"/>
        <v>#DIV/0!</v>
      </c>
      <c r="T98" s="456" t="e">
        <f t="shared" si="567"/>
        <v>#DIV/0!</v>
      </c>
      <c r="U98" s="457" t="e">
        <f t="shared" si="567"/>
        <v>#DIV/0!</v>
      </c>
      <c r="V98" s="456" t="e">
        <f t="shared" si="567"/>
        <v>#DIV/0!</v>
      </c>
      <c r="W98" s="456" t="e">
        <f t="shared" si="567"/>
        <v>#DIV/0!</v>
      </c>
      <c r="X98" s="456" t="e">
        <f t="shared" si="567"/>
        <v>#DIV/0!</v>
      </c>
      <c r="Y98" s="456" t="e">
        <f t="shared" si="567"/>
        <v>#DIV/0!</v>
      </c>
      <c r="Z98" s="457" t="e">
        <f t="shared" si="567"/>
        <v>#DIV/0!</v>
      </c>
      <c r="AA98" s="456" t="e">
        <f t="shared" si="567"/>
        <v>#DIV/0!</v>
      </c>
      <c r="AB98" s="456" t="e">
        <f t="shared" si="567"/>
        <v>#DIV/0!</v>
      </c>
      <c r="AC98" s="456" t="e">
        <f t="shared" si="567"/>
        <v>#DIV/0!</v>
      </c>
      <c r="AD98" s="456" t="e">
        <f t="shared" si="567"/>
        <v>#DIV/0!</v>
      </c>
      <c r="AE98" s="457" t="e">
        <f t="shared" si="567"/>
        <v>#DIV/0!</v>
      </c>
      <c r="AF98" s="456" t="e">
        <f t="shared" ref="AF98:AG98" si="568">365/(AF$94/AF97)</f>
        <v>#DIV/0!</v>
      </c>
      <c r="AG98" s="456" t="e">
        <f t="shared" si="568"/>
        <v>#DIV/0!</v>
      </c>
      <c r="AH98" s="456" t="e">
        <f t="shared" ref="AH98:BM98" si="569">365/(AH$94/AH97)</f>
        <v>#DIV/0!</v>
      </c>
      <c r="AI98" s="456" t="e">
        <f t="shared" si="569"/>
        <v>#DIV/0!</v>
      </c>
      <c r="AJ98" s="457" t="e">
        <f t="shared" si="569"/>
        <v>#DIV/0!</v>
      </c>
      <c r="AK98" s="456" t="e">
        <f t="shared" si="569"/>
        <v>#DIV/0!</v>
      </c>
      <c r="AL98" s="456" t="e">
        <f t="shared" si="569"/>
        <v>#DIV/0!</v>
      </c>
      <c r="AM98" s="456" t="e">
        <f t="shared" si="569"/>
        <v>#DIV/0!</v>
      </c>
      <c r="AN98" s="456" t="e">
        <f t="shared" si="569"/>
        <v>#DIV/0!</v>
      </c>
      <c r="AO98" s="457" t="e">
        <f t="shared" si="569"/>
        <v>#DIV/0!</v>
      </c>
      <c r="AP98" s="456" t="e">
        <f t="shared" si="569"/>
        <v>#DIV/0!</v>
      </c>
      <c r="AQ98" s="456" t="e">
        <f t="shared" si="569"/>
        <v>#DIV/0!</v>
      </c>
      <c r="AR98" s="456" t="e">
        <f t="shared" si="569"/>
        <v>#DIV/0!</v>
      </c>
      <c r="AS98" s="456" t="e">
        <f t="shared" si="569"/>
        <v>#DIV/0!</v>
      </c>
      <c r="AT98" s="457" t="e">
        <f t="shared" si="569"/>
        <v>#DIV/0!</v>
      </c>
      <c r="AU98" s="456" t="e">
        <f t="shared" si="569"/>
        <v>#DIV/0!</v>
      </c>
      <c r="AV98" s="456" t="e">
        <f t="shared" si="569"/>
        <v>#DIV/0!</v>
      </c>
      <c r="AW98" s="456" t="e">
        <f t="shared" si="569"/>
        <v>#DIV/0!</v>
      </c>
      <c r="AX98" s="456" t="e">
        <f t="shared" si="569"/>
        <v>#DIV/0!</v>
      </c>
      <c r="AY98" s="457" t="e">
        <f t="shared" si="569"/>
        <v>#DIV/0!</v>
      </c>
      <c r="AZ98" s="456" t="e">
        <f t="shared" si="569"/>
        <v>#DIV/0!</v>
      </c>
      <c r="BA98" s="456" t="e">
        <f t="shared" si="569"/>
        <v>#DIV/0!</v>
      </c>
      <c r="BB98" s="456" t="e">
        <f t="shared" si="569"/>
        <v>#DIV/0!</v>
      </c>
      <c r="BC98" s="456" t="e">
        <f t="shared" si="569"/>
        <v>#DIV/0!</v>
      </c>
      <c r="BD98" s="457" t="e">
        <f t="shared" si="569"/>
        <v>#DIV/0!</v>
      </c>
      <c r="BE98" s="456" t="e">
        <f t="shared" si="569"/>
        <v>#DIV/0!</v>
      </c>
      <c r="BF98" s="456" t="e">
        <f t="shared" si="569"/>
        <v>#DIV/0!</v>
      </c>
      <c r="BG98" s="456" t="e">
        <f t="shared" si="569"/>
        <v>#DIV/0!</v>
      </c>
      <c r="BH98" s="456" t="e">
        <f t="shared" si="569"/>
        <v>#DIV/0!</v>
      </c>
      <c r="BI98" s="457" t="e">
        <f t="shared" si="569"/>
        <v>#DIV/0!</v>
      </c>
      <c r="BJ98" s="456" t="e">
        <f t="shared" si="569"/>
        <v>#DIV/0!</v>
      </c>
      <c r="BK98" s="456" t="e">
        <f t="shared" si="569"/>
        <v>#DIV/0!</v>
      </c>
      <c r="BL98" s="456" t="e">
        <f t="shared" si="569"/>
        <v>#DIV/0!</v>
      </c>
      <c r="BM98" s="456" t="e">
        <f t="shared" si="569"/>
        <v>#DIV/0!</v>
      </c>
      <c r="BN98" s="457" t="e">
        <f t="shared" ref="BN98:CS98" si="570">365/(BN$94/BN97)</f>
        <v>#DIV/0!</v>
      </c>
      <c r="BO98" s="456" t="e">
        <f t="shared" si="570"/>
        <v>#DIV/0!</v>
      </c>
      <c r="BP98" s="456" t="e">
        <f t="shared" si="570"/>
        <v>#DIV/0!</v>
      </c>
      <c r="BQ98" s="456" t="e">
        <f t="shared" si="570"/>
        <v>#DIV/0!</v>
      </c>
      <c r="BR98" s="456" t="e">
        <f t="shared" si="570"/>
        <v>#DIV/0!</v>
      </c>
      <c r="BS98" s="457" t="e">
        <f t="shared" si="570"/>
        <v>#DIV/0!</v>
      </c>
      <c r="BT98" s="456" t="e">
        <f t="shared" si="570"/>
        <v>#DIV/0!</v>
      </c>
      <c r="BU98" s="456" t="e">
        <f t="shared" si="570"/>
        <v>#DIV/0!</v>
      </c>
      <c r="BV98" s="456" t="e">
        <f t="shared" si="570"/>
        <v>#DIV/0!</v>
      </c>
      <c r="BW98" s="456" t="e">
        <f t="shared" si="570"/>
        <v>#DIV/0!</v>
      </c>
      <c r="BX98" s="457" t="e">
        <f t="shared" si="570"/>
        <v>#DIV/0!</v>
      </c>
      <c r="BY98" s="456" t="e">
        <f t="shared" si="570"/>
        <v>#DIV/0!</v>
      </c>
      <c r="BZ98" s="456" t="e">
        <f t="shared" ref="BZ98:CB98" si="571">365/(BZ$94/BZ97)</f>
        <v>#DIV/0!</v>
      </c>
      <c r="CA98" s="456" t="e">
        <f t="shared" si="571"/>
        <v>#DIV/0!</v>
      </c>
      <c r="CB98" s="456" t="e">
        <f t="shared" si="571"/>
        <v>#DIV/0!</v>
      </c>
      <c r="CC98" s="457" t="e">
        <f t="shared" si="570"/>
        <v>#DIV/0!</v>
      </c>
      <c r="CD98" s="456" t="e">
        <f t="shared" ref="CD98:CE98" si="572">365/(CD$94/CD97)</f>
        <v>#DIV/0!</v>
      </c>
      <c r="CE98" s="456" t="e">
        <f t="shared" si="572"/>
        <v>#DIV/0!</v>
      </c>
      <c r="CF98" s="456" t="e">
        <f t="shared" si="570"/>
        <v>#DIV/0!</v>
      </c>
      <c r="CG98" s="456" t="e">
        <f t="shared" si="570"/>
        <v>#DIV/0!</v>
      </c>
      <c r="CH98" s="457" t="e">
        <f t="shared" si="570"/>
        <v>#DIV/0!</v>
      </c>
      <c r="CI98" s="456" t="e">
        <f t="shared" si="570"/>
        <v>#DIV/0!</v>
      </c>
      <c r="CJ98" s="456" t="e">
        <f t="shared" si="570"/>
        <v>#DIV/0!</v>
      </c>
      <c r="CK98" s="456" t="e">
        <f t="shared" si="570"/>
        <v>#DIV/0!</v>
      </c>
      <c r="CL98" s="456" t="e">
        <f t="shared" si="570"/>
        <v>#DIV/0!</v>
      </c>
      <c r="CM98" s="457" t="e">
        <f t="shared" si="570"/>
        <v>#DIV/0!</v>
      </c>
      <c r="CN98" s="456" t="e">
        <f t="shared" si="570"/>
        <v>#DIV/0!</v>
      </c>
      <c r="CO98" s="456" t="e">
        <f t="shared" si="570"/>
        <v>#DIV/0!</v>
      </c>
      <c r="CP98" s="456" t="e">
        <f t="shared" si="570"/>
        <v>#DIV/0!</v>
      </c>
      <c r="CQ98" s="456" t="e">
        <f t="shared" si="570"/>
        <v>#DIV/0!</v>
      </c>
      <c r="CR98" s="457" t="e">
        <f t="shared" si="570"/>
        <v>#DIV/0!</v>
      </c>
      <c r="CS98" s="456" t="e">
        <f t="shared" si="570"/>
        <v>#DIV/0!</v>
      </c>
      <c r="CT98" s="456" t="e">
        <f t="shared" ref="CT98:DB98" si="573">365/(CT$94/CT97)</f>
        <v>#DIV/0!</v>
      </c>
      <c r="CU98" s="456" t="e">
        <f t="shared" si="573"/>
        <v>#DIV/0!</v>
      </c>
      <c r="CV98" s="456" t="e">
        <f t="shared" si="573"/>
        <v>#DIV/0!</v>
      </c>
      <c r="CW98" s="457" t="e">
        <f t="shared" si="573"/>
        <v>#DIV/0!</v>
      </c>
      <c r="CX98" s="456" t="e">
        <f t="shared" si="573"/>
        <v>#DIV/0!</v>
      </c>
      <c r="CY98" s="456" t="e">
        <f t="shared" si="573"/>
        <v>#DIV/0!</v>
      </c>
      <c r="CZ98" s="456" t="e">
        <f t="shared" si="573"/>
        <v>#DIV/0!</v>
      </c>
      <c r="DA98" s="456" t="e">
        <f t="shared" si="573"/>
        <v>#DIV/0!</v>
      </c>
      <c r="DB98" s="457" t="e">
        <f t="shared" si="573"/>
        <v>#DIV/0!</v>
      </c>
    </row>
    <row r="99" spans="1:106" ht="11.5" customHeight="1" x14ac:dyDescent="0.35">
      <c r="A99" s="19" t="s">
        <v>230</v>
      </c>
      <c r="B99" s="92">
        <f t="shared" ref="B99:AE99" si="574">B10</f>
        <v>0</v>
      </c>
      <c r="C99" s="92">
        <f t="shared" si="574"/>
        <v>0</v>
      </c>
      <c r="D99" s="92">
        <f t="shared" si="574"/>
        <v>0</v>
      </c>
      <c r="E99" s="92">
        <f t="shared" si="574"/>
        <v>0</v>
      </c>
      <c r="F99" s="93">
        <f t="shared" si="574"/>
        <v>0</v>
      </c>
      <c r="G99" s="92">
        <f t="shared" si="574"/>
        <v>0</v>
      </c>
      <c r="H99" s="92">
        <f t="shared" si="574"/>
        <v>0</v>
      </c>
      <c r="I99" s="92">
        <f t="shared" si="574"/>
        <v>0</v>
      </c>
      <c r="J99" s="92">
        <f t="shared" si="574"/>
        <v>0</v>
      </c>
      <c r="K99" s="93">
        <f t="shared" si="574"/>
        <v>0</v>
      </c>
      <c r="L99" s="92">
        <f t="shared" si="574"/>
        <v>0</v>
      </c>
      <c r="M99" s="92">
        <f t="shared" si="574"/>
        <v>0</v>
      </c>
      <c r="N99" s="92">
        <f t="shared" si="574"/>
        <v>0</v>
      </c>
      <c r="O99" s="92">
        <f t="shared" si="574"/>
        <v>0</v>
      </c>
      <c r="P99" s="93">
        <f t="shared" si="574"/>
        <v>0</v>
      </c>
      <c r="Q99" s="92">
        <f t="shared" si="574"/>
        <v>0</v>
      </c>
      <c r="R99" s="92">
        <f t="shared" si="574"/>
        <v>0</v>
      </c>
      <c r="S99" s="92">
        <f t="shared" si="574"/>
        <v>0</v>
      </c>
      <c r="T99" s="92">
        <f t="shared" si="574"/>
        <v>0</v>
      </c>
      <c r="U99" s="93">
        <f t="shared" si="574"/>
        <v>0</v>
      </c>
      <c r="V99" s="92">
        <f t="shared" si="574"/>
        <v>0</v>
      </c>
      <c r="W99" s="92">
        <f t="shared" si="574"/>
        <v>0</v>
      </c>
      <c r="X99" s="92">
        <f t="shared" si="574"/>
        <v>0</v>
      </c>
      <c r="Y99" s="92">
        <f t="shared" si="574"/>
        <v>0</v>
      </c>
      <c r="Z99" s="93">
        <f t="shared" si="574"/>
        <v>0</v>
      </c>
      <c r="AA99" s="92">
        <f t="shared" si="574"/>
        <v>0</v>
      </c>
      <c r="AB99" s="92">
        <f t="shared" si="574"/>
        <v>0</v>
      </c>
      <c r="AC99" s="92">
        <f t="shared" si="574"/>
        <v>0</v>
      </c>
      <c r="AD99" s="92">
        <f t="shared" si="574"/>
        <v>0</v>
      </c>
      <c r="AE99" s="93">
        <f t="shared" si="574"/>
        <v>0</v>
      </c>
      <c r="AF99" s="92">
        <f t="shared" ref="AF99:AG99" si="575">AF10</f>
        <v>0</v>
      </c>
      <c r="AG99" s="92">
        <f t="shared" si="575"/>
        <v>0</v>
      </c>
      <c r="AH99" s="92">
        <f t="shared" ref="AH99:BM99" si="576">AH10</f>
        <v>0</v>
      </c>
      <c r="AI99" s="92">
        <f t="shared" si="576"/>
        <v>0</v>
      </c>
      <c r="AJ99" s="93">
        <f t="shared" si="576"/>
        <v>0</v>
      </c>
      <c r="AK99" s="92">
        <f t="shared" si="576"/>
        <v>802877</v>
      </c>
      <c r="AL99" s="92">
        <f t="shared" si="576"/>
        <v>825558</v>
      </c>
      <c r="AM99" s="92">
        <f t="shared" si="576"/>
        <v>883567</v>
      </c>
      <c r="AN99" s="92">
        <f t="shared" si="576"/>
        <v>765298</v>
      </c>
      <c r="AO99" s="93">
        <f t="shared" si="576"/>
        <v>765298</v>
      </c>
      <c r="AP99" s="92">
        <f t="shared" si="576"/>
        <v>680771</v>
      </c>
      <c r="AQ99" s="92">
        <f t="shared" si="576"/>
        <v>760173</v>
      </c>
      <c r="AR99" s="92">
        <f t="shared" si="576"/>
        <v>734956</v>
      </c>
      <c r="AS99" s="92">
        <f t="shared" si="576"/>
        <v>557065</v>
      </c>
      <c r="AT99" s="93">
        <f t="shared" si="576"/>
        <v>557065</v>
      </c>
      <c r="AU99" s="92">
        <f t="shared" si="576"/>
        <v>543697</v>
      </c>
      <c r="AV99" s="92">
        <f t="shared" si="576"/>
        <v>592779</v>
      </c>
      <c r="AW99" s="92">
        <f t="shared" si="576"/>
        <v>685769</v>
      </c>
      <c r="AX99" s="92">
        <f t="shared" si="576"/>
        <v>556863</v>
      </c>
      <c r="AY99" s="93">
        <f t="shared" si="576"/>
        <v>556863</v>
      </c>
      <c r="AZ99" s="92">
        <f t="shared" si="576"/>
        <v>527013</v>
      </c>
      <c r="BA99" s="92">
        <f t="shared" si="576"/>
        <v>594707</v>
      </c>
      <c r="BB99" s="92">
        <f t="shared" si="576"/>
        <v>745284</v>
      </c>
      <c r="BC99" s="92">
        <f t="shared" si="576"/>
        <v>713804</v>
      </c>
      <c r="BD99" s="93">
        <f t="shared" si="576"/>
        <v>713804</v>
      </c>
      <c r="BE99" s="92">
        <f t="shared" si="576"/>
        <v>866972</v>
      </c>
      <c r="BF99" s="92">
        <f t="shared" si="576"/>
        <v>974152</v>
      </c>
      <c r="BG99" s="92">
        <f t="shared" si="576"/>
        <v>1025135</v>
      </c>
      <c r="BH99" s="92">
        <f t="shared" si="576"/>
        <v>1186992</v>
      </c>
      <c r="BI99" s="93">
        <f t="shared" si="576"/>
        <v>1186992</v>
      </c>
      <c r="BJ99" s="92">
        <f t="shared" si="576"/>
        <v>1549111</v>
      </c>
      <c r="BK99" s="92">
        <f t="shared" si="576"/>
        <v>1482423</v>
      </c>
      <c r="BL99" s="92">
        <f t="shared" si="576"/>
        <v>1335180</v>
      </c>
      <c r="BM99" s="92">
        <f t="shared" si="576"/>
        <v>1128332</v>
      </c>
      <c r="BN99" s="93">
        <f t="shared" ref="BN99:BY99" si="577">BN10</f>
        <v>1128332</v>
      </c>
      <c r="BO99" s="92">
        <f t="shared" si="577"/>
        <v>998907</v>
      </c>
      <c r="BP99" s="92">
        <f t="shared" si="577"/>
        <v>1032846</v>
      </c>
      <c r="BQ99" s="92">
        <f t="shared" si="577"/>
        <v>1080391</v>
      </c>
      <c r="BR99" s="92">
        <f t="shared" si="577"/>
        <v>1090801</v>
      </c>
      <c r="BS99" s="93">
        <f t="shared" si="577"/>
        <v>1090801</v>
      </c>
      <c r="BT99" s="92">
        <f t="shared" si="577"/>
        <v>1285208</v>
      </c>
      <c r="BU99" s="92">
        <f t="shared" si="577"/>
        <v>1379252</v>
      </c>
      <c r="BV99" s="92">
        <f t="shared" si="577"/>
        <v>1454230</v>
      </c>
      <c r="BW99" s="92">
        <f t="shared" si="577"/>
        <v>1437237</v>
      </c>
      <c r="BX99" s="93">
        <f t="shared" si="577"/>
        <v>1437237</v>
      </c>
      <c r="BY99" s="92">
        <f t="shared" si="577"/>
        <v>1896708</v>
      </c>
      <c r="BZ99" s="92">
        <f t="shared" ref="BZ99:CB99" si="578">BZ10</f>
        <v>2133707</v>
      </c>
      <c r="CA99" s="92">
        <f t="shared" si="578"/>
        <v>2198778</v>
      </c>
      <c r="CB99" s="92">
        <f t="shared" si="578"/>
        <v>2157943</v>
      </c>
      <c r="CC99" s="93">
        <f>CC10</f>
        <v>2157943</v>
      </c>
      <c r="CD99" s="92">
        <f t="shared" ref="CD99:CE99" si="579">CD10</f>
        <v>2549380</v>
      </c>
      <c r="CE99" s="92">
        <f t="shared" si="579"/>
        <v>2722340</v>
      </c>
      <c r="CF99" s="92">
        <f>CF100*CF94/365</f>
        <v>2749247.0627774708</v>
      </c>
      <c r="CG99" s="92">
        <f>CG100*CG94/365</f>
        <v>2808598.4693500674</v>
      </c>
      <c r="CH99" s="93">
        <f>CH10</f>
        <v>2808598.4693500674</v>
      </c>
      <c r="CI99" s="92">
        <f>CI100*CI94/365</f>
        <v>2968201.5431951843</v>
      </c>
      <c r="CJ99" s="92">
        <f>CJ100*CJ94/365</f>
        <v>3156901.1319450163</v>
      </c>
      <c r="CK99" s="92">
        <f>CK100*CK94/365</f>
        <v>3330521.9717645901</v>
      </c>
      <c r="CL99" s="92">
        <f>CL100*CL94/365</f>
        <v>3446827.2460011151</v>
      </c>
      <c r="CM99" s="93">
        <f>CM10</f>
        <v>3446827.2460011151</v>
      </c>
      <c r="CN99" s="92">
        <f>CN100*CN94/365</f>
        <v>3564094.900992753</v>
      </c>
      <c r="CO99" s="92">
        <f>CO100*CO94/365</f>
        <v>3644230.0603092322</v>
      </c>
      <c r="CP99" s="92">
        <f>CP100*CP94/365</f>
        <v>3723636.3094072165</v>
      </c>
      <c r="CQ99" s="92">
        <f>CQ100*CQ94/365</f>
        <v>3825212.1767003229</v>
      </c>
      <c r="CR99" s="93">
        <f>CR10</f>
        <v>3825212.1767003229</v>
      </c>
      <c r="CS99" s="92">
        <f>CS100*CS94/365</f>
        <v>3916353.2599288835</v>
      </c>
      <c r="CT99" s="92">
        <f>CT100*CT94/365</f>
        <v>4000898.7456914955</v>
      </c>
      <c r="CU99" s="92">
        <f>CU100*CU94/365</f>
        <v>4078653.8149989233</v>
      </c>
      <c r="CV99" s="92">
        <f>CV100*CV94/365</f>
        <v>4149887.9044129211</v>
      </c>
      <c r="CW99" s="93">
        <f>CW10</f>
        <v>4149887.9044129211</v>
      </c>
      <c r="CX99" s="92">
        <f>CX100*CX94/365</f>
        <v>4217937.6130442703</v>
      </c>
      <c r="CY99" s="92">
        <f>CY100*CY94/365</f>
        <v>4284847.0290661203</v>
      </c>
      <c r="CZ99" s="92">
        <f>CZ100*CZ94/365</f>
        <v>4348767.498566471</v>
      </c>
      <c r="DA99" s="92">
        <f>DA100*DA94/365</f>
        <v>4408886.4038201729</v>
      </c>
      <c r="DB99" s="93">
        <f>DB10</f>
        <v>4408886.4038201729</v>
      </c>
    </row>
    <row r="100" spans="1:106" ht="11.5" customHeight="1" x14ac:dyDescent="0.35">
      <c r="A100" s="192" t="s">
        <v>232</v>
      </c>
      <c r="B100" s="458" t="e">
        <f t="shared" ref="B100:AE100" si="580">365/(B$94/B99)</f>
        <v>#REF!</v>
      </c>
      <c r="C100" s="458" t="e">
        <f t="shared" si="580"/>
        <v>#REF!</v>
      </c>
      <c r="D100" s="458" t="e">
        <f t="shared" si="580"/>
        <v>#REF!</v>
      </c>
      <c r="E100" s="458" t="e">
        <f t="shared" si="580"/>
        <v>#DIV/0!</v>
      </c>
      <c r="F100" s="459" t="e">
        <f t="shared" si="580"/>
        <v>#DIV/0!</v>
      </c>
      <c r="G100" s="458" t="e">
        <f t="shared" si="580"/>
        <v>#DIV/0!</v>
      </c>
      <c r="H100" s="458" t="e">
        <f t="shared" si="580"/>
        <v>#DIV/0!</v>
      </c>
      <c r="I100" s="458" t="e">
        <f t="shared" si="580"/>
        <v>#DIV/0!</v>
      </c>
      <c r="J100" s="458" t="e">
        <f t="shared" si="580"/>
        <v>#DIV/0!</v>
      </c>
      <c r="K100" s="459" t="e">
        <f t="shared" si="580"/>
        <v>#DIV/0!</v>
      </c>
      <c r="L100" s="458" t="e">
        <f t="shared" si="580"/>
        <v>#DIV/0!</v>
      </c>
      <c r="M100" s="458" t="e">
        <f t="shared" si="580"/>
        <v>#DIV/0!</v>
      </c>
      <c r="N100" s="458" t="e">
        <f t="shared" si="580"/>
        <v>#DIV/0!</v>
      </c>
      <c r="O100" s="458" t="e">
        <f t="shared" si="580"/>
        <v>#DIV/0!</v>
      </c>
      <c r="P100" s="459" t="e">
        <f t="shared" si="580"/>
        <v>#DIV/0!</v>
      </c>
      <c r="Q100" s="458" t="e">
        <f t="shared" si="580"/>
        <v>#DIV/0!</v>
      </c>
      <c r="R100" s="458" t="e">
        <f t="shared" si="580"/>
        <v>#DIV/0!</v>
      </c>
      <c r="S100" s="458" t="e">
        <f t="shared" si="580"/>
        <v>#DIV/0!</v>
      </c>
      <c r="T100" s="458" t="e">
        <f t="shared" si="580"/>
        <v>#DIV/0!</v>
      </c>
      <c r="U100" s="459" t="e">
        <f t="shared" si="580"/>
        <v>#DIV/0!</v>
      </c>
      <c r="V100" s="458" t="e">
        <f t="shared" si="580"/>
        <v>#DIV/0!</v>
      </c>
      <c r="W100" s="458" t="e">
        <f t="shared" si="580"/>
        <v>#DIV/0!</v>
      </c>
      <c r="X100" s="458" t="e">
        <f t="shared" si="580"/>
        <v>#DIV/0!</v>
      </c>
      <c r="Y100" s="458" t="e">
        <f t="shared" si="580"/>
        <v>#DIV/0!</v>
      </c>
      <c r="Z100" s="459" t="e">
        <f t="shared" si="580"/>
        <v>#DIV/0!</v>
      </c>
      <c r="AA100" s="458" t="e">
        <f t="shared" si="580"/>
        <v>#DIV/0!</v>
      </c>
      <c r="AB100" s="458" t="e">
        <f t="shared" si="580"/>
        <v>#DIV/0!</v>
      </c>
      <c r="AC100" s="458" t="e">
        <f t="shared" si="580"/>
        <v>#DIV/0!</v>
      </c>
      <c r="AD100" s="458" t="e">
        <f t="shared" si="580"/>
        <v>#DIV/0!</v>
      </c>
      <c r="AE100" s="459" t="e">
        <f t="shared" si="580"/>
        <v>#DIV/0!</v>
      </c>
      <c r="AF100" s="458" t="e">
        <f t="shared" ref="AF100:AG100" si="581">365/(AF$94/AF99)</f>
        <v>#DIV/0!</v>
      </c>
      <c r="AG100" s="458" t="e">
        <f t="shared" si="581"/>
        <v>#DIV/0!</v>
      </c>
      <c r="AH100" s="458" t="e">
        <f t="shared" ref="AH100:BM100" si="582">365/(AH$94/AH99)</f>
        <v>#DIV/0!</v>
      </c>
      <c r="AI100" s="458" t="e">
        <f t="shared" si="582"/>
        <v>#DIV/0!</v>
      </c>
      <c r="AJ100" s="459" t="e">
        <f t="shared" si="582"/>
        <v>#DIV/0!</v>
      </c>
      <c r="AK100" s="458">
        <f t="shared" si="582"/>
        <v>1762.2994990392599</v>
      </c>
      <c r="AL100" s="458">
        <f t="shared" si="582"/>
        <v>804.72909755481237</v>
      </c>
      <c r="AM100" s="458">
        <f t="shared" si="582"/>
        <v>545.42350485690258</v>
      </c>
      <c r="AN100" s="458">
        <f t="shared" si="582"/>
        <v>342.99985936741228</v>
      </c>
      <c r="AO100" s="459">
        <f t="shared" si="582"/>
        <v>342.99985936741228</v>
      </c>
      <c r="AP100" s="458">
        <f t="shared" si="582"/>
        <v>311.98118693844816</v>
      </c>
      <c r="AQ100" s="458">
        <f t="shared" si="582"/>
        <v>338.25739087069326</v>
      </c>
      <c r="AR100" s="458">
        <f t="shared" si="582"/>
        <v>309.50296746747523</v>
      </c>
      <c r="AS100" s="458">
        <f t="shared" si="582"/>
        <v>220.94860370951525</v>
      </c>
      <c r="AT100" s="459">
        <f t="shared" si="582"/>
        <v>220.94860370951525</v>
      </c>
      <c r="AU100" s="458">
        <f t="shared" si="582"/>
        <v>206.66286898771367</v>
      </c>
      <c r="AV100" s="458">
        <f t="shared" si="582"/>
        <v>217.22859482218749</v>
      </c>
      <c r="AW100" s="458">
        <f t="shared" si="582"/>
        <v>251.75664059239884</v>
      </c>
      <c r="AX100" s="458">
        <f t="shared" si="582"/>
        <v>199.41095011464009</v>
      </c>
      <c r="AY100" s="459">
        <f t="shared" si="582"/>
        <v>199.41095011464009</v>
      </c>
      <c r="AZ100" s="458">
        <f t="shared" si="582"/>
        <v>181.77533102507212</v>
      </c>
      <c r="BA100" s="458">
        <f t="shared" si="582"/>
        <v>209.38387612990849</v>
      </c>
      <c r="BB100" s="458">
        <f t="shared" si="582"/>
        <v>247.05801255503727</v>
      </c>
      <c r="BC100" s="458">
        <f t="shared" si="582"/>
        <v>227.60771987329233</v>
      </c>
      <c r="BD100" s="459">
        <f t="shared" si="582"/>
        <v>227.60771987329233</v>
      </c>
      <c r="BE100" s="458">
        <f t="shared" si="582"/>
        <v>251.81676318011341</v>
      </c>
      <c r="BF100" s="458">
        <f t="shared" si="582"/>
        <v>243.24144536113505</v>
      </c>
      <c r="BG100" s="458">
        <f t="shared" si="582"/>
        <v>234.98508790880294</v>
      </c>
      <c r="BH100" s="458">
        <f t="shared" si="582"/>
        <v>249.23967450864211</v>
      </c>
      <c r="BI100" s="459">
        <f t="shared" si="582"/>
        <v>249.23967450864211</v>
      </c>
      <c r="BJ100" s="458">
        <f t="shared" si="582"/>
        <v>306.23414264537746</v>
      </c>
      <c r="BK100" s="458">
        <f t="shared" si="582"/>
        <v>270.83619018444523</v>
      </c>
      <c r="BL100" s="458">
        <f t="shared" si="582"/>
        <v>224.78410213100409</v>
      </c>
      <c r="BM100" s="458">
        <f t="shared" si="582"/>
        <v>182.44906511956353</v>
      </c>
      <c r="BN100" s="459">
        <f t="shared" ref="BN100:BY100" si="583">365/(BN$94/BN99)</f>
        <v>182.44906511956353</v>
      </c>
      <c r="BO100" s="458">
        <f t="shared" si="583"/>
        <v>151.60908712133184</v>
      </c>
      <c r="BP100" s="458">
        <f t="shared" si="583"/>
        <v>149.01690977172856</v>
      </c>
      <c r="BQ100" s="458">
        <f t="shared" si="583"/>
        <v>148.52530871311845</v>
      </c>
      <c r="BR100" s="458">
        <f t="shared" si="583"/>
        <v>137.948245981182</v>
      </c>
      <c r="BS100" s="459">
        <f t="shared" si="583"/>
        <v>137.948245981182</v>
      </c>
      <c r="BT100" s="458">
        <f t="shared" si="583"/>
        <v>149.9396598732084</v>
      </c>
      <c r="BU100" s="458">
        <f t="shared" si="583"/>
        <v>148.11306593796826</v>
      </c>
      <c r="BV100" s="458">
        <f t="shared" si="583"/>
        <v>143.34411757160197</v>
      </c>
      <c r="BW100" s="458">
        <f t="shared" si="583"/>
        <v>133.60929345874371</v>
      </c>
      <c r="BX100" s="459">
        <f t="shared" si="583"/>
        <v>133.60929345874371</v>
      </c>
      <c r="BY100" s="458">
        <f t="shared" si="583"/>
        <v>160.80845748031641</v>
      </c>
      <c r="BZ100" s="458">
        <f t="shared" ref="BZ100:CB100" si="584">365/(BZ$94/BZ99)</f>
        <v>167.35402780541452</v>
      </c>
      <c r="CA100" s="458">
        <f t="shared" si="584"/>
        <v>103.89309064849007</v>
      </c>
      <c r="CB100" s="458">
        <f t="shared" si="584"/>
        <v>145.87652219940497</v>
      </c>
      <c r="CC100" s="459">
        <f>365/(CC$94/CC99)</f>
        <v>145.87652219940497</v>
      </c>
      <c r="CD100" s="458">
        <f t="shared" ref="CD100:CE100" si="585">365/(CD$94/CD99)</f>
        <v>160.55107732118941</v>
      </c>
      <c r="CE100" s="458">
        <f t="shared" si="585"/>
        <v>161.83802875856338</v>
      </c>
      <c r="CF100" s="495">
        <v>155</v>
      </c>
      <c r="CG100" s="495">
        <v>150</v>
      </c>
      <c r="CH100" s="459">
        <f>365/(CH$94/CH99)</f>
        <v>149.99999999999997</v>
      </c>
      <c r="CI100" s="495">
        <v>152.5</v>
      </c>
      <c r="CJ100" s="458">
        <f>CI100</f>
        <v>152.5</v>
      </c>
      <c r="CK100" s="458">
        <f>CJ100</f>
        <v>152.5</v>
      </c>
      <c r="CL100" s="458">
        <f>CK100</f>
        <v>152.5</v>
      </c>
      <c r="CM100" s="459">
        <f>365/(CM$94/CM99)</f>
        <v>152.50000000000003</v>
      </c>
      <c r="CN100" s="458">
        <f>CL100</f>
        <v>152.5</v>
      </c>
      <c r="CO100" s="458">
        <f>CN100</f>
        <v>152.5</v>
      </c>
      <c r="CP100" s="458">
        <f>CO100</f>
        <v>152.5</v>
      </c>
      <c r="CQ100" s="458">
        <f>CP100</f>
        <v>152.5</v>
      </c>
      <c r="CR100" s="459">
        <f>365/(CR$94/CR99)</f>
        <v>152.5</v>
      </c>
      <c r="CS100" s="458">
        <f>CQ100</f>
        <v>152.5</v>
      </c>
      <c r="CT100" s="458">
        <f>CS100</f>
        <v>152.5</v>
      </c>
      <c r="CU100" s="458">
        <f>CT100</f>
        <v>152.5</v>
      </c>
      <c r="CV100" s="458">
        <f>CU100</f>
        <v>152.5</v>
      </c>
      <c r="CW100" s="459">
        <f>365/(CW$94/CW99)</f>
        <v>152.5</v>
      </c>
      <c r="CX100" s="458">
        <f>CV100</f>
        <v>152.5</v>
      </c>
      <c r="CY100" s="458">
        <f>CX100</f>
        <v>152.5</v>
      </c>
      <c r="CZ100" s="458">
        <f>CY100</f>
        <v>152.5</v>
      </c>
      <c r="DA100" s="458">
        <f>CZ100</f>
        <v>152.5</v>
      </c>
      <c r="DB100" s="459">
        <f>365/(DB$94/DB99)</f>
        <v>152.5</v>
      </c>
    </row>
    <row r="101" spans="1:106" ht="11.5" customHeight="1" x14ac:dyDescent="0.35">
      <c r="A101" s="16" t="s">
        <v>20</v>
      </c>
      <c r="B101" s="90">
        <f t="shared" ref="B101:AE101" si="586">B12</f>
        <v>0</v>
      </c>
      <c r="C101" s="90">
        <f t="shared" si="586"/>
        <v>0</v>
      </c>
      <c r="D101" s="90">
        <f t="shared" si="586"/>
        <v>0</v>
      </c>
      <c r="E101" s="90">
        <f t="shared" si="586"/>
        <v>0</v>
      </c>
      <c r="F101" s="91">
        <f t="shared" si="586"/>
        <v>0</v>
      </c>
      <c r="G101" s="90">
        <f t="shared" si="586"/>
        <v>0</v>
      </c>
      <c r="H101" s="90">
        <f t="shared" si="586"/>
        <v>0</v>
      </c>
      <c r="I101" s="90">
        <f t="shared" si="586"/>
        <v>0</v>
      </c>
      <c r="J101" s="90">
        <f t="shared" si="586"/>
        <v>0</v>
      </c>
      <c r="K101" s="91">
        <f t="shared" si="586"/>
        <v>0</v>
      </c>
      <c r="L101" s="90">
        <f t="shared" si="586"/>
        <v>0</v>
      </c>
      <c r="M101" s="90">
        <f t="shared" si="586"/>
        <v>0</v>
      </c>
      <c r="N101" s="90">
        <f t="shared" si="586"/>
        <v>0</v>
      </c>
      <c r="O101" s="90">
        <f t="shared" si="586"/>
        <v>0</v>
      </c>
      <c r="P101" s="91">
        <f t="shared" si="586"/>
        <v>0</v>
      </c>
      <c r="Q101" s="90">
        <f t="shared" si="586"/>
        <v>0</v>
      </c>
      <c r="R101" s="90">
        <f t="shared" si="586"/>
        <v>0</v>
      </c>
      <c r="S101" s="90">
        <f t="shared" si="586"/>
        <v>0</v>
      </c>
      <c r="T101" s="90">
        <f t="shared" si="586"/>
        <v>0</v>
      </c>
      <c r="U101" s="91">
        <f t="shared" si="586"/>
        <v>0</v>
      </c>
      <c r="V101" s="90">
        <f t="shared" si="586"/>
        <v>0</v>
      </c>
      <c r="W101" s="90">
        <f t="shared" si="586"/>
        <v>0</v>
      </c>
      <c r="X101" s="90">
        <f t="shared" si="586"/>
        <v>0</v>
      </c>
      <c r="Y101" s="90">
        <f t="shared" si="586"/>
        <v>0</v>
      </c>
      <c r="Z101" s="91">
        <f t="shared" si="586"/>
        <v>0</v>
      </c>
      <c r="AA101" s="90">
        <f t="shared" si="586"/>
        <v>0</v>
      </c>
      <c r="AB101" s="90">
        <f t="shared" si="586"/>
        <v>0</v>
      </c>
      <c r="AC101" s="90">
        <f t="shared" si="586"/>
        <v>0</v>
      </c>
      <c r="AD101" s="90">
        <f t="shared" si="586"/>
        <v>0</v>
      </c>
      <c r="AE101" s="91">
        <f t="shared" si="586"/>
        <v>0</v>
      </c>
      <c r="AF101" s="90">
        <f t="shared" ref="AF101:AG101" si="587">AF12</f>
        <v>0</v>
      </c>
      <c r="AG101" s="90">
        <f t="shared" si="587"/>
        <v>0</v>
      </c>
      <c r="AH101" s="90">
        <f t="shared" ref="AH101:BM101" si="588">AH12</f>
        <v>0</v>
      </c>
      <c r="AI101" s="90">
        <f t="shared" si="588"/>
        <v>0</v>
      </c>
      <c r="AJ101" s="91">
        <f t="shared" si="588"/>
        <v>0</v>
      </c>
      <c r="AK101" s="90">
        <f t="shared" si="588"/>
        <v>231020</v>
      </c>
      <c r="AL101" s="90">
        <f t="shared" si="588"/>
        <v>223747</v>
      </c>
      <c r="AM101" s="90">
        <f t="shared" si="588"/>
        <v>249339</v>
      </c>
      <c r="AN101" s="90">
        <f t="shared" si="588"/>
        <v>249149</v>
      </c>
      <c r="AO101" s="91">
        <f t="shared" si="588"/>
        <v>249149</v>
      </c>
      <c r="AP101" s="90">
        <f t="shared" si="588"/>
        <v>233112</v>
      </c>
      <c r="AQ101" s="90">
        <f t="shared" si="588"/>
        <v>193980</v>
      </c>
      <c r="AR101" s="90">
        <f t="shared" si="588"/>
        <v>241342</v>
      </c>
      <c r="AS101" s="90">
        <f t="shared" si="588"/>
        <v>241079</v>
      </c>
      <c r="AT101" s="91">
        <f t="shared" si="588"/>
        <v>241079</v>
      </c>
      <c r="AU101" s="90">
        <f t="shared" si="588"/>
        <v>218101</v>
      </c>
      <c r="AV101" s="90">
        <f t="shared" si="588"/>
        <v>206870</v>
      </c>
      <c r="AW101" s="90">
        <f t="shared" si="588"/>
        <v>235880</v>
      </c>
      <c r="AX101" s="90">
        <f t="shared" si="588"/>
        <v>198799</v>
      </c>
      <c r="AY101" s="91">
        <f t="shared" si="588"/>
        <v>198799</v>
      </c>
      <c r="AZ101" s="90">
        <f t="shared" si="588"/>
        <v>210689</v>
      </c>
      <c r="BA101" s="90">
        <f t="shared" si="588"/>
        <v>190026</v>
      </c>
      <c r="BB101" s="90">
        <f t="shared" si="588"/>
        <v>226704</v>
      </c>
      <c r="BC101" s="90">
        <f t="shared" si="588"/>
        <v>296258</v>
      </c>
      <c r="BD101" s="91">
        <f t="shared" si="588"/>
        <v>296258</v>
      </c>
      <c r="BE101" s="90">
        <f t="shared" si="588"/>
        <v>419485</v>
      </c>
      <c r="BF101" s="90">
        <f t="shared" si="588"/>
        <v>365678</v>
      </c>
      <c r="BG101" s="90">
        <f t="shared" si="588"/>
        <v>381628</v>
      </c>
      <c r="BH101" s="90">
        <f t="shared" si="588"/>
        <v>532708</v>
      </c>
      <c r="BI101" s="91">
        <f t="shared" si="588"/>
        <v>532708</v>
      </c>
      <c r="BJ101" s="90">
        <f t="shared" si="588"/>
        <v>500791</v>
      </c>
      <c r="BK101" s="90">
        <f t="shared" si="588"/>
        <v>470587</v>
      </c>
      <c r="BL101" s="90">
        <f t="shared" si="588"/>
        <v>528140</v>
      </c>
      <c r="BM101" s="90">
        <f t="shared" si="588"/>
        <v>604089</v>
      </c>
      <c r="BN101" s="91">
        <f t="shared" ref="BN101:BY101" si="589">BN12</f>
        <v>604089</v>
      </c>
      <c r="BO101" s="90">
        <f t="shared" si="589"/>
        <v>712498</v>
      </c>
      <c r="BP101" s="90">
        <f t="shared" si="589"/>
        <v>657603</v>
      </c>
      <c r="BQ101" s="90">
        <f t="shared" si="589"/>
        <v>689025</v>
      </c>
      <c r="BR101" s="90">
        <f t="shared" si="589"/>
        <v>717548</v>
      </c>
      <c r="BS101" s="91">
        <f t="shared" si="589"/>
        <v>717548</v>
      </c>
      <c r="BT101" s="90">
        <f t="shared" si="589"/>
        <v>811385</v>
      </c>
      <c r="BU101" s="90">
        <f t="shared" si="589"/>
        <v>766051</v>
      </c>
      <c r="BV101" s="90">
        <f t="shared" si="589"/>
        <v>791617</v>
      </c>
      <c r="BW101" s="90">
        <f t="shared" si="589"/>
        <v>1193128</v>
      </c>
      <c r="BX101" s="91">
        <f t="shared" si="589"/>
        <v>1193128</v>
      </c>
      <c r="BY101" s="90">
        <f t="shared" si="589"/>
        <v>1134943</v>
      </c>
      <c r="BZ101" s="90">
        <f t="shared" ref="BZ101:CB101" si="590">BZ12</f>
        <v>1183857</v>
      </c>
      <c r="CA101" s="90">
        <f t="shared" si="590"/>
        <v>1316855</v>
      </c>
      <c r="CB101" s="90">
        <f t="shared" si="590"/>
        <v>1348649</v>
      </c>
      <c r="CC101" s="91">
        <f>CC12</f>
        <v>1348649</v>
      </c>
      <c r="CD101" s="90">
        <f t="shared" ref="CD101:CE101" si="591">CD12</f>
        <v>1521588</v>
      </c>
      <c r="CE101" s="90">
        <f t="shared" si="591"/>
        <v>1530119</v>
      </c>
      <c r="CF101" s="90">
        <f>CF105+CF107+CF109</f>
        <v>1556118.7173223929</v>
      </c>
      <c r="CG101" s="90">
        <f>CG105+CG107+CG109</f>
        <v>1541598.3159019393</v>
      </c>
      <c r="CH101" s="91">
        <f>CH12</f>
        <v>1541598.3159019393</v>
      </c>
      <c r="CI101" s="90">
        <f>CI105+CI107+CI109</f>
        <v>1686770.717185261</v>
      </c>
      <c r="CJ101" s="90">
        <f>CJ105+CJ107+CJ109</f>
        <v>1725090.7422627106</v>
      </c>
      <c r="CK101" s="90">
        <f>CK105+CK107+CK109</f>
        <v>1661536.4527459426</v>
      </c>
      <c r="CL101" s="90">
        <f>CL105+CL107+CL109</f>
        <v>1630117.0143114235</v>
      </c>
      <c r="CM101" s="91">
        <f>CM12</f>
        <v>1630117.0143114235</v>
      </c>
      <c r="CN101" s="90">
        <f>CN105+CN107+CN109</f>
        <v>1778371.4623855734</v>
      </c>
      <c r="CO101" s="90">
        <f>CO105+CO107+CO109</f>
        <v>1820548.8941497814</v>
      </c>
      <c r="CP101" s="90">
        <f>CP105+CP107+CP109</f>
        <v>1756341.8814373219</v>
      </c>
      <c r="CQ101" s="90">
        <f>CQ105+CQ107+CQ109</f>
        <v>1723103.6310236328</v>
      </c>
      <c r="CR101" s="91">
        <f>CR12</f>
        <v>1723103.6310236328</v>
      </c>
      <c r="CS101" s="90">
        <f>CS105+CS107+CS109</f>
        <v>1856837.0033012864</v>
      </c>
      <c r="CT101" s="90">
        <f>CT105+CT107+CT109</f>
        <v>1887705.4338204791</v>
      </c>
      <c r="CU101" s="90">
        <f>CU105+CU107+CU109</f>
        <v>1812633.273587672</v>
      </c>
      <c r="CV101" s="90">
        <f>CV105+CV107+CV109</f>
        <v>1772865.2221905969</v>
      </c>
      <c r="CW101" s="91">
        <f>CW12</f>
        <v>1772865.2221905969</v>
      </c>
      <c r="CX101" s="90">
        <f>CX105+CX107+CX109</f>
        <v>1908591.0712890432</v>
      </c>
      <c r="CY101" s="90">
        <f>CY105+CY107+CY109</f>
        <v>1908364.3521693754</v>
      </c>
      <c r="CZ101" s="90">
        <f>CZ105+CZ107+CZ109</f>
        <v>1772339.5448607875</v>
      </c>
      <c r="DA101" s="90">
        <f>DA105+DA107+DA109</f>
        <v>1654638.2909910106</v>
      </c>
      <c r="DB101" s="91">
        <f>DB12</f>
        <v>1654638.2909910106</v>
      </c>
    </row>
    <row r="102" spans="1:106" ht="11.5" customHeight="1" outlineLevel="1" x14ac:dyDescent="0.35">
      <c r="A102" s="19" t="s">
        <v>233</v>
      </c>
      <c r="B102" s="454" t="e">
        <f>IS!B10+IS!#REF!+IS!#REF!+IS!#REF!</f>
        <v>#REF!</v>
      </c>
      <c r="C102" s="454" t="e">
        <f>IS!C10+IS!B10+IS!#REF!+IS!#REF!</f>
        <v>#REF!</v>
      </c>
      <c r="D102" s="454" t="e">
        <f>IS!D10+IS!C10+IS!B10+IS!#REF!</f>
        <v>#REF!</v>
      </c>
      <c r="E102" s="454">
        <f>IS!B10+IS!C10+IS!D10+IS!E10</f>
        <v>0</v>
      </c>
      <c r="F102" s="455">
        <f>IS!F10</f>
        <v>0</v>
      </c>
      <c r="G102" s="454">
        <f>IS!G10+IS!E10+IS!D10+IS!C10</f>
        <v>0</v>
      </c>
      <c r="H102" s="454">
        <f>IS!H10+IS!G10+IS!E10+IS!D10</f>
        <v>0</v>
      </c>
      <c r="I102" s="454">
        <f>IS!I10+IS!H10+IS!G10+IS!E10</f>
        <v>0</v>
      </c>
      <c r="J102" s="454">
        <f>IS!G10+IS!H10+IS!I10+IS!J10</f>
        <v>0</v>
      </c>
      <c r="K102" s="455">
        <f>IS!K10</f>
        <v>0</v>
      </c>
      <c r="L102" s="454">
        <f>IS!L10+IS!J10+IS!I10+IS!H10</f>
        <v>0</v>
      </c>
      <c r="M102" s="454">
        <f>IS!M10+IS!L10+IS!J10+IS!I10</f>
        <v>0</v>
      </c>
      <c r="N102" s="454">
        <f>IS!N10+IS!M10+IS!L10+IS!J10</f>
        <v>0</v>
      </c>
      <c r="O102" s="454">
        <f>IS!L10+IS!M10+IS!N10+IS!O10</f>
        <v>0</v>
      </c>
      <c r="P102" s="455">
        <f>IS!P10</f>
        <v>0</v>
      </c>
      <c r="Q102" s="454">
        <f>IS!Q10+IS!O10+IS!N10+IS!M10</f>
        <v>0</v>
      </c>
      <c r="R102" s="454">
        <f>IS!R10+IS!Q10+IS!O10+IS!N10</f>
        <v>0</v>
      </c>
      <c r="S102" s="454">
        <f>IS!S10+IS!R10+IS!Q10+IS!O10</f>
        <v>0</v>
      </c>
      <c r="T102" s="454">
        <f>IS!Q10+IS!R10+IS!S10+IS!T10</f>
        <v>0</v>
      </c>
      <c r="U102" s="455">
        <f>IS!U10</f>
        <v>0</v>
      </c>
      <c r="V102" s="454">
        <f>IS!V10+IS!T10+IS!S10+IS!R10</f>
        <v>0</v>
      </c>
      <c r="W102" s="454">
        <f>IS!W10+IS!V10+IS!T10+IS!S10</f>
        <v>0</v>
      </c>
      <c r="X102" s="454">
        <f>IS!X10+IS!W10+IS!V10+IS!T10</f>
        <v>0</v>
      </c>
      <c r="Y102" s="454">
        <f>IS!V10+IS!W10+IS!X10+IS!Y10</f>
        <v>0</v>
      </c>
      <c r="Z102" s="455">
        <f>IS!Z10</f>
        <v>0</v>
      </c>
      <c r="AA102" s="454">
        <f>IS!AA10+IS!Y10+IS!X10+IS!W10</f>
        <v>0</v>
      </c>
      <c r="AB102" s="454">
        <f>IS!AB10+IS!AA10+IS!Y10+IS!X10</f>
        <v>0</v>
      </c>
      <c r="AC102" s="454">
        <f>IS!AC10+IS!AB10+IS!AA10+IS!Y10</f>
        <v>0</v>
      </c>
      <c r="AD102" s="454">
        <f>IS!AA10+IS!AB10+IS!AC10+IS!AD10</f>
        <v>0</v>
      </c>
      <c r="AE102" s="455">
        <f>IS!AE10</f>
        <v>0</v>
      </c>
      <c r="AF102" s="454">
        <f>IS!AF10+IS!AD10+IS!AC10+IS!AB10</f>
        <v>0</v>
      </c>
      <c r="AG102" s="454">
        <f>IS!AG10+IS!AF10+IS!AD10+IS!AC10</f>
        <v>0</v>
      </c>
      <c r="AH102" s="454">
        <f>IS!AH10+IS!AG10+IS!AF10+IS!AD10</f>
        <v>0</v>
      </c>
      <c r="AI102" s="454">
        <f>IS!AF10+IS!AG10+IS!AH10+IS!AI10</f>
        <v>0</v>
      </c>
      <c r="AJ102" s="455">
        <f>IS!AJ10</f>
        <v>0</v>
      </c>
      <c r="AK102" s="454">
        <f>IS!AK10+IS!AI10+IS!AH10+IS!AG10</f>
        <v>-128091.893</v>
      </c>
      <c r="AL102" s="454">
        <f>IS!AL10+IS!AK10+IS!AI10+IS!AH10</f>
        <v>-281076.11700000003</v>
      </c>
      <c r="AM102" s="454">
        <f>IS!AM10+IS!AL10+IS!AK10+IS!AI10</f>
        <v>-432314.95799999998</v>
      </c>
      <c r="AN102" s="454">
        <f>IS!AK10+IS!AL10+IS!AM10+IS!AN10</f>
        <v>-570540.31499999994</v>
      </c>
      <c r="AO102" s="455">
        <f>IS!AO10</f>
        <v>-570540.31499999994</v>
      </c>
      <c r="AP102" s="454">
        <f>IS!AP10+IS!AN10+IS!AM10+IS!AL10</f>
        <v>-546276.47899999993</v>
      </c>
      <c r="AQ102" s="454">
        <f>IS!AQ10+IS!AP10+IS!AN10+IS!AM10</f>
        <v>-552705.527</v>
      </c>
      <c r="AR102" s="454">
        <f>IS!AR10+IS!AQ10+IS!AP10+IS!AN10</f>
        <v>-567216.30200000003</v>
      </c>
      <c r="AS102" s="454">
        <f>IS!AP10+IS!AQ10+IS!AR10+IS!AS10</f>
        <v>-605525.60600000003</v>
      </c>
      <c r="AT102" s="455">
        <f>IS!AT10</f>
        <v>-605525.60600000003</v>
      </c>
      <c r="AU102" s="454">
        <f>IS!AU10+IS!AS10+IS!AR10+IS!AQ10</f>
        <v>-634736.549</v>
      </c>
      <c r="AV102" s="454">
        <f>IS!AV10+IS!AU10+IS!AS10+IS!AR10</f>
        <v>-642305.277</v>
      </c>
      <c r="AW102" s="454">
        <f>IS!AW10+IS!AV10+IS!AU10+IS!AS10</f>
        <v>-657244.66100000008</v>
      </c>
      <c r="AX102" s="454">
        <f>IS!AU10+IS!AV10+IS!AW10+IS!AX10</f>
        <v>-663392</v>
      </c>
      <c r="AY102" s="455">
        <f>IS!AY10</f>
        <v>-663392</v>
      </c>
      <c r="AZ102" s="454">
        <f>IS!AZ10+IS!AX10+IS!AW10+IS!AV10</f>
        <v>-679534</v>
      </c>
      <c r="BA102" s="454">
        <f>IS!BA10+IS!AZ10+IS!AX10+IS!AW10</f>
        <v>-671689</v>
      </c>
      <c r="BB102" s="454">
        <f>IS!BB10+IS!BA10+IS!AZ10+IS!AX10</f>
        <v>-693541</v>
      </c>
      <c r="BC102" s="454">
        <f>IS!AZ10+IS!BA10+IS!BB10+IS!BC10</f>
        <v>-716292</v>
      </c>
      <c r="BD102" s="455">
        <f>IS!BD10</f>
        <v>-716292</v>
      </c>
      <c r="BE102" s="454">
        <f>IS!BE10+IS!BC10+IS!BB10+IS!BA10</f>
        <v>-786055</v>
      </c>
      <c r="BF102" s="454">
        <f>IS!BF10+IS!BE10+IS!BC10+IS!BB10</f>
        <v>-915339</v>
      </c>
      <c r="BG102" s="454">
        <f>IS!BD10+IS!BE10+IS!BF10+IS!BG10</f>
        <v>-1505135</v>
      </c>
      <c r="BH102" s="454">
        <f>IS!BE10+IS!BF10+IS!BG10+IS!BH10</f>
        <v>-1093624</v>
      </c>
      <c r="BI102" s="455">
        <f>IS!BI10</f>
        <v>-1093624</v>
      </c>
      <c r="BJ102" s="454">
        <f>IS!BJ10+IS!BH10+IS!BG10+IS!BF10</f>
        <v>-1156145</v>
      </c>
      <c r="BK102" s="454">
        <f>IS!BK10+IS!BJ10+IS!BH10+IS!BG10</f>
        <v>-1255010</v>
      </c>
      <c r="BL102" s="454">
        <f>IS!BI10+IS!BJ10+IS!BK10+IS!BL10</f>
        <v>-2155291</v>
      </c>
      <c r="BM102" s="454">
        <f>IS!BJ10+IS!BK10+IS!BL10+IS!BM10</f>
        <v>-1420402</v>
      </c>
      <c r="BN102" s="455">
        <f>IS!BN10</f>
        <v>-1420402</v>
      </c>
      <c r="BO102" s="454">
        <f>IS!BO10+IS!BM10+IS!BL10+IS!BK10</f>
        <v>-1510731</v>
      </c>
      <c r="BP102" s="454">
        <f>IS!BP10+IS!BO10+IS!BM10+IS!BL10</f>
        <v>-1576637</v>
      </c>
      <c r="BQ102" s="454">
        <f>IS!BN10+IS!BO10+IS!BP10+IS!BQ10</f>
        <v>-2713359</v>
      </c>
      <c r="BR102" s="454">
        <f>IS!BO10+IS!BP10+IS!BQ10+IS!BR10</f>
        <v>-1790819</v>
      </c>
      <c r="BS102" s="455">
        <f>IS!BS10</f>
        <v>-1790819</v>
      </c>
      <c r="BT102" s="454">
        <f>IS!BT10+IS!BR10+IS!BQ10+IS!BP10</f>
        <v>-1939798</v>
      </c>
      <c r="BU102" s="454">
        <f>IS!BU10+IS!BT10+IS!BR10+IS!BQ10</f>
        <v>-2102160</v>
      </c>
      <c r="BV102" s="454">
        <f>IS!BS10+IS!BT10+IS!BU10+IS!BV10</f>
        <v>-3573572</v>
      </c>
      <c r="BW102" s="454">
        <f>IS!BT10+IS!BU10+IS!BV10+IS!BW10</f>
        <v>-2413370</v>
      </c>
      <c r="BX102" s="455">
        <f>IS!BX10</f>
        <v>-2413370</v>
      </c>
      <c r="BY102" s="454">
        <f>IS!BY10+IS!BW10+IS!BV10+IS!BU10</f>
        <v>-2633893</v>
      </c>
      <c r="BZ102" s="454">
        <f>IS!BZ10+IS!BY10+IS!BW10+IS!BV10</f>
        <v>-2832162</v>
      </c>
      <c r="CA102" s="454">
        <f>IS!CA10+IS!BZ10+IS!BX10+IS!BW10</f>
        <v>-4708509</v>
      </c>
      <c r="CB102" s="454">
        <f>IS!BY10+IS!BZ10+IS!CA10+IS!CB10</f>
        <v>-3252837</v>
      </c>
      <c r="CC102" s="455">
        <f>IS!CC10</f>
        <v>-3252837</v>
      </c>
      <c r="CD102" s="454">
        <f>IS!CD10+IS!CB10+IS!CA10+IS!BZ10</f>
        <v>-3494456</v>
      </c>
      <c r="CE102" s="454">
        <f>IS!CE10+IS!CD10+IS!CB10+IS!CA10</f>
        <v>-3702865</v>
      </c>
      <c r="CF102" s="454">
        <f>IS!CB10+IS!CD10+IS!CE10+IS!CF10</f>
        <v>-3905160.3146696463</v>
      </c>
      <c r="CG102" s="454">
        <f>IS!CD10+IS!CE10+IS!CF10+IS!CG10</f>
        <v>-4130500.3066349057</v>
      </c>
      <c r="CH102" s="455">
        <f>IS!CH10</f>
        <v>-4130500.3066349057</v>
      </c>
      <c r="CI102" s="454">
        <f>IS!CI10+IS!CG10+IS!CF10+IS!CE10</f>
        <v>-4292528.9333541179</v>
      </c>
      <c r="CJ102" s="454">
        <f>IS!CJ10+IS!CI10+IS!CG10+IS!CF10</f>
        <v>-4562459.1133907065</v>
      </c>
      <c r="CK102" s="454">
        <f>IS!CG10+IS!CI10+IS!CJ10+IS!CK10</f>
        <v>-4807370.3457663916</v>
      </c>
      <c r="CL102" s="454">
        <f>IS!CI10+IS!CJ10+IS!CK10+IS!CL10</f>
        <v>-4963678.9997743582</v>
      </c>
      <c r="CM102" s="455">
        <f>IS!CM10</f>
        <v>-4963678.9997743582</v>
      </c>
      <c r="CN102" s="454">
        <f>IS!CN10+IS!CL10+IS!CK10+IS!CJ10</f>
        <v>-5137801.9568416961</v>
      </c>
      <c r="CO102" s="454">
        <f>IS!CO10+IS!CN10+IS!CL10+IS!CK10</f>
        <v>-5271640.5247082766</v>
      </c>
      <c r="CP102" s="454">
        <f>IS!CL10+IS!CN10+IS!CO10+IS!CP10</f>
        <v>-5418296.4416451026</v>
      </c>
      <c r="CQ102" s="454">
        <f>IS!CN10+IS!CO10+IS!CP10+IS!CQ10</f>
        <v>-5601480.7610277077</v>
      </c>
      <c r="CR102" s="455">
        <f>IS!CR10</f>
        <v>-5601480.7610277077</v>
      </c>
      <c r="CS102" s="454">
        <f>IS!CS10+IS!CQ10+IS!CP10+IS!CO10</f>
        <v>-5753157.6740053203</v>
      </c>
      <c r="CT102" s="454">
        <f>IS!CT10+IS!CS10+IS!CQ10+IS!CP10</f>
        <v>-5897325.485651359</v>
      </c>
      <c r="CU102" s="454">
        <f>IS!CQ10+IS!CS10+IS!CT10+IS!CU10</f>
        <v>-6032710.6701643979</v>
      </c>
      <c r="CV102" s="454">
        <f>IS!CS10+IS!CT10+IS!CU10+IS!CV10</f>
        <v>-6158359.5633835793</v>
      </c>
      <c r="CW102" s="455">
        <f>IS!CW10</f>
        <v>-6158359.5633835793</v>
      </c>
      <c r="CX102" s="454">
        <f>IS!CX10+IS!CV10+IS!CU10+IS!CT10</f>
        <v>-6269720.5439728796</v>
      </c>
      <c r="CY102" s="454">
        <f>IS!CY10+IS!CX10+IS!CV10+IS!CU10</f>
        <v>-6378810.7796137417</v>
      </c>
      <c r="CZ102" s="454">
        <f>IS!CV10+IS!CX10+IS!CY10+IS!CZ10</f>
        <v>-6483335.1151907081</v>
      </c>
      <c r="DA102" s="454">
        <f>IS!CX10+IS!CY10+IS!CZ10+IS!DA10</f>
        <v>-6581734.5381089719</v>
      </c>
      <c r="DB102" s="455">
        <f>IS!DB10</f>
        <v>-6581734.5381089719</v>
      </c>
    </row>
    <row r="103" spans="1:106" ht="11.5" customHeight="1" outlineLevel="1" x14ac:dyDescent="0.35">
      <c r="A103" s="149" t="s">
        <v>234</v>
      </c>
      <c r="B103" s="92" t="e">
        <f t="shared" ref="B103:AE103" si="592">-365/(B102/B101)</f>
        <v>#REF!</v>
      </c>
      <c r="C103" s="92" t="e">
        <f t="shared" si="592"/>
        <v>#REF!</v>
      </c>
      <c r="D103" s="92" t="e">
        <f t="shared" si="592"/>
        <v>#REF!</v>
      </c>
      <c r="E103" s="92" t="e">
        <f t="shared" si="592"/>
        <v>#DIV/0!</v>
      </c>
      <c r="F103" s="93" t="e">
        <f t="shared" si="592"/>
        <v>#DIV/0!</v>
      </c>
      <c r="G103" s="92" t="e">
        <f t="shared" si="592"/>
        <v>#DIV/0!</v>
      </c>
      <c r="H103" s="92" t="e">
        <f t="shared" si="592"/>
        <v>#DIV/0!</v>
      </c>
      <c r="I103" s="92" t="e">
        <f t="shared" si="592"/>
        <v>#DIV/0!</v>
      </c>
      <c r="J103" s="92" t="e">
        <f t="shared" si="592"/>
        <v>#DIV/0!</v>
      </c>
      <c r="K103" s="93" t="e">
        <f t="shared" si="592"/>
        <v>#DIV/0!</v>
      </c>
      <c r="L103" s="92" t="e">
        <f t="shared" si="592"/>
        <v>#DIV/0!</v>
      </c>
      <c r="M103" s="92" t="e">
        <f t="shared" si="592"/>
        <v>#DIV/0!</v>
      </c>
      <c r="N103" s="92" t="e">
        <f t="shared" si="592"/>
        <v>#DIV/0!</v>
      </c>
      <c r="O103" s="92" t="e">
        <f t="shared" si="592"/>
        <v>#DIV/0!</v>
      </c>
      <c r="P103" s="93" t="e">
        <f t="shared" si="592"/>
        <v>#DIV/0!</v>
      </c>
      <c r="Q103" s="92" t="e">
        <f t="shared" si="592"/>
        <v>#DIV/0!</v>
      </c>
      <c r="R103" s="92" t="e">
        <f t="shared" si="592"/>
        <v>#DIV/0!</v>
      </c>
      <c r="S103" s="92" t="e">
        <f t="shared" si="592"/>
        <v>#DIV/0!</v>
      </c>
      <c r="T103" s="92" t="e">
        <f t="shared" si="592"/>
        <v>#DIV/0!</v>
      </c>
      <c r="U103" s="93" t="e">
        <f t="shared" si="592"/>
        <v>#DIV/0!</v>
      </c>
      <c r="V103" s="92" t="e">
        <f t="shared" si="592"/>
        <v>#DIV/0!</v>
      </c>
      <c r="W103" s="92" t="e">
        <f t="shared" si="592"/>
        <v>#DIV/0!</v>
      </c>
      <c r="X103" s="92" t="e">
        <f t="shared" si="592"/>
        <v>#DIV/0!</v>
      </c>
      <c r="Y103" s="92" t="e">
        <f t="shared" si="592"/>
        <v>#DIV/0!</v>
      </c>
      <c r="Z103" s="93" t="e">
        <f t="shared" si="592"/>
        <v>#DIV/0!</v>
      </c>
      <c r="AA103" s="92" t="e">
        <f t="shared" si="592"/>
        <v>#DIV/0!</v>
      </c>
      <c r="AB103" s="92" t="e">
        <f t="shared" si="592"/>
        <v>#DIV/0!</v>
      </c>
      <c r="AC103" s="92" t="e">
        <f t="shared" si="592"/>
        <v>#DIV/0!</v>
      </c>
      <c r="AD103" s="92" t="e">
        <f t="shared" si="592"/>
        <v>#DIV/0!</v>
      </c>
      <c r="AE103" s="93" t="e">
        <f t="shared" si="592"/>
        <v>#DIV/0!</v>
      </c>
      <c r="AF103" s="92" t="e">
        <f t="shared" ref="AF103:AJ103" si="593">-365/(AF102/AF101)</f>
        <v>#DIV/0!</v>
      </c>
      <c r="AG103" s="92" t="e">
        <f t="shared" si="593"/>
        <v>#DIV/0!</v>
      </c>
      <c r="AH103" s="92" t="e">
        <f t="shared" si="593"/>
        <v>#DIV/0!</v>
      </c>
      <c r="AI103" s="92" t="e">
        <f t="shared" si="593"/>
        <v>#DIV/0!</v>
      </c>
      <c r="AJ103" s="93" t="e">
        <f t="shared" si="593"/>
        <v>#DIV/0!</v>
      </c>
      <c r="AK103" s="92">
        <f t="shared" ref="AK103:BP103" si="594">-365/(AK102/AK101)</f>
        <v>658.29536924713898</v>
      </c>
      <c r="AL103" s="92">
        <f t="shared" si="594"/>
        <v>290.55351935148582</v>
      </c>
      <c r="AM103" s="92">
        <f t="shared" si="594"/>
        <v>210.51488808305356</v>
      </c>
      <c r="AN103" s="92">
        <f t="shared" si="594"/>
        <v>159.39168996322374</v>
      </c>
      <c r="AO103" s="93">
        <f t="shared" si="594"/>
        <v>159.39168996322374</v>
      </c>
      <c r="AP103" s="92">
        <f t="shared" si="594"/>
        <v>155.75607457190191</v>
      </c>
      <c r="AQ103" s="92">
        <f t="shared" si="594"/>
        <v>128.10202999833581</v>
      </c>
      <c r="AR103" s="92">
        <f t="shared" si="594"/>
        <v>155.30200681714538</v>
      </c>
      <c r="AS103" s="92">
        <f t="shared" si="594"/>
        <v>145.31810732377187</v>
      </c>
      <c r="AT103" s="93">
        <f t="shared" si="594"/>
        <v>145.31810732377187</v>
      </c>
      <c r="AU103" s="92">
        <f t="shared" si="594"/>
        <v>125.41717524446507</v>
      </c>
      <c r="AV103" s="92">
        <f t="shared" si="594"/>
        <v>117.55710672761606</v>
      </c>
      <c r="AW103" s="92">
        <f t="shared" si="594"/>
        <v>130.99566281604226</v>
      </c>
      <c r="AX103" s="92">
        <f t="shared" si="594"/>
        <v>109.37972571270079</v>
      </c>
      <c r="AY103" s="93">
        <f t="shared" si="594"/>
        <v>109.37972571270079</v>
      </c>
      <c r="AZ103" s="92">
        <f t="shared" si="594"/>
        <v>113.16797246348233</v>
      </c>
      <c r="BA103" s="92">
        <f t="shared" si="594"/>
        <v>103.26131587684181</v>
      </c>
      <c r="BB103" s="92">
        <f t="shared" si="594"/>
        <v>119.31084103174867</v>
      </c>
      <c r="BC103" s="92">
        <f t="shared" si="594"/>
        <v>150.96381084808988</v>
      </c>
      <c r="BD103" s="93">
        <f t="shared" si="594"/>
        <v>150.96381084808988</v>
      </c>
      <c r="BE103" s="92">
        <f t="shared" si="594"/>
        <v>194.78538397440383</v>
      </c>
      <c r="BF103" s="92">
        <f t="shared" si="594"/>
        <v>145.817527713776</v>
      </c>
      <c r="BG103" s="92">
        <f t="shared" si="594"/>
        <v>92.545997535104817</v>
      </c>
      <c r="BH103" s="92">
        <f t="shared" si="594"/>
        <v>177.79275143925153</v>
      </c>
      <c r="BI103" s="93">
        <f t="shared" si="594"/>
        <v>177.79275143925153</v>
      </c>
      <c r="BJ103" s="92">
        <f t="shared" si="594"/>
        <v>158.10189465854197</v>
      </c>
      <c r="BK103" s="92">
        <f t="shared" si="594"/>
        <v>136.86285766647279</v>
      </c>
      <c r="BL103" s="92">
        <f t="shared" si="594"/>
        <v>89.440869005623838</v>
      </c>
      <c r="BM103" s="92">
        <f t="shared" si="594"/>
        <v>155.23245179885694</v>
      </c>
      <c r="BN103" s="93">
        <f t="shared" si="594"/>
        <v>155.23245179885694</v>
      </c>
      <c r="BO103" s="92">
        <f t="shared" si="594"/>
        <v>172.1430022949155</v>
      </c>
      <c r="BP103" s="92">
        <f t="shared" si="594"/>
        <v>152.23865417340835</v>
      </c>
      <c r="BQ103" s="92">
        <f t="shared" ref="BQ103:CV103" si="595">-365/(BQ102/BQ101)</f>
        <v>92.687375684529769</v>
      </c>
      <c r="BR103" s="92">
        <f t="shared" si="595"/>
        <v>146.24873870558667</v>
      </c>
      <c r="BS103" s="93">
        <f t="shared" si="595"/>
        <v>146.24873870558667</v>
      </c>
      <c r="BT103" s="92">
        <f t="shared" si="595"/>
        <v>152.67338403277043</v>
      </c>
      <c r="BU103" s="92">
        <f t="shared" si="595"/>
        <v>133.01014908475091</v>
      </c>
      <c r="BV103" s="92">
        <f t="shared" si="595"/>
        <v>80.854731624268382</v>
      </c>
      <c r="BW103" s="92">
        <f t="shared" si="595"/>
        <v>180.44962852774336</v>
      </c>
      <c r="BX103" s="93">
        <f t="shared" si="595"/>
        <v>180.44962852774336</v>
      </c>
      <c r="BY103" s="92">
        <f t="shared" si="595"/>
        <v>157.27829300582823</v>
      </c>
      <c r="BZ103" s="92">
        <f t="shared" ref="BZ103:CB103" si="596">-365/(BZ102/BZ101)</f>
        <v>152.57171199952543</v>
      </c>
      <c r="CA103" s="92">
        <f t="shared" si="596"/>
        <v>102.0815878232366</v>
      </c>
      <c r="CB103" s="92">
        <f t="shared" si="596"/>
        <v>151.33155611547704</v>
      </c>
      <c r="CC103" s="93">
        <f t="shared" si="595"/>
        <v>151.33155611547704</v>
      </c>
      <c r="CD103" s="92">
        <f t="shared" ref="CD103:CE103" si="597">-365/(CD102/CD101)</f>
        <v>158.93163914497705</v>
      </c>
      <c r="CE103" s="92">
        <f t="shared" si="597"/>
        <v>150.82738231072426</v>
      </c>
      <c r="CF103" s="92">
        <f t="shared" si="595"/>
        <v>145.44430600942474</v>
      </c>
      <c r="CG103" s="92">
        <f t="shared" si="595"/>
        <v>136.22644801656548</v>
      </c>
      <c r="CH103" s="93">
        <f t="shared" si="595"/>
        <v>136.22644801656548</v>
      </c>
      <c r="CI103" s="92">
        <f t="shared" si="595"/>
        <v>143.42857586554319</v>
      </c>
      <c r="CJ103" s="92">
        <f t="shared" si="595"/>
        <v>138.00849613706302</v>
      </c>
      <c r="CK103" s="92">
        <f t="shared" si="595"/>
        <v>126.15229566957504</v>
      </c>
      <c r="CL103" s="92">
        <f t="shared" si="595"/>
        <v>119.86929659446493</v>
      </c>
      <c r="CM103" s="93">
        <f t="shared" si="595"/>
        <v>119.86929659446493</v>
      </c>
      <c r="CN103" s="92">
        <f t="shared" si="595"/>
        <v>126.33916005780647</v>
      </c>
      <c r="CO103" s="92">
        <f t="shared" si="595"/>
        <v>126.05190798768331</v>
      </c>
      <c r="CP103" s="92">
        <f t="shared" si="595"/>
        <v>118.31482341892362</v>
      </c>
      <c r="CQ103" s="92">
        <f t="shared" si="595"/>
        <v>112.27974390261679</v>
      </c>
      <c r="CR103" s="93">
        <f t="shared" si="595"/>
        <v>112.27974390261679</v>
      </c>
      <c r="CS103" s="92">
        <f t="shared" si="595"/>
        <v>117.80409031152564</v>
      </c>
      <c r="CT103" s="92">
        <f t="shared" si="595"/>
        <v>116.83473890340538</v>
      </c>
      <c r="CU103" s="92">
        <f t="shared" si="595"/>
        <v>109.67062420738813</v>
      </c>
      <c r="CV103" s="92">
        <f t="shared" si="595"/>
        <v>105.07600269836061</v>
      </c>
      <c r="CW103" s="93">
        <f t="shared" ref="CW103:DB103" si="598">-365/(CW102/CW101)</f>
        <v>105.07600269836061</v>
      </c>
      <c r="CX103" s="92">
        <f t="shared" si="598"/>
        <v>111.11113105195429</v>
      </c>
      <c r="CY103" s="92">
        <f t="shared" si="598"/>
        <v>109.19793870794214</v>
      </c>
      <c r="CZ103" s="92">
        <f t="shared" si="598"/>
        <v>99.779499652650415</v>
      </c>
      <c r="DA103" s="92">
        <f t="shared" si="598"/>
        <v>91.760458085147945</v>
      </c>
      <c r="DB103" s="93">
        <f t="shared" si="598"/>
        <v>91.760458085147945</v>
      </c>
    </row>
    <row r="104" spans="1:106" s="56" customFormat="1" ht="11.5" customHeight="1" outlineLevel="1" x14ac:dyDescent="0.35">
      <c r="A104" s="16" t="s">
        <v>228</v>
      </c>
      <c r="B104" s="94" t="e">
        <f t="shared" ref="B104:E104" si="599">-(B101-A101)</f>
        <v>#VALUE!</v>
      </c>
      <c r="C104" s="94">
        <f t="shared" si="599"/>
        <v>0</v>
      </c>
      <c r="D104" s="94">
        <f t="shared" si="599"/>
        <v>0</v>
      </c>
      <c r="E104" s="94">
        <f t="shared" si="599"/>
        <v>0</v>
      </c>
      <c r="F104" s="95" t="e">
        <f t="shared" ref="F104" si="600">-(+F101-A101)</f>
        <v>#VALUE!</v>
      </c>
      <c r="G104" s="94">
        <f t="shared" ref="G104:J104" si="601">-(G101-F101)</f>
        <v>0</v>
      </c>
      <c r="H104" s="94">
        <f t="shared" si="601"/>
        <v>0</v>
      </c>
      <c r="I104" s="94">
        <f t="shared" si="601"/>
        <v>0</v>
      </c>
      <c r="J104" s="94">
        <f t="shared" si="601"/>
        <v>0</v>
      </c>
      <c r="K104" s="95">
        <f t="shared" ref="K104" si="602">-(+K101-F101)</f>
        <v>0</v>
      </c>
      <c r="L104" s="94">
        <f t="shared" ref="L104:O104" si="603">-(L101-K101)</f>
        <v>0</v>
      </c>
      <c r="M104" s="94">
        <f t="shared" si="603"/>
        <v>0</v>
      </c>
      <c r="N104" s="94">
        <f t="shared" si="603"/>
        <v>0</v>
      </c>
      <c r="O104" s="94">
        <f t="shared" si="603"/>
        <v>0</v>
      </c>
      <c r="P104" s="95">
        <f t="shared" ref="P104" si="604">-(+P101-K101)</f>
        <v>0</v>
      </c>
      <c r="Q104" s="94">
        <f t="shared" ref="Q104:T104" si="605">-(Q101-P101)</f>
        <v>0</v>
      </c>
      <c r="R104" s="94">
        <f t="shared" si="605"/>
        <v>0</v>
      </c>
      <c r="S104" s="94">
        <f t="shared" si="605"/>
        <v>0</v>
      </c>
      <c r="T104" s="94">
        <f t="shared" si="605"/>
        <v>0</v>
      </c>
      <c r="U104" s="95">
        <f t="shared" ref="U104" si="606">-(+U101-P101)</f>
        <v>0</v>
      </c>
      <c r="V104" s="94">
        <f t="shared" ref="V104:Y104" si="607">-(V101-U101)</f>
        <v>0</v>
      </c>
      <c r="W104" s="94">
        <f t="shared" si="607"/>
        <v>0</v>
      </c>
      <c r="X104" s="94">
        <f t="shared" si="607"/>
        <v>0</v>
      </c>
      <c r="Y104" s="94">
        <f t="shared" si="607"/>
        <v>0</v>
      </c>
      <c r="Z104" s="95">
        <f t="shared" ref="Z104" si="608">-(+Z101-U101)</f>
        <v>0</v>
      </c>
      <c r="AA104" s="94">
        <f t="shared" ref="AA104:AD104" si="609">-(AA101-Z101)</f>
        <v>0</v>
      </c>
      <c r="AB104" s="94">
        <f t="shared" si="609"/>
        <v>0</v>
      </c>
      <c r="AC104" s="94">
        <f t="shared" si="609"/>
        <v>0</v>
      </c>
      <c r="AD104" s="94">
        <f t="shared" si="609"/>
        <v>0</v>
      </c>
      <c r="AE104" s="95">
        <f t="shared" ref="AE104" si="610">-(+AE101-Z101)</f>
        <v>0</v>
      </c>
      <c r="AF104" s="94">
        <f>-(AF101-AE101)</f>
        <v>0</v>
      </c>
      <c r="AG104" s="94">
        <f>-(AG101-AF101)</f>
        <v>0</v>
      </c>
      <c r="AH104" s="94">
        <f>-(AH101-AG101)</f>
        <v>0</v>
      </c>
      <c r="AI104" s="94">
        <f>-(AI101-AH101)</f>
        <v>0</v>
      </c>
      <c r="AJ104" s="95">
        <f>-(+AJ101-AE101)</f>
        <v>0</v>
      </c>
      <c r="AK104" s="94">
        <f>-(AK101-AJ101)</f>
        <v>-231020</v>
      </c>
      <c r="AL104" s="94">
        <f>-(AL101-AK101)</f>
        <v>7273</v>
      </c>
      <c r="AM104" s="94">
        <f>-(AM101-AL101)</f>
        <v>-25592</v>
      </c>
      <c r="AN104" s="94">
        <f>-(AN101-AM101)</f>
        <v>190</v>
      </c>
      <c r="AO104" s="95">
        <f>-(+AO101-AJ101)</f>
        <v>-249149</v>
      </c>
      <c r="AP104" s="94">
        <f>-(AP101-AO101)</f>
        <v>16037</v>
      </c>
      <c r="AQ104" s="94">
        <f>-(AQ101-AP101)</f>
        <v>39132</v>
      </c>
      <c r="AR104" s="94">
        <f>-(AR101-AQ101)</f>
        <v>-47362</v>
      </c>
      <c r="AS104" s="94">
        <f>-(AS101-AR101)</f>
        <v>263</v>
      </c>
      <c r="AT104" s="95">
        <f>-(+AT101-AO101)</f>
        <v>8070</v>
      </c>
      <c r="AU104" s="94">
        <f>-(AU101-AT101)</f>
        <v>22978</v>
      </c>
      <c r="AV104" s="94">
        <f>-(AV101-AU101)</f>
        <v>11231</v>
      </c>
      <c r="AW104" s="94">
        <f>-(AW101-AV101)</f>
        <v>-29010</v>
      </c>
      <c r="AX104" s="94">
        <f>-(AX101-AW101)</f>
        <v>37081</v>
      </c>
      <c r="AY104" s="95">
        <f>-(+AY101-AT101)</f>
        <v>42280</v>
      </c>
      <c r="AZ104" s="94">
        <f>-(AZ101-AY101)</f>
        <v>-11890</v>
      </c>
      <c r="BA104" s="94">
        <f>-(BA101-AZ101)</f>
        <v>20663</v>
      </c>
      <c r="BB104" s="94">
        <f>-(BB101-BA101)</f>
        <v>-36678</v>
      </c>
      <c r="BC104" s="94">
        <f>-(BC101-BB101)</f>
        <v>-69554</v>
      </c>
      <c r="BD104" s="95">
        <f>-(+BD101-AY101)</f>
        <v>-97459</v>
      </c>
      <c r="BE104" s="94">
        <f>-(BE101-BD101)</f>
        <v>-123227</v>
      </c>
      <c r="BF104" s="94">
        <f>-(BF101-BE101)</f>
        <v>53807</v>
      </c>
      <c r="BG104" s="94">
        <f>-(BG101-BF101)</f>
        <v>-15950</v>
      </c>
      <c r="BH104" s="94">
        <f>-(BH101-BG101)</f>
        <v>-151080</v>
      </c>
      <c r="BI104" s="95">
        <f>-(+BI101-BD101)</f>
        <v>-236450</v>
      </c>
      <c r="BJ104" s="94">
        <f>-(BJ101-BI101)</f>
        <v>31917</v>
      </c>
      <c r="BK104" s="94">
        <f>-(BK101-BJ101)</f>
        <v>30204</v>
      </c>
      <c r="BL104" s="94">
        <f>-(BL101-BK101)</f>
        <v>-57553</v>
      </c>
      <c r="BM104" s="94">
        <f>-(BM101-BL101)</f>
        <v>-75949</v>
      </c>
      <c r="BN104" s="95">
        <f>-(+BN101-BI101)</f>
        <v>-71381</v>
      </c>
      <c r="BO104" s="94">
        <f>-(BO101-BN101)</f>
        <v>-108409</v>
      </c>
      <c r="BP104" s="94">
        <f>-(BP101-BO101)</f>
        <v>54895</v>
      </c>
      <c r="BQ104" s="94">
        <f>-(BQ101-BP101)</f>
        <v>-31422</v>
      </c>
      <c r="BR104" s="94">
        <f>-(BR101-BQ101)</f>
        <v>-28523</v>
      </c>
      <c r="BS104" s="95">
        <f>-(+BS101-BN101)</f>
        <v>-113459</v>
      </c>
      <c r="BT104" s="94">
        <f>-(BT101-BS101)</f>
        <v>-93837</v>
      </c>
      <c r="BU104" s="94">
        <f>-(BU101-BT101)</f>
        <v>45334</v>
      </c>
      <c r="BV104" s="94">
        <f>-(BV101-BU101)</f>
        <v>-25566</v>
      </c>
      <c r="BW104" s="94">
        <f>-(BW101-BV101)</f>
        <v>-401511</v>
      </c>
      <c r="BX104" s="95">
        <f>-(+BX101-BS101)</f>
        <v>-475580</v>
      </c>
      <c r="BY104" s="94">
        <f>-(BY101-BX101)</f>
        <v>58185</v>
      </c>
      <c r="BZ104" s="94">
        <f>-(BZ101-BY101)</f>
        <v>-48914</v>
      </c>
      <c r="CA104" s="94">
        <f>-(CA101-BZ101)</f>
        <v>-132998</v>
      </c>
      <c r="CB104" s="94">
        <f>-(CB101-CA101)</f>
        <v>-31794</v>
      </c>
      <c r="CC104" s="95">
        <f>-(+CC101-BX101)</f>
        <v>-155521</v>
      </c>
      <c r="CD104" s="94">
        <f>-(CD101-CC101)</f>
        <v>-172939</v>
      </c>
      <c r="CE104" s="94">
        <f>-(CE101-CD101)</f>
        <v>-8531</v>
      </c>
      <c r="CF104" s="94">
        <f>-(CF101-CE101)</f>
        <v>-25999.717322392855</v>
      </c>
      <c r="CG104" s="94">
        <f>-(CG101-CF101)</f>
        <v>14520.401420453563</v>
      </c>
      <c r="CH104" s="95">
        <f>-(+CH101-CC101)</f>
        <v>-192949.31590193929</v>
      </c>
      <c r="CI104" s="94">
        <f>-(CI101-CH101)</f>
        <v>-145172.40128332167</v>
      </c>
      <c r="CJ104" s="94">
        <f>-(CJ101-CI101)</f>
        <v>-38320.025077449623</v>
      </c>
      <c r="CK104" s="94">
        <f>-(CK101-CJ101)</f>
        <v>63554.289516767953</v>
      </c>
      <c r="CL104" s="94">
        <f>-(CL101-CK101)</f>
        <v>31419.438434519107</v>
      </c>
      <c r="CM104" s="95">
        <f>-(+CM101-CH101)</f>
        <v>-88518.698409484234</v>
      </c>
      <c r="CN104" s="94">
        <f>-(CN101-CM101)</f>
        <v>-148254.4480741499</v>
      </c>
      <c r="CO104" s="94">
        <f>-(CO101-CN101)</f>
        <v>-42177.431764208013</v>
      </c>
      <c r="CP104" s="94">
        <f>-(CP101-CO101)</f>
        <v>64207.012712459546</v>
      </c>
      <c r="CQ104" s="94">
        <f>-(CQ101-CP101)</f>
        <v>33238.250413689064</v>
      </c>
      <c r="CR104" s="95">
        <f>-(+CR101-CM101)</f>
        <v>-92986.616712209303</v>
      </c>
      <c r="CS104" s="94">
        <f>-(CS101-CR101)</f>
        <v>-133733.37227765354</v>
      </c>
      <c r="CT104" s="94">
        <f>-(CT101-CS101)</f>
        <v>-30868.430519192712</v>
      </c>
      <c r="CU104" s="94">
        <f>-(CU101-CT101)</f>
        <v>75072.160232807044</v>
      </c>
      <c r="CV104" s="94">
        <f>-(CV101-CU101)</f>
        <v>39768.051397075178</v>
      </c>
      <c r="CW104" s="95">
        <f>-(+CW101-CR101)</f>
        <v>-49761.591166964034</v>
      </c>
      <c r="CX104" s="94">
        <f>-(CX101-CW101)</f>
        <v>-135725.84909844631</v>
      </c>
      <c r="CY104" s="94">
        <f>-(CY101-CX101)</f>
        <v>226.71911966777407</v>
      </c>
      <c r="CZ104" s="94">
        <f>-(CZ101-CY101)</f>
        <v>136024.80730858794</v>
      </c>
      <c r="DA104" s="94">
        <f>-(DA101-CZ101)</f>
        <v>117701.25386977685</v>
      </c>
      <c r="DB104" s="95">
        <f>-(+DB101-CW101)</f>
        <v>118226.93119958625</v>
      </c>
    </row>
    <row r="105" spans="1:106" ht="11.5" customHeight="1" x14ac:dyDescent="0.35">
      <c r="A105" s="19" t="s">
        <v>235</v>
      </c>
      <c r="B105" s="92">
        <f t="shared" ref="B105:E105" si="611">B13</f>
        <v>0</v>
      </c>
      <c r="C105" s="92">
        <f t="shared" si="611"/>
        <v>0</v>
      </c>
      <c r="D105" s="92">
        <f t="shared" si="611"/>
        <v>0</v>
      </c>
      <c r="E105" s="92">
        <f t="shared" si="611"/>
        <v>0</v>
      </c>
      <c r="F105" s="93">
        <f t="shared" ref="F105" si="612">E105</f>
        <v>0</v>
      </c>
      <c r="G105" s="92">
        <f t="shared" ref="G105:J105" si="613">G13</f>
        <v>0</v>
      </c>
      <c r="H105" s="92">
        <f t="shared" si="613"/>
        <v>0</v>
      </c>
      <c r="I105" s="92">
        <f t="shared" si="613"/>
        <v>0</v>
      </c>
      <c r="J105" s="92">
        <f t="shared" si="613"/>
        <v>0</v>
      </c>
      <c r="K105" s="93">
        <f t="shared" ref="K105" si="614">J105</f>
        <v>0</v>
      </c>
      <c r="L105" s="92">
        <f t="shared" ref="L105:O105" si="615">L13</f>
        <v>0</v>
      </c>
      <c r="M105" s="92">
        <f t="shared" si="615"/>
        <v>0</v>
      </c>
      <c r="N105" s="92">
        <f t="shared" si="615"/>
        <v>0</v>
      </c>
      <c r="O105" s="92">
        <f t="shared" si="615"/>
        <v>0</v>
      </c>
      <c r="P105" s="93">
        <f t="shared" ref="P105" si="616">O105</f>
        <v>0</v>
      </c>
      <c r="Q105" s="92">
        <f t="shared" ref="Q105:T105" si="617">Q13</f>
        <v>0</v>
      </c>
      <c r="R105" s="92">
        <f t="shared" si="617"/>
        <v>0</v>
      </c>
      <c r="S105" s="92">
        <f t="shared" si="617"/>
        <v>0</v>
      </c>
      <c r="T105" s="92">
        <f t="shared" si="617"/>
        <v>0</v>
      </c>
      <c r="U105" s="93">
        <f t="shared" ref="U105" si="618">T105</f>
        <v>0</v>
      </c>
      <c r="V105" s="92">
        <f t="shared" ref="V105:Y105" si="619">V13</f>
        <v>0</v>
      </c>
      <c r="W105" s="92">
        <f t="shared" si="619"/>
        <v>0</v>
      </c>
      <c r="X105" s="92">
        <f t="shared" si="619"/>
        <v>0</v>
      </c>
      <c r="Y105" s="92">
        <f t="shared" si="619"/>
        <v>0</v>
      </c>
      <c r="Z105" s="93">
        <f t="shared" ref="Z105" si="620">Y105</f>
        <v>0</v>
      </c>
      <c r="AA105" s="92">
        <f t="shared" ref="AA105:AD105" si="621">AA13</f>
        <v>0</v>
      </c>
      <c r="AB105" s="92">
        <f t="shared" si="621"/>
        <v>0</v>
      </c>
      <c r="AC105" s="92">
        <f t="shared" si="621"/>
        <v>0</v>
      </c>
      <c r="AD105" s="92">
        <f t="shared" si="621"/>
        <v>0</v>
      </c>
      <c r="AE105" s="93">
        <f t="shared" ref="AE105" si="622">AD105</f>
        <v>0</v>
      </c>
      <c r="AF105" s="92">
        <f>AF13</f>
        <v>0</v>
      </c>
      <c r="AG105" s="92">
        <f>AG13</f>
        <v>0</v>
      </c>
      <c r="AH105" s="92">
        <f>AH13</f>
        <v>0</v>
      </c>
      <c r="AI105" s="92">
        <f>AI13</f>
        <v>0</v>
      </c>
      <c r="AJ105" s="93">
        <f>AI105</f>
        <v>0</v>
      </c>
      <c r="AK105" s="92">
        <f>AK13</f>
        <v>0</v>
      </c>
      <c r="AL105" s="92">
        <f>AL13</f>
        <v>0</v>
      </c>
      <c r="AM105" s="92">
        <f>AM13</f>
        <v>0</v>
      </c>
      <c r="AN105" s="92">
        <f>AN13</f>
        <v>0</v>
      </c>
      <c r="AO105" s="93">
        <f>AN105</f>
        <v>0</v>
      </c>
      <c r="AP105" s="92">
        <f>AP13</f>
        <v>0</v>
      </c>
      <c r="AQ105" s="92">
        <f>AQ13</f>
        <v>0</v>
      </c>
      <c r="AR105" s="92">
        <f>AR13</f>
        <v>0</v>
      </c>
      <c r="AS105" s="92">
        <f>AS13</f>
        <v>0</v>
      </c>
      <c r="AT105" s="93">
        <f>AS105</f>
        <v>0</v>
      </c>
      <c r="AU105" s="92">
        <f>AU13</f>
        <v>0</v>
      </c>
      <c r="AV105" s="92">
        <f>AV13</f>
        <v>0</v>
      </c>
      <c r="AW105" s="92">
        <f>AW13</f>
        <v>0</v>
      </c>
      <c r="AX105" s="92">
        <f>AX13</f>
        <v>93699</v>
      </c>
      <c r="AY105" s="93">
        <f>AX105</f>
        <v>93699</v>
      </c>
      <c r="AZ105" s="92">
        <f>AZ13</f>
        <v>134986</v>
      </c>
      <c r="BA105" s="92">
        <f>BA13</f>
        <v>87531</v>
      </c>
      <c r="BB105" s="92">
        <f>BB13</f>
        <v>129304</v>
      </c>
      <c r="BC105" s="92">
        <f>BC13</f>
        <v>152181</v>
      </c>
      <c r="BD105" s="93">
        <f>BC105</f>
        <v>152181</v>
      </c>
      <c r="BE105" s="92">
        <f>BE13</f>
        <v>265490</v>
      </c>
      <c r="BF105" s="92">
        <f>BF13</f>
        <v>203122</v>
      </c>
      <c r="BG105" s="92">
        <f>BG13</f>
        <v>202292</v>
      </c>
      <c r="BH105" s="92">
        <f>BH13</f>
        <v>343343</v>
      </c>
      <c r="BI105" s="93">
        <f>BH105</f>
        <v>343343</v>
      </c>
      <c r="BJ105" s="92">
        <f>BJ13</f>
        <v>255536</v>
      </c>
      <c r="BK105" s="92">
        <f>BK13</f>
        <v>274419</v>
      </c>
      <c r="BL105" s="92">
        <f>BL13</f>
        <v>277990</v>
      </c>
      <c r="BM105" s="92">
        <f>BM13</f>
        <v>372885</v>
      </c>
      <c r="BN105" s="93">
        <f>BM105</f>
        <v>372885</v>
      </c>
      <c r="BO105" s="92">
        <f>BO13</f>
        <v>424492</v>
      </c>
      <c r="BP105" s="92">
        <f>BP13</f>
        <v>319737</v>
      </c>
      <c r="BQ105" s="92">
        <f>BQ13</f>
        <v>335412</v>
      </c>
      <c r="BR105" s="92">
        <f>BR13</f>
        <v>396885</v>
      </c>
      <c r="BS105" s="93">
        <f>BR105</f>
        <v>396885</v>
      </c>
      <c r="BT105" s="92">
        <f>BT13</f>
        <v>481860</v>
      </c>
      <c r="BU105" s="92">
        <f>BU13</f>
        <v>464458</v>
      </c>
      <c r="BV105" s="92">
        <f>BV13</f>
        <v>483282</v>
      </c>
      <c r="BW105" s="92">
        <f>BW13</f>
        <v>836484</v>
      </c>
      <c r="BX105" s="93">
        <f>BW105</f>
        <v>836484</v>
      </c>
      <c r="BY105" s="92">
        <f>BY13</f>
        <v>672097</v>
      </c>
      <c r="BZ105" s="92">
        <f>BZ13</f>
        <v>672097</v>
      </c>
      <c r="CA105" s="92">
        <f>CA13</f>
        <v>742901</v>
      </c>
      <c r="CB105" s="92">
        <f>CB13</f>
        <v>829071</v>
      </c>
      <c r="CC105" s="93">
        <f>CB105</f>
        <v>829071</v>
      </c>
      <c r="CD105" s="92">
        <f>CD13</f>
        <v>955586</v>
      </c>
      <c r="CE105" s="92">
        <f>CE13</f>
        <v>800816</v>
      </c>
      <c r="CF105" s="92">
        <f>CF106*Operating!CF45</f>
        <v>811634.25595777482</v>
      </c>
      <c r="CG105" s="92">
        <f>CG106*Operating!CG45</f>
        <v>831081.31842930068</v>
      </c>
      <c r="CH105" s="93">
        <f>CG105</f>
        <v>831081.31842930068</v>
      </c>
      <c r="CI105" s="92">
        <f>CI106*Operating!CI45</f>
        <v>808453.27480161435</v>
      </c>
      <c r="CJ105" s="92">
        <f>CJ106*Operating!CJ45</f>
        <v>799789.96666987159</v>
      </c>
      <c r="CK105" s="92">
        <f>CK106*Operating!CK45</f>
        <v>817892.40157202072</v>
      </c>
      <c r="CL105" s="92">
        <f>CL106*Operating!CL45</f>
        <v>836641.35200638953</v>
      </c>
      <c r="CM105" s="93">
        <f>CL105</f>
        <v>836641.35200638953</v>
      </c>
      <c r="CN105" s="92">
        <f>CN106*Operating!CN45</f>
        <v>813108.18663359561</v>
      </c>
      <c r="CO105" s="92">
        <f>CO106*Operating!CO45</f>
        <v>804084.76144123683</v>
      </c>
      <c r="CP105" s="92">
        <f>CP106*Operating!CP45</f>
        <v>822885.82236069767</v>
      </c>
      <c r="CQ105" s="92">
        <f>CQ106*Operating!CQ45</f>
        <v>842350.76897407544</v>
      </c>
      <c r="CR105" s="93">
        <f>CQ105</f>
        <v>842350.76897407544</v>
      </c>
      <c r="CS105" s="92">
        <f>CS106*Operating!CS45</f>
        <v>817888.16362979787</v>
      </c>
      <c r="CT105" s="92">
        <f>CT106*Operating!CT45</f>
        <v>808508.35917775962</v>
      </c>
      <c r="CU105" s="92">
        <f>CU106*Operating!CU45</f>
        <v>828051.96608489484</v>
      </c>
      <c r="CV105" s="92">
        <f>CV106*Operating!CV45</f>
        <v>848285.67878386623</v>
      </c>
      <c r="CW105" s="93">
        <f>CV105</f>
        <v>848285.67878386623</v>
      </c>
      <c r="CX105" s="92">
        <f>CX106*Operating!CX45</f>
        <v>822856.92533101805</v>
      </c>
      <c r="CY105" s="92">
        <f>CY106*Operating!CY45</f>
        <v>782897.45561939944</v>
      </c>
      <c r="CZ105" s="92">
        <f>CZ106*Operating!CZ45</f>
        <v>746570.66497247352</v>
      </c>
      <c r="DA105" s="92">
        <f>DA106*Operating!DA45</f>
        <v>692080.47900208447</v>
      </c>
      <c r="DB105" s="93">
        <f>DA105</f>
        <v>692080.47900208447</v>
      </c>
    </row>
    <row r="106" spans="1:106" ht="11.5" customHeight="1" x14ac:dyDescent="0.35">
      <c r="A106" s="149" t="s">
        <v>151</v>
      </c>
      <c r="B106" s="436" t="e">
        <f>B105/Operating!B45</f>
        <v>#DIV/0!</v>
      </c>
      <c r="C106" s="436" t="e">
        <f>C105/Operating!C45</f>
        <v>#DIV/0!</v>
      </c>
      <c r="D106" s="436" t="e">
        <f>D105/Operating!D45</f>
        <v>#DIV/0!</v>
      </c>
      <c r="E106" s="436" t="e">
        <f>E105/Operating!E45</f>
        <v>#DIV/0!</v>
      </c>
      <c r="F106" s="437" t="e">
        <f>F105/Operating!F45</f>
        <v>#DIV/0!</v>
      </c>
      <c r="G106" s="436" t="e">
        <f>G105/Operating!G45</f>
        <v>#DIV/0!</v>
      </c>
      <c r="H106" s="436" t="e">
        <f>H105/Operating!H45</f>
        <v>#DIV/0!</v>
      </c>
      <c r="I106" s="436" t="e">
        <f>I105/Operating!I45</f>
        <v>#DIV/0!</v>
      </c>
      <c r="J106" s="436" t="e">
        <f>J105/Operating!J45</f>
        <v>#DIV/0!</v>
      </c>
      <c r="K106" s="437" t="e">
        <f>K105/Operating!K45</f>
        <v>#DIV/0!</v>
      </c>
      <c r="L106" s="436" t="e">
        <f>L105/Operating!L45</f>
        <v>#DIV/0!</v>
      </c>
      <c r="M106" s="436" t="e">
        <f>M105/Operating!M45</f>
        <v>#DIV/0!</v>
      </c>
      <c r="N106" s="436" t="e">
        <f>N105/Operating!N45</f>
        <v>#DIV/0!</v>
      </c>
      <c r="O106" s="436" t="e">
        <f>O105/Operating!O45</f>
        <v>#DIV/0!</v>
      </c>
      <c r="P106" s="437" t="e">
        <f>P105/Operating!P45</f>
        <v>#DIV/0!</v>
      </c>
      <c r="Q106" s="436" t="e">
        <f>Q105/Operating!Q45</f>
        <v>#DIV/0!</v>
      </c>
      <c r="R106" s="436" t="e">
        <f>R105/Operating!R45</f>
        <v>#DIV/0!</v>
      </c>
      <c r="S106" s="436" t="e">
        <f>S105/Operating!S45</f>
        <v>#DIV/0!</v>
      </c>
      <c r="T106" s="436" t="e">
        <f>T105/Operating!T45</f>
        <v>#DIV/0!</v>
      </c>
      <c r="U106" s="437" t="e">
        <f>U105/Operating!U45</f>
        <v>#DIV/0!</v>
      </c>
      <c r="V106" s="436" t="e">
        <f>V105/Operating!V45</f>
        <v>#DIV/0!</v>
      </c>
      <c r="W106" s="436" t="e">
        <f>W105/Operating!W45</f>
        <v>#DIV/0!</v>
      </c>
      <c r="X106" s="436" t="e">
        <f>X105/Operating!X45</f>
        <v>#DIV/0!</v>
      </c>
      <c r="Y106" s="436" t="e">
        <f>Y105/Operating!Y45</f>
        <v>#DIV/0!</v>
      </c>
      <c r="Z106" s="437" t="e">
        <f>Z105/Operating!Z45</f>
        <v>#DIV/0!</v>
      </c>
      <c r="AA106" s="436" t="e">
        <f>AA105/Operating!AA45</f>
        <v>#DIV/0!</v>
      </c>
      <c r="AB106" s="436" t="e">
        <f>AB105/Operating!AB45</f>
        <v>#DIV/0!</v>
      </c>
      <c r="AC106" s="436" t="e">
        <f>AC105/Operating!AC45</f>
        <v>#DIV/0!</v>
      </c>
      <c r="AD106" s="436" t="e">
        <f>AD105/Operating!AD45</f>
        <v>#DIV/0!</v>
      </c>
      <c r="AE106" s="437" t="e">
        <f>AE105/Operating!AE45</f>
        <v>#DIV/0!</v>
      </c>
      <c r="AF106" s="436" t="e">
        <f>AF105/Operating!AF45</f>
        <v>#DIV/0!</v>
      </c>
      <c r="AG106" s="436" t="e">
        <f>AG105/Operating!AG45</f>
        <v>#DIV/0!</v>
      </c>
      <c r="AH106" s="436" t="e">
        <f>AH105/Operating!AH45</f>
        <v>#DIV/0!</v>
      </c>
      <c r="AI106" s="436" t="e">
        <f>AI105/Operating!AI45</f>
        <v>#DIV/0!</v>
      </c>
      <c r="AJ106" s="437" t="e">
        <f>AJ105/Operating!AJ45</f>
        <v>#DIV/0!</v>
      </c>
      <c r="AK106" s="436" t="e">
        <f>AK105/Operating!AK45</f>
        <v>#DIV/0!</v>
      </c>
      <c r="AL106" s="436" t="e">
        <f>AL105/Operating!AL45</f>
        <v>#DIV/0!</v>
      </c>
      <c r="AM106" s="436" t="e">
        <f>AM105/Operating!AM45</f>
        <v>#DIV/0!</v>
      </c>
      <c r="AN106" s="436" t="e">
        <f>AN105/Operating!AN45</f>
        <v>#DIV/0!</v>
      </c>
      <c r="AO106" s="437" t="e">
        <f>AO105/Operating!AO45</f>
        <v>#DIV/0!</v>
      </c>
      <c r="AP106" s="436" t="e">
        <f>AP105/Operating!AP45</f>
        <v>#DIV/0!</v>
      </c>
      <c r="AQ106" s="436" t="e">
        <f>AQ105/Operating!AQ45</f>
        <v>#DIV/0!</v>
      </c>
      <c r="AR106" s="436" t="e">
        <f>AR105/Operating!AR45</f>
        <v>#DIV/0!</v>
      </c>
      <c r="AS106" s="436" t="e">
        <f>AS105/Operating!AS45</f>
        <v>#DIV/0!</v>
      </c>
      <c r="AT106" s="437" t="e">
        <f>AT105/Operating!AT45</f>
        <v>#DIV/0!</v>
      </c>
      <c r="AU106" s="436" t="e">
        <f>AU105/Operating!AU45</f>
        <v>#DIV/0!</v>
      </c>
      <c r="AV106" s="436" t="e">
        <f>AV105/Operating!AV45</f>
        <v>#DIV/0!</v>
      </c>
      <c r="AW106" s="436">
        <f>AW105/Operating!AW45</f>
        <v>0</v>
      </c>
      <c r="AX106" s="436">
        <f>AX105/Operating!AX45</f>
        <v>1.625026014568158E-2</v>
      </c>
      <c r="AY106" s="437">
        <f>AY105/Operating!AY45</f>
        <v>1.625026014568158E-2</v>
      </c>
      <c r="AZ106" s="436">
        <f>AZ105/Operating!AZ45</f>
        <v>1.8072834382112733E-2</v>
      </c>
      <c r="BA106" s="436">
        <f>BA105/Operating!BA45</f>
        <v>1.1017117684078037E-2</v>
      </c>
      <c r="BB106" s="436">
        <f>BB105/Operating!BB45</f>
        <v>1.4647032170367015E-2</v>
      </c>
      <c r="BC106" s="436">
        <f>BC105/Operating!BC45</f>
        <v>1.4449887221468635E-2</v>
      </c>
      <c r="BD106" s="437">
        <f>BD105/Operating!BD45</f>
        <v>1.4449887221468635E-2</v>
      </c>
      <c r="BE106" s="436">
        <f>BE105/Operating!BE45</f>
        <v>2.6639574553481839E-2</v>
      </c>
      <c r="BF106" s="436">
        <f>BF105/Operating!BF45</f>
        <v>1.9474784276126558E-2</v>
      </c>
      <c r="BG106" s="436">
        <f>BG105/Operating!BG45</f>
        <v>1.7657402912783681E-2</v>
      </c>
      <c r="BH106" s="436">
        <f>BH105/Operating!BH45</f>
        <v>3.5057823364557567E-2</v>
      </c>
      <c r="BI106" s="437">
        <f>BI105/Operating!BI45</f>
        <v>3.5057823364557567E-2</v>
      </c>
      <c r="BJ106" s="436">
        <f>BJ105/Operating!BJ45</f>
        <v>2.5675015597476016E-2</v>
      </c>
      <c r="BK106" s="436">
        <f>BK105/Operating!BK45</f>
        <v>2.8445471293668964E-2</v>
      </c>
      <c r="BL106" s="436">
        <f>BL105/Operating!BL45</f>
        <v>2.650781763190432E-2</v>
      </c>
      <c r="BM106" s="436">
        <f>BM105/Operating!BM45</f>
        <v>3.6779411784102108E-2</v>
      </c>
      <c r="BN106" s="437">
        <f>BN105/Operating!BN45</f>
        <v>3.6779411784102108E-2</v>
      </c>
      <c r="BO106" s="436">
        <f>BO105/Operating!BO45</f>
        <v>4.2854036661029847E-2</v>
      </c>
      <c r="BP106" s="436">
        <f>BP105/Operating!BP45</f>
        <v>3.1400469206876724E-2</v>
      </c>
      <c r="BQ106" s="436">
        <f>BQ105/Operating!BQ45</f>
        <v>2.8309364250425781E-2</v>
      </c>
      <c r="BR106" s="436">
        <f>BR105/Operating!BR45</f>
        <v>2.7356195142919336E-2</v>
      </c>
      <c r="BS106" s="437">
        <f>BS105/Operating!BS45</f>
        <v>2.7356195142919336E-2</v>
      </c>
      <c r="BT106" s="436">
        <f>BT105/Operating!BT45</f>
        <v>3.0814631250371368E-2</v>
      </c>
      <c r="BU106" s="436">
        <f>BU105/Operating!BU45</f>
        <v>2.641129757889223E-2</v>
      </c>
      <c r="BV106" s="436">
        <f>BV105/Operating!BV45</f>
        <v>2.4761755916379666E-2</v>
      </c>
      <c r="BW106" s="436">
        <f>BW105/Operating!BW45</f>
        <v>4.1569792867649981E-2</v>
      </c>
      <c r="BX106" s="437">
        <f>BX105/Operating!BX45</f>
        <v>4.1569792867649981E-2</v>
      </c>
      <c r="BY106" s="436">
        <f>BY105/Operating!BY45</f>
        <v>3.39351347070945E-2</v>
      </c>
      <c r="BZ106" s="436">
        <f>BZ105/Operating!BZ45</f>
        <v>3.1831247731610904E-2</v>
      </c>
      <c r="CA106" s="436">
        <f>CA105/Operating!CA45</f>
        <v>3.182447512605114E-2</v>
      </c>
      <c r="CB106" s="436">
        <f>CB105/Operating!CB45</f>
        <v>3.3645586880562309E-2</v>
      </c>
      <c r="CC106" s="437">
        <f>CC105/Operating!CC45</f>
        <v>3.3645586880562309E-2</v>
      </c>
      <c r="CD106" s="436">
        <f>CD105/Operating!CD45</f>
        <v>3.8339070637041318E-2</v>
      </c>
      <c r="CE106" s="436">
        <f>CE105/Operating!CE45</f>
        <v>3.0691071866568557E-2</v>
      </c>
      <c r="CF106" s="436">
        <f>CE106</f>
        <v>3.0691071866568557E-2</v>
      </c>
      <c r="CG106" s="436">
        <f>CF106</f>
        <v>3.0691071866568557E-2</v>
      </c>
      <c r="CH106" s="437">
        <f>CH105/Operating!CH45</f>
        <v>3.0691071866568557E-2</v>
      </c>
      <c r="CI106" s="436">
        <f>CG106</f>
        <v>3.0691071866568557E-2</v>
      </c>
      <c r="CJ106" s="436">
        <f>CI106</f>
        <v>3.0691071866568557E-2</v>
      </c>
      <c r="CK106" s="436">
        <f>CJ106</f>
        <v>3.0691071866568557E-2</v>
      </c>
      <c r="CL106" s="436">
        <f>CK106</f>
        <v>3.0691071866568557E-2</v>
      </c>
      <c r="CM106" s="437">
        <f>CM105/Operating!CM45</f>
        <v>3.0691071866568557E-2</v>
      </c>
      <c r="CN106" s="436">
        <f>CL106</f>
        <v>3.0691071866568557E-2</v>
      </c>
      <c r="CO106" s="436">
        <f>CN106</f>
        <v>3.0691071866568557E-2</v>
      </c>
      <c r="CP106" s="436">
        <f>CO106</f>
        <v>3.0691071866568557E-2</v>
      </c>
      <c r="CQ106" s="436">
        <f>CP106</f>
        <v>3.0691071866568557E-2</v>
      </c>
      <c r="CR106" s="437">
        <f>CR105/Operating!CR45</f>
        <v>3.069107186656856E-2</v>
      </c>
      <c r="CS106" s="436">
        <f>CQ106</f>
        <v>3.0691071866568557E-2</v>
      </c>
      <c r="CT106" s="436">
        <f>CS106</f>
        <v>3.0691071866568557E-2</v>
      </c>
      <c r="CU106" s="436">
        <f>CT106</f>
        <v>3.0691071866568557E-2</v>
      </c>
      <c r="CV106" s="436">
        <f>CU106</f>
        <v>3.0691071866568557E-2</v>
      </c>
      <c r="CW106" s="437">
        <f>CW105/Operating!CW45</f>
        <v>3.0691071866568557E-2</v>
      </c>
      <c r="CX106" s="436">
        <f>CV106</f>
        <v>3.0691071866568557E-2</v>
      </c>
      <c r="CY106" s="436">
        <f>CX106</f>
        <v>3.0691071866568557E-2</v>
      </c>
      <c r="CZ106" s="436">
        <f>CY106</f>
        <v>3.0691071866568557E-2</v>
      </c>
      <c r="DA106" s="436">
        <f>CZ106</f>
        <v>3.0691071866568557E-2</v>
      </c>
      <c r="DB106" s="437">
        <f>DB105/Operating!DB45</f>
        <v>3.0691071866568557E-2</v>
      </c>
    </row>
    <row r="107" spans="1:106" ht="11.5" customHeight="1" x14ac:dyDescent="0.35">
      <c r="A107" s="19" t="s">
        <v>237</v>
      </c>
      <c r="B107" s="92">
        <f t="shared" ref="B107:E107" si="623">B14</f>
        <v>0</v>
      </c>
      <c r="C107" s="92">
        <f t="shared" si="623"/>
        <v>0</v>
      </c>
      <c r="D107" s="92">
        <f t="shared" si="623"/>
        <v>0</v>
      </c>
      <c r="E107" s="92">
        <f t="shared" si="623"/>
        <v>0</v>
      </c>
      <c r="F107" s="93">
        <f t="shared" ref="F107" si="624">E107</f>
        <v>0</v>
      </c>
      <c r="G107" s="92">
        <f t="shared" ref="G107:J107" si="625">G14</f>
        <v>0</v>
      </c>
      <c r="H107" s="92">
        <f t="shared" si="625"/>
        <v>0</v>
      </c>
      <c r="I107" s="92">
        <f t="shared" si="625"/>
        <v>0</v>
      </c>
      <c r="J107" s="92">
        <f t="shared" si="625"/>
        <v>0</v>
      </c>
      <c r="K107" s="93">
        <f t="shared" ref="K107" si="626">J107</f>
        <v>0</v>
      </c>
      <c r="L107" s="92">
        <f t="shared" ref="L107:O107" si="627">L14</f>
        <v>0</v>
      </c>
      <c r="M107" s="92">
        <f t="shared" si="627"/>
        <v>0</v>
      </c>
      <c r="N107" s="92">
        <f t="shared" si="627"/>
        <v>0</v>
      </c>
      <c r="O107" s="92">
        <f t="shared" si="627"/>
        <v>0</v>
      </c>
      <c r="P107" s="93">
        <f t="shared" ref="P107" si="628">O107</f>
        <v>0</v>
      </c>
      <c r="Q107" s="92">
        <f t="shared" ref="Q107:T107" si="629">Q14</f>
        <v>0</v>
      </c>
      <c r="R107" s="92">
        <f t="shared" si="629"/>
        <v>0</v>
      </c>
      <c r="S107" s="92">
        <f t="shared" si="629"/>
        <v>0</v>
      </c>
      <c r="T107" s="92">
        <f t="shared" si="629"/>
        <v>0</v>
      </c>
      <c r="U107" s="93">
        <f t="shared" ref="U107" si="630">T107</f>
        <v>0</v>
      </c>
      <c r="V107" s="92">
        <f t="shared" ref="V107:Y107" si="631">V14</f>
        <v>0</v>
      </c>
      <c r="W107" s="92">
        <f t="shared" si="631"/>
        <v>0</v>
      </c>
      <c r="X107" s="92">
        <f t="shared" si="631"/>
        <v>0</v>
      </c>
      <c r="Y107" s="92">
        <f t="shared" si="631"/>
        <v>0</v>
      </c>
      <c r="Z107" s="93">
        <f t="shared" ref="Z107" si="632">Y107</f>
        <v>0</v>
      </c>
      <c r="AA107" s="92">
        <f t="shared" ref="AA107:AD107" si="633">AA14</f>
        <v>0</v>
      </c>
      <c r="AB107" s="92">
        <f t="shared" si="633"/>
        <v>0</v>
      </c>
      <c r="AC107" s="92">
        <f t="shared" si="633"/>
        <v>0</v>
      </c>
      <c r="AD107" s="92">
        <f t="shared" si="633"/>
        <v>0</v>
      </c>
      <c r="AE107" s="93">
        <f t="shared" ref="AE107" si="634">AD107</f>
        <v>0</v>
      </c>
      <c r="AF107" s="92">
        <f>AF14</f>
        <v>0</v>
      </c>
      <c r="AG107" s="92">
        <f>AG14</f>
        <v>0</v>
      </c>
      <c r="AH107" s="92">
        <f>AH14</f>
        <v>0</v>
      </c>
      <c r="AI107" s="92">
        <f>AI14</f>
        <v>0</v>
      </c>
      <c r="AJ107" s="93">
        <f>AI107</f>
        <v>0</v>
      </c>
      <c r="AK107" s="92">
        <f>AK14</f>
        <v>231020</v>
      </c>
      <c r="AL107" s="92">
        <f>AL14</f>
        <v>223747</v>
      </c>
      <c r="AM107" s="92">
        <f>AM14</f>
        <v>249339</v>
      </c>
      <c r="AN107" s="92">
        <f>AN14</f>
        <v>249149</v>
      </c>
      <c r="AO107" s="93">
        <f>AN107</f>
        <v>249149</v>
      </c>
      <c r="AP107" s="92">
        <f>AP14</f>
        <v>233112</v>
      </c>
      <c r="AQ107" s="92">
        <f>AQ14</f>
        <v>193980</v>
      </c>
      <c r="AR107" s="92">
        <f>AR14</f>
        <v>241342</v>
      </c>
      <c r="AS107" s="92">
        <f>AS14</f>
        <v>241079</v>
      </c>
      <c r="AT107" s="93">
        <f>AS107</f>
        <v>241079</v>
      </c>
      <c r="AU107" s="92">
        <f>AU14</f>
        <v>218101</v>
      </c>
      <c r="AV107" s="92">
        <f>AV14</f>
        <v>206870</v>
      </c>
      <c r="AW107" s="92">
        <f>AW14</f>
        <v>235880</v>
      </c>
      <c r="AX107" s="92">
        <f>AX14</f>
        <v>100326</v>
      </c>
      <c r="AY107" s="93">
        <f>AX107</f>
        <v>100326</v>
      </c>
      <c r="AZ107" s="92">
        <f>AZ14</f>
        <v>75703</v>
      </c>
      <c r="BA107" s="92">
        <f>BA14</f>
        <v>102495</v>
      </c>
      <c r="BB107" s="92">
        <f>BB14</f>
        <v>89754</v>
      </c>
      <c r="BC107" s="92">
        <f>BC14</f>
        <v>136569</v>
      </c>
      <c r="BD107" s="93">
        <f>BC107</f>
        <v>136569</v>
      </c>
      <c r="BE107" s="92">
        <f>BE14</f>
        <v>141608</v>
      </c>
      <c r="BF107" s="92">
        <f>BF14</f>
        <v>151854</v>
      </c>
      <c r="BG107" s="92">
        <f>BG14</f>
        <v>168352</v>
      </c>
      <c r="BH107" s="92">
        <f>BH14</f>
        <v>175219</v>
      </c>
      <c r="BI107" s="93">
        <f>BH107</f>
        <v>175219</v>
      </c>
      <c r="BJ107" s="92">
        <f>BJ14</f>
        <v>233624</v>
      </c>
      <c r="BK107" s="92">
        <f>BK14</f>
        <v>185800</v>
      </c>
      <c r="BL107" s="92">
        <f>BL14</f>
        <v>238927</v>
      </c>
      <c r="BM107" s="92">
        <f>BM14</f>
        <v>220026</v>
      </c>
      <c r="BN107" s="93">
        <f>BM107</f>
        <v>220026</v>
      </c>
      <c r="BO107" s="92">
        <f>BO14</f>
        <v>277060</v>
      </c>
      <c r="BP107" s="92">
        <f>BP14</f>
        <v>326500</v>
      </c>
      <c r="BQ107" s="92">
        <f>BQ14</f>
        <v>341906</v>
      </c>
      <c r="BR107" s="92">
        <f>BR14</f>
        <v>309364</v>
      </c>
      <c r="BS107" s="93">
        <f>BR107</f>
        <v>309364</v>
      </c>
      <c r="BT107" s="92">
        <f>BT14</f>
        <v>319575</v>
      </c>
      <c r="BU107" s="92">
        <f>BU14</f>
        <v>289267</v>
      </c>
      <c r="BV107" s="92">
        <f>BV14</f>
        <v>296756</v>
      </c>
      <c r="BW107" s="92">
        <f>BW14</f>
        <v>346247</v>
      </c>
      <c r="BX107" s="93">
        <f>BW107</f>
        <v>346247</v>
      </c>
      <c r="BY107" s="92">
        <f>BY14</f>
        <v>452810</v>
      </c>
      <c r="BZ107" s="92">
        <f>BZ14</f>
        <v>501724</v>
      </c>
      <c r="CA107" s="92">
        <f>CA14</f>
        <v>555062</v>
      </c>
      <c r="CB107" s="92">
        <f>CB14</f>
        <v>488926</v>
      </c>
      <c r="CC107" s="93">
        <f>CB107</f>
        <v>488926</v>
      </c>
      <c r="CD107" s="92">
        <f>CD14</f>
        <v>538848</v>
      </c>
      <c r="CE107" s="92">
        <f>CE14</f>
        <v>684935</v>
      </c>
      <c r="CF107" s="92">
        <f>CF108*(Operating!CF25+Operating!CF26)</f>
        <v>696290.6243499585</v>
      </c>
      <c r="CG107" s="92">
        <f>CG108*(Operating!CG25+Operating!CG26)</f>
        <v>663279.50815685384</v>
      </c>
      <c r="CH107" s="93">
        <f>CG107</f>
        <v>663279.50815685384</v>
      </c>
      <c r="CI107" s="92">
        <f>CI108*(Operating!CI25+Operating!CI26)</f>
        <v>821245.83226441173</v>
      </c>
      <c r="CJ107" s="92">
        <f>CJ108*(Operating!CJ25+Operating!CJ26)</f>
        <v>865820.74963339651</v>
      </c>
      <c r="CK107" s="92">
        <f>CK108*(Operating!CK25+Operating!CK26)</f>
        <v>788762.48077797191</v>
      </c>
      <c r="CL107" s="92">
        <f>CL108*(Operating!CL25+Operating!CL26)</f>
        <v>741801.66547810705</v>
      </c>
      <c r="CM107" s="93">
        <f>CL107</f>
        <v>741801.66547810705</v>
      </c>
      <c r="CN107" s="92">
        <f>CN108*(Operating!CN25+Operating!CN26)</f>
        <v>902672.86805660755</v>
      </c>
      <c r="CO107" s="92">
        <f>CO108*(Operating!CO25+Operating!CO26)</f>
        <v>950588.00968016055</v>
      </c>
      <c r="CP107" s="92">
        <f>CP108*(Operating!CP25+Operating!CP26)</f>
        <v>872833.76861976541</v>
      </c>
      <c r="CQ107" s="92">
        <f>CQ108*(Operating!CQ25+Operating!CQ26)</f>
        <v>823575.17771374166</v>
      </c>
      <c r="CR107" s="93">
        <f>CQ107</f>
        <v>823575.17771374166</v>
      </c>
      <c r="CS107" s="92">
        <f>CS108*(Operating!CS25+Operating!CS26)</f>
        <v>971545.62793634762</v>
      </c>
      <c r="CT107" s="92">
        <f>CT108*(Operating!CT25+Operating!CT26)</f>
        <v>1009173.6811863506</v>
      </c>
      <c r="CU107" s="92">
        <f>CU108*(Operating!CU25+Operating!CU26)</f>
        <v>920677.78649660444</v>
      </c>
      <c r="CV107" s="92">
        <f>CV108*(Operating!CV25+Operating!CV26)</f>
        <v>864578.9839968438</v>
      </c>
      <c r="CW107" s="93">
        <f>CV107</f>
        <v>864578.9839968438</v>
      </c>
      <c r="CX107" s="92">
        <f>CX108*(Operating!CX25+Operating!CX26)</f>
        <v>1015281.194322741</v>
      </c>
      <c r="CY107" s="92">
        <f>CY108*(Operating!CY25+Operating!CY26)</f>
        <v>1052431.871375784</v>
      </c>
      <c r="CZ107" s="92">
        <f>CZ108*(Operating!CZ25+Operating!CZ26)</f>
        <v>959201.31661930832</v>
      </c>
      <c r="DA107" s="92">
        <f>DA108*(Operating!DA25+Operating!DA26)</f>
        <v>900094.39292498236</v>
      </c>
      <c r="DB107" s="93">
        <f>DA107</f>
        <v>900094.39292498236</v>
      </c>
    </row>
    <row r="108" spans="1:106" ht="11.5" customHeight="1" x14ac:dyDescent="0.35">
      <c r="A108" s="149" t="s">
        <v>236</v>
      </c>
      <c r="B108" s="436" t="e">
        <f>B107/(Operating!B25+Operating!B26)</f>
        <v>#DIV/0!</v>
      </c>
      <c r="C108" s="436" t="e">
        <f>C107/(Operating!C25+Operating!C26)</f>
        <v>#DIV/0!</v>
      </c>
      <c r="D108" s="436" t="e">
        <f>D107/(Operating!D25+Operating!D26)</f>
        <v>#DIV/0!</v>
      </c>
      <c r="E108" s="436" t="e">
        <f>E107/(Operating!E25+Operating!E26)</f>
        <v>#DIV/0!</v>
      </c>
      <c r="F108" s="437" t="e">
        <f>F107/(Operating!F25+Operating!F26)</f>
        <v>#DIV/0!</v>
      </c>
      <c r="G108" s="436" t="e">
        <f>G107/(Operating!G25+Operating!G26)</f>
        <v>#DIV/0!</v>
      </c>
      <c r="H108" s="436" t="e">
        <f>H107/(Operating!H25+Operating!H26)</f>
        <v>#DIV/0!</v>
      </c>
      <c r="I108" s="436" t="e">
        <f>I107/(Operating!I25+Operating!I26)</f>
        <v>#DIV/0!</v>
      </c>
      <c r="J108" s="436" t="e">
        <f>J107/(Operating!J25+Operating!J26)</f>
        <v>#DIV/0!</v>
      </c>
      <c r="K108" s="437" t="e">
        <f>K107/(Operating!K25+Operating!K26)</f>
        <v>#DIV/0!</v>
      </c>
      <c r="L108" s="436" t="e">
        <f>L107/(Operating!L25+Operating!L26)</f>
        <v>#DIV/0!</v>
      </c>
      <c r="M108" s="436" t="e">
        <f>M107/(Operating!M25+Operating!M26)</f>
        <v>#DIV/0!</v>
      </c>
      <c r="N108" s="436" t="e">
        <f>N107/(Operating!N25+Operating!N26)</f>
        <v>#DIV/0!</v>
      </c>
      <c r="O108" s="436" t="e">
        <f>O107/(Operating!O25+Operating!O26)</f>
        <v>#DIV/0!</v>
      </c>
      <c r="P108" s="437" t="e">
        <f>P107/(Operating!P25+Operating!P26)</f>
        <v>#DIV/0!</v>
      </c>
      <c r="Q108" s="436" t="e">
        <f>Q107/(Operating!Q25+Operating!Q26)</f>
        <v>#DIV/0!</v>
      </c>
      <c r="R108" s="436" t="e">
        <f>R107/(Operating!R25+Operating!R26)</f>
        <v>#DIV/0!</v>
      </c>
      <c r="S108" s="436" t="e">
        <f>S107/(Operating!S25+Operating!S26)</f>
        <v>#DIV/0!</v>
      </c>
      <c r="T108" s="436" t="e">
        <f>T107/(Operating!T25+Operating!T26)</f>
        <v>#DIV/0!</v>
      </c>
      <c r="U108" s="437" t="e">
        <f>U107/(Operating!U25+Operating!U26)</f>
        <v>#DIV/0!</v>
      </c>
      <c r="V108" s="436" t="e">
        <f>V107/(Operating!V25+Operating!V26)</f>
        <v>#DIV/0!</v>
      </c>
      <c r="W108" s="436" t="e">
        <f>W107/(Operating!W25+Operating!W26)</f>
        <v>#DIV/0!</v>
      </c>
      <c r="X108" s="436" t="e">
        <f>X107/(Operating!X25+Operating!X26)</f>
        <v>#DIV/0!</v>
      </c>
      <c r="Y108" s="436" t="e">
        <f>Y107/(Operating!Y25+Operating!Y26)</f>
        <v>#DIV/0!</v>
      </c>
      <c r="Z108" s="437" t="e">
        <f>Z107/(Operating!Z25+Operating!Z26)</f>
        <v>#DIV/0!</v>
      </c>
      <c r="AA108" s="436" t="e">
        <f>AA107/(Operating!AA25+Operating!AA26)</f>
        <v>#DIV/0!</v>
      </c>
      <c r="AB108" s="436" t="e">
        <f>AB107/(Operating!AB25+Operating!AB26)</f>
        <v>#DIV/0!</v>
      </c>
      <c r="AC108" s="436" t="e">
        <f>AC107/(Operating!AC25+Operating!AC26)</f>
        <v>#DIV/0!</v>
      </c>
      <c r="AD108" s="436" t="e">
        <f>AD107/(Operating!AD25+Operating!AD26)</f>
        <v>#DIV/0!</v>
      </c>
      <c r="AE108" s="437" t="e">
        <f>AE107/(Operating!AE25+Operating!AE26)</f>
        <v>#DIV/0!</v>
      </c>
      <c r="AF108" s="436" t="e">
        <f>AF107/(Operating!AF25+Operating!AF26)</f>
        <v>#DIV/0!</v>
      </c>
      <c r="AG108" s="436" t="e">
        <f>AG107/(Operating!AG25+Operating!AG26)</f>
        <v>#DIV/0!</v>
      </c>
      <c r="AH108" s="436" t="e">
        <f>AH107/(Operating!AH25+Operating!AH26)</f>
        <v>#DIV/0!</v>
      </c>
      <c r="AI108" s="436" t="e">
        <f>AI107/(Operating!AI25+Operating!AI26)</f>
        <v>#DIV/0!</v>
      </c>
      <c r="AJ108" s="437" t="e">
        <f>AJ107/(Operating!AJ25+Operating!AJ26)</f>
        <v>#DIV/0!</v>
      </c>
      <c r="AK108" s="436">
        <f>AK107/(Operating!AK25+Operating!AK26)</f>
        <v>0.73012123365288684</v>
      </c>
      <c r="AL108" s="436">
        <f>AL107/(Operating!AL25+Operating!AL26)</f>
        <v>0.88021498073058146</v>
      </c>
      <c r="AM108" s="436">
        <f>AM107/(Operating!AM25+Operating!AM26)</f>
        <v>0.64452770625559341</v>
      </c>
      <c r="AN108" s="436">
        <f>AN107/(Operating!AN25+Operating!AN26)</f>
        <v>0.64440934095249436</v>
      </c>
      <c r="AO108" s="437">
        <f>AO107/(Operating!AO25+Operating!AO26)</f>
        <v>0.64440934095249436</v>
      </c>
      <c r="AP108" s="436">
        <f>AP107/(Operating!AP25+Operating!AP26)</f>
        <v>0.65056695586534086</v>
      </c>
      <c r="AQ108" s="436">
        <f>AQ107/(Operating!AQ25+Operating!AQ26)</f>
        <v>0.57245118309917509</v>
      </c>
      <c r="AR108" s="436">
        <f>AR107/(Operating!AR25+Operating!AR26)</f>
        <v>0.59025635522010278</v>
      </c>
      <c r="AS108" s="436">
        <f>AS107/(Operating!AS25+Operating!AS26)</f>
        <v>0.66553876472780404</v>
      </c>
      <c r="AT108" s="437">
        <f>AT107/(Operating!AT25+Operating!AT26)</f>
        <v>0.66553876472780404</v>
      </c>
      <c r="AU108" s="436">
        <f>AU107/(Operating!AU25+Operating!AU26)</f>
        <v>0.60381254412479712</v>
      </c>
      <c r="AV108" s="436">
        <f>AV107/(Operating!AV25+Operating!AV26)</f>
        <v>0.66893944608066658</v>
      </c>
      <c r="AW108" s="436">
        <f>AW107/(Operating!AW25+Operating!AW26)</f>
        <v>0.55086741250323934</v>
      </c>
      <c r="AX108" s="436">
        <f>AX107/(Operating!AX25+Operating!AX26)</f>
        <v>0.1932481004166563</v>
      </c>
      <c r="AY108" s="437">
        <f>AY107/(Operating!AY25+Operating!AY26)</f>
        <v>0.1932481004166563</v>
      </c>
      <c r="AZ108" s="436">
        <f>AZ107/(Operating!AZ25+Operating!AZ26)</f>
        <v>0.1710545910047559</v>
      </c>
      <c r="BA108" s="436">
        <f>BA107/(Operating!BA25+Operating!BA26)</f>
        <v>0.22385287289837882</v>
      </c>
      <c r="BB108" s="436">
        <f>BB107/(Operating!BB25+Operating!BB26)</f>
        <v>0.19663248236884606</v>
      </c>
      <c r="BC108" s="436">
        <f>BC107/(Operating!BC25+Operating!BC26)</f>
        <v>0.18662745448226012</v>
      </c>
      <c r="BD108" s="437">
        <f>BD107/(Operating!BD25+Operating!BD26)</f>
        <v>0.18662745448226012</v>
      </c>
      <c r="BE108" s="436">
        <f>BE107/(Operating!BE25+Operating!BE26)</f>
        <v>0.18915263493419524</v>
      </c>
      <c r="BF108" s="436">
        <f>BF107/(Operating!BF25+Operating!BF26)</f>
        <v>0.20137010279749212</v>
      </c>
      <c r="BG108" s="436">
        <f>BG107/(Operating!BG25+Operating!BG26)</f>
        <v>0.20884597049982576</v>
      </c>
      <c r="BH108" s="436">
        <f>BH107/(Operating!BH25+Operating!BH26)</f>
        <v>0.17903876360213619</v>
      </c>
      <c r="BI108" s="437">
        <f>BI107/(Operating!BI25+Operating!BI26)</f>
        <v>0.17903876360213619</v>
      </c>
      <c r="BJ108" s="436">
        <f>BJ107/(Operating!BJ25+Operating!BJ26)</f>
        <v>0.22328079140494181</v>
      </c>
      <c r="BK108" s="436">
        <f>BK107/(Operating!BK25+Operating!BK26)</f>
        <v>0.15072316898574944</v>
      </c>
      <c r="BL108" s="436">
        <f>BL107/(Operating!BL25+Operating!BL26)</f>
        <v>0.18586617847340817</v>
      </c>
      <c r="BM108" s="436">
        <f>BM107/(Operating!BM25+Operating!BM26)</f>
        <v>0.20831018250287889</v>
      </c>
      <c r="BN108" s="437">
        <f>BN107/(Operating!BN25+Operating!BN26)</f>
        <v>0.20831018250287889</v>
      </c>
      <c r="BO108" s="436">
        <f>BO107/(Operating!BO25+Operating!BO26)</f>
        <v>0.20078709146245721</v>
      </c>
      <c r="BP108" s="436">
        <f>BP107/(Operating!BP25+Operating!BP26)</f>
        <v>0.23127191041480177</v>
      </c>
      <c r="BQ108" s="436">
        <f>BQ107/(Operating!BQ25+Operating!BQ26)</f>
        <v>0.24234077769078788</v>
      </c>
      <c r="BR108" s="436">
        <f>BR107/(Operating!BR25+Operating!BR26)</f>
        <v>0.22144567790064371</v>
      </c>
      <c r="BS108" s="437">
        <f>BS107/(Operating!BS25+Operating!BS26)</f>
        <v>0.22144567790064371</v>
      </c>
      <c r="BT108" s="436">
        <f>BT107/(Operating!BT25+Operating!BT26)</f>
        <v>0.19206844441662724</v>
      </c>
      <c r="BU108" s="436">
        <f>BU107/(Operating!BU25+Operating!BU26)</f>
        <v>0.17140723981989858</v>
      </c>
      <c r="BV108" s="436">
        <f>BV107/(Operating!BV25+Operating!BV26)</f>
        <v>0.16332465153168285</v>
      </c>
      <c r="BW108" s="436">
        <f>BW107/(Operating!BW25+Operating!BW26)</f>
        <v>0.19149175593610368</v>
      </c>
      <c r="BX108" s="437">
        <f>BX107/(Operating!BX25+Operating!BX26)</f>
        <v>0.19149175593610368</v>
      </c>
      <c r="BY108" s="436">
        <f>BY107/(Operating!BY25+Operating!BY26)</f>
        <v>0.18073424126134199</v>
      </c>
      <c r="BZ108" s="436">
        <f>BZ107/(Operating!BZ25+Operating!BZ26)</f>
        <v>0.20359624095143924</v>
      </c>
      <c r="CA108" s="436">
        <f>CA107/(Operating!CA25+Operating!CA26)</f>
        <v>0.21141997409918489</v>
      </c>
      <c r="CB108" s="436">
        <f>CB107/(Operating!CB25+Operating!CB26)</f>
        <v>0.20854169332480274</v>
      </c>
      <c r="CC108" s="437">
        <f>CC107/(Operating!CC25+Operating!CC26)</f>
        <v>0.20854169332480274</v>
      </c>
      <c r="CD108" s="436">
        <f>CD107/(Operating!CD25+Operating!CD26)</f>
        <v>0.1967316538882804</v>
      </c>
      <c r="CE108" s="436">
        <f>CE107/(Operating!CE25+Operating!CE26)</f>
        <v>0.23255975825071301</v>
      </c>
      <c r="CF108" s="436">
        <f>CE108</f>
        <v>0.23255975825071301</v>
      </c>
      <c r="CG108" s="436">
        <f>CF108</f>
        <v>0.23255975825071301</v>
      </c>
      <c r="CH108" s="437">
        <f>CH107/(Operating!CH25+Operating!CH26)</f>
        <v>0.23255975825071301</v>
      </c>
      <c r="CI108" s="436">
        <f>CG108</f>
        <v>0.23255975825071301</v>
      </c>
      <c r="CJ108" s="436">
        <f>CI108</f>
        <v>0.23255975825071301</v>
      </c>
      <c r="CK108" s="436">
        <f>CJ108</f>
        <v>0.23255975825071301</v>
      </c>
      <c r="CL108" s="436">
        <f>CK108</f>
        <v>0.23255975825071301</v>
      </c>
      <c r="CM108" s="437">
        <f>CM107/(Operating!CM25+Operating!CM26)</f>
        <v>0.23255975825071301</v>
      </c>
      <c r="CN108" s="436">
        <f>CL108</f>
        <v>0.23255975825071301</v>
      </c>
      <c r="CO108" s="436">
        <f>CN108</f>
        <v>0.23255975825071301</v>
      </c>
      <c r="CP108" s="436">
        <f>CO108</f>
        <v>0.23255975825071301</v>
      </c>
      <c r="CQ108" s="436">
        <f>CP108</f>
        <v>0.23255975825071301</v>
      </c>
      <c r="CR108" s="437">
        <f>CR107/(Operating!CR25+Operating!CR26)</f>
        <v>0.23255975825071301</v>
      </c>
      <c r="CS108" s="436">
        <f>CQ108</f>
        <v>0.23255975825071301</v>
      </c>
      <c r="CT108" s="436">
        <f>CS108</f>
        <v>0.23255975825071301</v>
      </c>
      <c r="CU108" s="436">
        <f>CT108</f>
        <v>0.23255975825071301</v>
      </c>
      <c r="CV108" s="436">
        <f>CU108</f>
        <v>0.23255975825071301</v>
      </c>
      <c r="CW108" s="437">
        <f>CW107/(Operating!CW25+Operating!CW26)</f>
        <v>0.23255975825071301</v>
      </c>
      <c r="CX108" s="436">
        <f>CV108</f>
        <v>0.23255975825071301</v>
      </c>
      <c r="CY108" s="436">
        <f>CX108</f>
        <v>0.23255975825071301</v>
      </c>
      <c r="CZ108" s="436">
        <f>CY108</f>
        <v>0.23255975825071301</v>
      </c>
      <c r="DA108" s="436">
        <f>CZ108</f>
        <v>0.23255975825071301</v>
      </c>
      <c r="DB108" s="437">
        <f>DB107/(Operating!DB25+Operating!DB26)</f>
        <v>0.23255975825071301</v>
      </c>
    </row>
    <row r="109" spans="1:106" ht="11.5" customHeight="1" x14ac:dyDescent="0.35">
      <c r="A109" s="19" t="s">
        <v>238</v>
      </c>
      <c r="B109" s="92">
        <f t="shared" ref="B109:E109" si="635">B15</f>
        <v>0</v>
      </c>
      <c r="C109" s="92">
        <f t="shared" si="635"/>
        <v>0</v>
      </c>
      <c r="D109" s="92">
        <f t="shared" si="635"/>
        <v>0</v>
      </c>
      <c r="E109" s="92">
        <f t="shared" si="635"/>
        <v>0</v>
      </c>
      <c r="F109" s="93">
        <f t="shared" ref="F109" si="636">E109</f>
        <v>0</v>
      </c>
      <c r="G109" s="92">
        <f t="shared" ref="G109:J109" si="637">G15</f>
        <v>0</v>
      </c>
      <c r="H109" s="92">
        <f t="shared" si="637"/>
        <v>0</v>
      </c>
      <c r="I109" s="92">
        <f t="shared" si="637"/>
        <v>0</v>
      </c>
      <c r="J109" s="92">
        <f t="shared" si="637"/>
        <v>0</v>
      </c>
      <c r="K109" s="93">
        <f t="shared" ref="K109" si="638">J109</f>
        <v>0</v>
      </c>
      <c r="L109" s="92">
        <f t="shared" ref="L109:O109" si="639">L15</f>
        <v>0</v>
      </c>
      <c r="M109" s="92">
        <f t="shared" si="639"/>
        <v>0</v>
      </c>
      <c r="N109" s="92">
        <f t="shared" si="639"/>
        <v>0</v>
      </c>
      <c r="O109" s="92">
        <f t="shared" si="639"/>
        <v>0</v>
      </c>
      <c r="P109" s="93">
        <f t="shared" ref="P109" si="640">O109</f>
        <v>0</v>
      </c>
      <c r="Q109" s="92">
        <f t="shared" ref="Q109:T109" si="641">Q15</f>
        <v>0</v>
      </c>
      <c r="R109" s="92">
        <f t="shared" si="641"/>
        <v>0</v>
      </c>
      <c r="S109" s="92">
        <f t="shared" si="641"/>
        <v>0</v>
      </c>
      <c r="T109" s="92">
        <f t="shared" si="641"/>
        <v>0</v>
      </c>
      <c r="U109" s="93">
        <f t="shared" ref="U109" si="642">T109</f>
        <v>0</v>
      </c>
      <c r="V109" s="92">
        <f t="shared" ref="V109:Y109" si="643">V15</f>
        <v>0</v>
      </c>
      <c r="W109" s="92">
        <f t="shared" si="643"/>
        <v>0</v>
      </c>
      <c r="X109" s="92">
        <f t="shared" si="643"/>
        <v>0</v>
      </c>
      <c r="Y109" s="92">
        <f t="shared" si="643"/>
        <v>0</v>
      </c>
      <c r="Z109" s="93">
        <f t="shared" ref="Z109" si="644">Y109</f>
        <v>0</v>
      </c>
      <c r="AA109" s="92">
        <f t="shared" ref="AA109:AD109" si="645">AA15</f>
        <v>0</v>
      </c>
      <c r="AB109" s="92">
        <f t="shared" si="645"/>
        <v>0</v>
      </c>
      <c r="AC109" s="92">
        <f t="shared" si="645"/>
        <v>0</v>
      </c>
      <c r="AD109" s="92">
        <f t="shared" si="645"/>
        <v>0</v>
      </c>
      <c r="AE109" s="93">
        <f t="shared" ref="AE109" si="646">AD109</f>
        <v>0</v>
      </c>
      <c r="AF109" s="92">
        <f>AF15</f>
        <v>0</v>
      </c>
      <c r="AG109" s="92">
        <f>AG15</f>
        <v>0</v>
      </c>
      <c r="AH109" s="92">
        <f>AH15</f>
        <v>0</v>
      </c>
      <c r="AI109" s="92">
        <f>AI15</f>
        <v>0</v>
      </c>
      <c r="AJ109" s="93">
        <f>AI109</f>
        <v>0</v>
      </c>
      <c r="AK109" s="92">
        <f>AK15</f>
        <v>0</v>
      </c>
      <c r="AL109" s="92">
        <f>AL15</f>
        <v>0</v>
      </c>
      <c r="AM109" s="92">
        <f>AM15</f>
        <v>0</v>
      </c>
      <c r="AN109" s="92">
        <f>AN15</f>
        <v>0</v>
      </c>
      <c r="AO109" s="93">
        <f>AN109</f>
        <v>0</v>
      </c>
      <c r="AP109" s="92">
        <f>AP15</f>
        <v>0</v>
      </c>
      <c r="AQ109" s="92">
        <f>AQ15</f>
        <v>0</v>
      </c>
      <c r="AR109" s="92">
        <f>AR15</f>
        <v>0</v>
      </c>
      <c r="AS109" s="92">
        <f>AS15</f>
        <v>0</v>
      </c>
      <c r="AT109" s="93">
        <f>AS109</f>
        <v>0</v>
      </c>
      <c r="AU109" s="92">
        <f>AU15</f>
        <v>0</v>
      </c>
      <c r="AV109" s="92">
        <f>AV15</f>
        <v>0</v>
      </c>
      <c r="AW109" s="92">
        <f>AW15</f>
        <v>0</v>
      </c>
      <c r="AX109" s="92">
        <f>AX15</f>
        <v>4774</v>
      </c>
      <c r="AY109" s="93">
        <f>AX109</f>
        <v>4774</v>
      </c>
      <c r="AZ109" s="92">
        <f>AZ15</f>
        <v>0</v>
      </c>
      <c r="BA109" s="92">
        <f>BA15</f>
        <v>0</v>
      </c>
      <c r="BB109" s="92">
        <f>BB15</f>
        <v>7646</v>
      </c>
      <c r="BC109" s="92">
        <f>BC15</f>
        <v>7508</v>
      </c>
      <c r="BD109" s="93">
        <f>BC109</f>
        <v>7508</v>
      </c>
      <c r="BE109" s="92">
        <f>BE15</f>
        <v>12387</v>
      </c>
      <c r="BF109" s="92">
        <f>BF15</f>
        <v>10702</v>
      </c>
      <c r="BG109" s="92">
        <f>BG15</f>
        <v>10984</v>
      </c>
      <c r="BH109" s="92">
        <f>BH15</f>
        <v>14146</v>
      </c>
      <c r="BI109" s="93">
        <f>BH109</f>
        <v>14146</v>
      </c>
      <c r="BJ109" s="92">
        <f>BJ15</f>
        <v>11631</v>
      </c>
      <c r="BK109" s="92">
        <f>BK15</f>
        <v>10368</v>
      </c>
      <c r="BL109" s="92">
        <f>BL15</f>
        <v>11223</v>
      </c>
      <c r="BM109" s="92">
        <f>BM15</f>
        <v>11178</v>
      </c>
      <c r="BN109" s="93">
        <f>BM109</f>
        <v>11178</v>
      </c>
      <c r="BO109" s="92">
        <f>BO15</f>
        <v>10946</v>
      </c>
      <c r="BP109" s="92">
        <f>BP15</f>
        <v>11366</v>
      </c>
      <c r="BQ109" s="92">
        <f>BQ15</f>
        <v>11707</v>
      </c>
      <c r="BR109" s="92">
        <f>BR15</f>
        <v>11299</v>
      </c>
      <c r="BS109" s="93">
        <f>BR109</f>
        <v>11299</v>
      </c>
      <c r="BT109" s="92">
        <f>BT15</f>
        <v>9950</v>
      </c>
      <c r="BU109" s="92">
        <f>BU15</f>
        <v>12326</v>
      </c>
      <c r="BV109" s="92">
        <f>BV15</f>
        <v>11579</v>
      </c>
      <c r="BW109" s="92">
        <f>BW15</f>
        <v>10397</v>
      </c>
      <c r="BX109" s="93">
        <f>BW109</f>
        <v>10397</v>
      </c>
      <c r="BY109" s="92">
        <f>BY15</f>
        <v>10036</v>
      </c>
      <c r="BZ109" s="92">
        <f>BZ15</f>
        <v>10036</v>
      </c>
      <c r="CA109" s="92">
        <f>CA15</f>
        <v>18892</v>
      </c>
      <c r="CB109" s="92">
        <f>CB15</f>
        <v>30652</v>
      </c>
      <c r="CC109" s="93">
        <f>CB109</f>
        <v>30652</v>
      </c>
      <c r="CD109" s="92">
        <f>CD15</f>
        <v>27154</v>
      </c>
      <c r="CE109" s="92">
        <f>CE15</f>
        <v>44368</v>
      </c>
      <c r="CF109" s="475">
        <f>Operating!CF27*CF110</f>
        <v>48193.837014659599</v>
      </c>
      <c r="CG109" s="475">
        <f>Operating!CG27*CG110</f>
        <v>47237.489315784878</v>
      </c>
      <c r="CH109" s="93">
        <f>CG109</f>
        <v>47237.489315784878</v>
      </c>
      <c r="CI109" s="475">
        <f>Operating!CI27*CI110</f>
        <v>57071.610119234952</v>
      </c>
      <c r="CJ109" s="475">
        <f>Operating!CJ27*CJ110</f>
        <v>59480.025959442653</v>
      </c>
      <c r="CK109" s="475">
        <f>Operating!CK27*CK110</f>
        <v>54881.570395949901</v>
      </c>
      <c r="CL109" s="475">
        <f>Operating!CL27*CL110</f>
        <v>51673.996826926865</v>
      </c>
      <c r="CM109" s="93">
        <f t="shared" ref="CM109" si="647">CL109</f>
        <v>51673.996826926865</v>
      </c>
      <c r="CN109" s="475">
        <f>Operating!CN27*CN110</f>
        <v>62590.40769537021</v>
      </c>
      <c r="CO109" s="475">
        <f>Operating!CO27*CO110</f>
        <v>65876.123028384012</v>
      </c>
      <c r="CP109" s="475">
        <f>Operating!CP27*CP110</f>
        <v>60622.290456858791</v>
      </c>
      <c r="CQ109" s="475">
        <f>Operating!CQ27*CQ110</f>
        <v>57177.6843358158</v>
      </c>
      <c r="CR109" s="93">
        <f t="shared" ref="CR109" si="648">CQ109</f>
        <v>57177.6843358158</v>
      </c>
      <c r="CS109" s="475">
        <f>Operating!CS27*CS110</f>
        <v>67403.211735140823</v>
      </c>
      <c r="CT109" s="475">
        <f>Operating!CT27*CT110</f>
        <v>70023.393456368707</v>
      </c>
      <c r="CU109" s="475">
        <f>Operating!CU27*CU110</f>
        <v>63903.521006172799</v>
      </c>
      <c r="CV109" s="475">
        <f>Operating!CV27*CV110</f>
        <v>60000.559409886788</v>
      </c>
      <c r="CW109" s="93">
        <f t="shared" ref="CW109" si="649">CV109</f>
        <v>60000.559409886788</v>
      </c>
      <c r="CX109" s="475">
        <f>Operating!CX27*CX110</f>
        <v>70452.951635284175</v>
      </c>
      <c r="CY109" s="475">
        <f>Operating!CY27*CY110</f>
        <v>73035.025174191964</v>
      </c>
      <c r="CZ109" s="475">
        <f>Operating!CZ27*CZ110</f>
        <v>66567.563269005594</v>
      </c>
      <c r="DA109" s="475">
        <f>Operating!DA27*DA110</f>
        <v>62463.419063943948</v>
      </c>
      <c r="DB109" s="93">
        <f t="shared" ref="DB109" si="650">DA109</f>
        <v>62463.419063943948</v>
      </c>
    </row>
    <row r="110" spans="1:106" ht="11.5" customHeight="1" x14ac:dyDescent="0.35">
      <c r="A110" s="192" t="s">
        <v>239</v>
      </c>
      <c r="B110" s="460" t="e">
        <f>B109/Operating!B27</f>
        <v>#DIV/0!</v>
      </c>
      <c r="C110" s="460" t="e">
        <f>C109/Operating!C27</f>
        <v>#DIV/0!</v>
      </c>
      <c r="D110" s="460" t="e">
        <f>D109/Operating!D27</f>
        <v>#DIV/0!</v>
      </c>
      <c r="E110" s="460" t="e">
        <f>E109/Operating!E27</f>
        <v>#DIV/0!</v>
      </c>
      <c r="F110" s="461" t="e">
        <f>F109/Operating!F27</f>
        <v>#DIV/0!</v>
      </c>
      <c r="G110" s="460" t="e">
        <f>G109/Operating!G27</f>
        <v>#DIV/0!</v>
      </c>
      <c r="H110" s="460" t="e">
        <f>H109/Operating!H27</f>
        <v>#DIV/0!</v>
      </c>
      <c r="I110" s="460" t="e">
        <f>I109/Operating!I27</f>
        <v>#DIV/0!</v>
      </c>
      <c r="J110" s="460" t="e">
        <f>J109/Operating!J27</f>
        <v>#DIV/0!</v>
      </c>
      <c r="K110" s="461" t="e">
        <f>K109/Operating!K27</f>
        <v>#DIV/0!</v>
      </c>
      <c r="L110" s="460" t="e">
        <f>L109/Operating!L27</f>
        <v>#DIV/0!</v>
      </c>
      <c r="M110" s="460" t="e">
        <f>M109/Operating!M27</f>
        <v>#DIV/0!</v>
      </c>
      <c r="N110" s="460" t="e">
        <f>N109/Operating!N27</f>
        <v>#DIV/0!</v>
      </c>
      <c r="O110" s="460" t="e">
        <f>O109/Operating!O27</f>
        <v>#DIV/0!</v>
      </c>
      <c r="P110" s="461" t="e">
        <f>P109/Operating!P27</f>
        <v>#DIV/0!</v>
      </c>
      <c r="Q110" s="460" t="e">
        <f>Q109/Operating!Q27</f>
        <v>#DIV/0!</v>
      </c>
      <c r="R110" s="460" t="e">
        <f>R109/Operating!R27</f>
        <v>#DIV/0!</v>
      </c>
      <c r="S110" s="460" t="e">
        <f>S109/Operating!S27</f>
        <v>#DIV/0!</v>
      </c>
      <c r="T110" s="460" t="e">
        <f>T109/Operating!T27</f>
        <v>#DIV/0!</v>
      </c>
      <c r="U110" s="461" t="e">
        <f>U109/Operating!U27</f>
        <v>#DIV/0!</v>
      </c>
      <c r="V110" s="460" t="e">
        <f>V109/Operating!V27</f>
        <v>#DIV/0!</v>
      </c>
      <c r="W110" s="460" t="e">
        <f>W109/Operating!W27</f>
        <v>#DIV/0!</v>
      </c>
      <c r="X110" s="460" t="e">
        <f>X109/Operating!X27</f>
        <v>#DIV/0!</v>
      </c>
      <c r="Y110" s="460" t="e">
        <f>Y109/Operating!Y27</f>
        <v>#DIV/0!</v>
      </c>
      <c r="Z110" s="461" t="e">
        <f>Z109/Operating!Z27</f>
        <v>#DIV/0!</v>
      </c>
      <c r="AA110" s="460" t="e">
        <f>AA109/Operating!AA27</f>
        <v>#DIV/0!</v>
      </c>
      <c r="AB110" s="460" t="e">
        <f>AB109/Operating!AB27</f>
        <v>#DIV/0!</v>
      </c>
      <c r="AC110" s="460" t="e">
        <f>AC109/Operating!AC27</f>
        <v>#DIV/0!</v>
      </c>
      <c r="AD110" s="460" t="e">
        <f>AD109/Operating!AD27</f>
        <v>#DIV/0!</v>
      </c>
      <c r="AE110" s="461" t="e">
        <f>AE109/Operating!AE27</f>
        <v>#DIV/0!</v>
      </c>
      <c r="AF110" s="460" t="e">
        <f>AF109/Operating!AF27</f>
        <v>#DIV/0!</v>
      </c>
      <c r="AG110" s="460" t="e">
        <f>AG109/Operating!AG27</f>
        <v>#DIV/0!</v>
      </c>
      <c r="AH110" s="460" t="e">
        <f>AH109/Operating!AH27</f>
        <v>#DIV/0!</v>
      </c>
      <c r="AI110" s="460" t="e">
        <f>AI109/Operating!AI27</f>
        <v>#DIV/0!</v>
      </c>
      <c r="AJ110" s="461" t="e">
        <f>AJ109/Operating!AJ27</f>
        <v>#DIV/0!</v>
      </c>
      <c r="AK110" s="460">
        <f>AK109/Operating!AK27</f>
        <v>0</v>
      </c>
      <c r="AL110" s="460">
        <f>AL109/Operating!AL27</f>
        <v>0</v>
      </c>
      <c r="AM110" s="460">
        <f>AM109/Operating!AM27</f>
        <v>0</v>
      </c>
      <c r="AN110" s="460">
        <f>AN109/Operating!AN27</f>
        <v>0</v>
      </c>
      <c r="AO110" s="461">
        <f>AO109/Operating!AO27</f>
        <v>0</v>
      </c>
      <c r="AP110" s="460">
        <f>AP109/Operating!AP27</f>
        <v>0</v>
      </c>
      <c r="AQ110" s="460">
        <f>AQ109/Operating!AQ27</f>
        <v>0</v>
      </c>
      <c r="AR110" s="460">
        <f>AR109/Operating!AR27</f>
        <v>0</v>
      </c>
      <c r="AS110" s="460">
        <f>AS109/Operating!AS27</f>
        <v>0</v>
      </c>
      <c r="AT110" s="461">
        <f>AT109/Operating!AT27</f>
        <v>0</v>
      </c>
      <c r="AU110" s="460">
        <f>AU109/Operating!AU27</f>
        <v>0</v>
      </c>
      <c r="AV110" s="460">
        <f>AV109/Operating!AV27</f>
        <v>0</v>
      </c>
      <c r="AW110" s="460">
        <f>AW109/Operating!AW27</f>
        <v>0</v>
      </c>
      <c r="AX110" s="460">
        <f>AX109/Operating!AX27</f>
        <v>0.33282208588957057</v>
      </c>
      <c r="AY110" s="461">
        <f>AY109/Operating!AY27</f>
        <v>0.33282208588957057</v>
      </c>
      <c r="AZ110" s="460">
        <f>AZ109/Operating!AZ27</f>
        <v>0</v>
      </c>
      <c r="BA110" s="460">
        <f>BA109/Operating!BA27</f>
        <v>0</v>
      </c>
      <c r="BB110" s="460">
        <f>BB109/Operating!BB27</f>
        <v>0.46249697556254538</v>
      </c>
      <c r="BC110" s="460">
        <f>BC109/Operating!BC27</f>
        <v>0.45990811638591117</v>
      </c>
      <c r="BD110" s="461">
        <f>BD109/Operating!BD27</f>
        <v>0.45990811638591117</v>
      </c>
      <c r="BE110" s="460">
        <f>BE109/Operating!BE27</f>
        <v>0.72536159747028162</v>
      </c>
      <c r="BF110" s="460">
        <f>BF109/Operating!BF27</f>
        <v>0.45880133756323416</v>
      </c>
      <c r="BG110" s="460">
        <f>BG109/Operating!BG27</f>
        <v>0.52245025651582311</v>
      </c>
      <c r="BH110" s="460">
        <f>BH109/Operating!BH27</f>
        <v>0.67765183202297374</v>
      </c>
      <c r="BI110" s="461">
        <f>BI109/Operating!BI27</f>
        <v>0.67765183202297374</v>
      </c>
      <c r="BJ110" s="460">
        <f>BJ109/Operating!BJ27</f>
        <v>0.5505199874016059</v>
      </c>
      <c r="BK110" s="460">
        <f>BK109/Operating!BK27</f>
        <v>0.40369789096148001</v>
      </c>
      <c r="BL110" s="460">
        <f>BL109/Operating!BL27</f>
        <v>0.43047536611060483</v>
      </c>
      <c r="BM110" s="460">
        <f>BM109/Operating!BM27</f>
        <v>0.43780872052555286</v>
      </c>
      <c r="BN110" s="461">
        <f>BN109/Operating!BN27</f>
        <v>0.43780872052555286</v>
      </c>
      <c r="BO110" s="460">
        <f>BO109/Operating!BO27</f>
        <v>0.4049637072998431</v>
      </c>
      <c r="BP110" s="460">
        <f>BP109/Operating!BP27</f>
        <v>0.46392649079447146</v>
      </c>
      <c r="BQ110" s="460">
        <f>BQ109/Operating!BQ27</f>
        <v>0.45735790386624425</v>
      </c>
      <c r="BR110" s="460">
        <f>BR109/Operating!BR27</f>
        <v>0.42225294511369521</v>
      </c>
      <c r="BS110" s="461">
        <f>BS109/Operating!BS27</f>
        <v>0.42225294511369521</v>
      </c>
      <c r="BT110" s="460">
        <f>BT109/Operating!BT27</f>
        <v>0.38510801462082728</v>
      </c>
      <c r="BU110" s="460">
        <f>BU109/Operating!BU27</f>
        <v>0.48888276192933916</v>
      </c>
      <c r="BV110" s="460">
        <f>BV109/Operating!BV27</f>
        <v>0.4989381345537704</v>
      </c>
      <c r="BW110" s="460">
        <f>BW109/Operating!BW27</f>
        <v>0.41358328927798149</v>
      </c>
      <c r="BX110" s="461">
        <f>BX109/Operating!BX27</f>
        <v>0.41358328927798149</v>
      </c>
      <c r="BY110" s="460">
        <f>BY109/Operating!BY27</f>
        <v>0.39117949663988377</v>
      </c>
      <c r="BZ110" s="460">
        <f>BZ109/Operating!BZ27</f>
        <v>0.30034980254847954</v>
      </c>
      <c r="CA110" s="460">
        <f>CA109/Operating!CA27</f>
        <v>0.35780303030303029</v>
      </c>
      <c r="CB110" s="460">
        <f>CB109/Operating!CB27</f>
        <v>0.49598705501618123</v>
      </c>
      <c r="CC110" s="461">
        <f>CC109/Operating!CC27</f>
        <v>0.49598705501618123</v>
      </c>
      <c r="CD110" s="460">
        <f>CD109/Operating!CD27</f>
        <v>0.41018126888217521</v>
      </c>
      <c r="CE110" s="460">
        <f>CE109/Operating!CE27</f>
        <v>0.70313787638668779</v>
      </c>
      <c r="CF110" s="460">
        <f>CE110</f>
        <v>0.70313787638668779</v>
      </c>
      <c r="CG110" s="460">
        <f>CF110</f>
        <v>0.70313787638668779</v>
      </c>
      <c r="CH110" s="461">
        <f>CH109/Operating!CH27</f>
        <v>0.70313787638668779</v>
      </c>
      <c r="CI110" s="460">
        <f t="shared" ref="CI110" si="651">CG110</f>
        <v>0.70313787638668779</v>
      </c>
      <c r="CJ110" s="460">
        <f t="shared" ref="CJ110:CL110" si="652">CI110</f>
        <v>0.70313787638668779</v>
      </c>
      <c r="CK110" s="460">
        <f t="shared" si="652"/>
        <v>0.70313787638668779</v>
      </c>
      <c r="CL110" s="460">
        <f t="shared" si="652"/>
        <v>0.70313787638668779</v>
      </c>
      <c r="CM110" s="461">
        <f>CM109/Operating!CM27</f>
        <v>0.70313787638668779</v>
      </c>
      <c r="CN110" s="460">
        <f t="shared" ref="CN110" si="653">CL110</f>
        <v>0.70313787638668779</v>
      </c>
      <c r="CO110" s="460">
        <f t="shared" ref="CO110:CQ110" si="654">CN110</f>
        <v>0.70313787638668779</v>
      </c>
      <c r="CP110" s="460">
        <f t="shared" si="654"/>
        <v>0.70313787638668779</v>
      </c>
      <c r="CQ110" s="460">
        <f t="shared" si="654"/>
        <v>0.70313787638668779</v>
      </c>
      <c r="CR110" s="461">
        <f>CR109/Operating!CR27</f>
        <v>0.70313787638668779</v>
      </c>
      <c r="CS110" s="460">
        <f t="shared" ref="CS110" si="655">CQ110</f>
        <v>0.70313787638668779</v>
      </c>
      <c r="CT110" s="460">
        <f t="shared" ref="CT110:CV110" si="656">CS110</f>
        <v>0.70313787638668779</v>
      </c>
      <c r="CU110" s="460">
        <f t="shared" si="656"/>
        <v>0.70313787638668779</v>
      </c>
      <c r="CV110" s="460">
        <f t="shared" si="656"/>
        <v>0.70313787638668779</v>
      </c>
      <c r="CW110" s="461">
        <f>CW109/Operating!CW27</f>
        <v>0.70313787638668779</v>
      </c>
      <c r="CX110" s="460">
        <f t="shared" ref="CX110" si="657">CV110</f>
        <v>0.70313787638668779</v>
      </c>
      <c r="CY110" s="460">
        <f t="shared" ref="CY110:DA110" si="658">CX110</f>
        <v>0.70313787638668779</v>
      </c>
      <c r="CZ110" s="460">
        <f t="shared" si="658"/>
        <v>0.70313787638668779</v>
      </c>
      <c r="DA110" s="460">
        <f t="shared" si="658"/>
        <v>0.70313787638668779</v>
      </c>
      <c r="DB110" s="461">
        <f>DB109/Operating!DB27</f>
        <v>0.70313787638668779</v>
      </c>
    </row>
    <row r="111" spans="1:106" s="56" customFormat="1" ht="11.5" customHeight="1" x14ac:dyDescent="0.35">
      <c r="A111" s="16" t="s">
        <v>240</v>
      </c>
      <c r="B111" s="46">
        <f t="shared" ref="B111:AE111" si="659">B36</f>
        <v>0</v>
      </c>
      <c r="C111" s="46">
        <f t="shared" si="659"/>
        <v>0</v>
      </c>
      <c r="D111" s="46">
        <f t="shared" si="659"/>
        <v>0</v>
      </c>
      <c r="E111" s="46">
        <f t="shared" si="659"/>
        <v>0</v>
      </c>
      <c r="F111" s="54">
        <f t="shared" si="659"/>
        <v>0</v>
      </c>
      <c r="G111" s="46">
        <f t="shared" si="659"/>
        <v>0</v>
      </c>
      <c r="H111" s="46">
        <f t="shared" si="659"/>
        <v>0</v>
      </c>
      <c r="I111" s="46">
        <f t="shared" si="659"/>
        <v>0</v>
      </c>
      <c r="J111" s="46">
        <f t="shared" si="659"/>
        <v>0</v>
      </c>
      <c r="K111" s="54">
        <f t="shared" si="659"/>
        <v>0</v>
      </c>
      <c r="L111" s="46">
        <f t="shared" si="659"/>
        <v>0</v>
      </c>
      <c r="M111" s="46">
        <f t="shared" si="659"/>
        <v>0</v>
      </c>
      <c r="N111" s="46">
        <f t="shared" si="659"/>
        <v>0</v>
      </c>
      <c r="O111" s="46">
        <f t="shared" si="659"/>
        <v>0</v>
      </c>
      <c r="P111" s="54">
        <f t="shared" si="659"/>
        <v>0</v>
      </c>
      <c r="Q111" s="46">
        <f t="shared" si="659"/>
        <v>0</v>
      </c>
      <c r="R111" s="46">
        <f t="shared" si="659"/>
        <v>0</v>
      </c>
      <c r="S111" s="46">
        <f t="shared" si="659"/>
        <v>0</v>
      </c>
      <c r="T111" s="46">
        <f t="shared" si="659"/>
        <v>0</v>
      </c>
      <c r="U111" s="54">
        <f t="shared" si="659"/>
        <v>0</v>
      </c>
      <c r="V111" s="46">
        <f t="shared" si="659"/>
        <v>0</v>
      </c>
      <c r="W111" s="46">
        <f t="shared" si="659"/>
        <v>0</v>
      </c>
      <c r="X111" s="46">
        <f t="shared" si="659"/>
        <v>0</v>
      </c>
      <c r="Y111" s="46">
        <f t="shared" si="659"/>
        <v>0</v>
      </c>
      <c r="Z111" s="54">
        <f t="shared" si="659"/>
        <v>0</v>
      </c>
      <c r="AA111" s="46">
        <f t="shared" si="659"/>
        <v>0</v>
      </c>
      <c r="AB111" s="46">
        <f t="shared" si="659"/>
        <v>0</v>
      </c>
      <c r="AC111" s="46">
        <f t="shared" si="659"/>
        <v>0</v>
      </c>
      <c r="AD111" s="46">
        <f t="shared" si="659"/>
        <v>0</v>
      </c>
      <c r="AE111" s="54">
        <f t="shared" si="659"/>
        <v>0</v>
      </c>
      <c r="AF111" s="46">
        <f t="shared" ref="AF111:AG111" si="660">AF36</f>
        <v>0</v>
      </c>
      <c r="AG111" s="46">
        <f t="shared" si="660"/>
        <v>0</v>
      </c>
      <c r="AH111" s="46">
        <f t="shared" ref="AH111:BM111" si="661">AH36</f>
        <v>0</v>
      </c>
      <c r="AI111" s="46">
        <f t="shared" si="661"/>
        <v>0</v>
      </c>
      <c r="AJ111" s="54">
        <f t="shared" si="661"/>
        <v>0</v>
      </c>
      <c r="AK111" s="46">
        <f t="shared" si="661"/>
        <v>78900</v>
      </c>
      <c r="AL111" s="46">
        <f t="shared" si="661"/>
        <v>85638</v>
      </c>
      <c r="AM111" s="46">
        <f t="shared" si="661"/>
        <v>105648</v>
      </c>
      <c r="AN111" s="46">
        <f t="shared" si="661"/>
        <v>89574</v>
      </c>
      <c r="AO111" s="54">
        <f t="shared" si="661"/>
        <v>89574</v>
      </c>
      <c r="AP111" s="46">
        <f t="shared" si="661"/>
        <v>74519</v>
      </c>
      <c r="AQ111" s="46">
        <f t="shared" si="661"/>
        <v>61710</v>
      </c>
      <c r="AR111" s="46">
        <f t="shared" si="661"/>
        <v>74105</v>
      </c>
      <c r="AS111" s="46">
        <f t="shared" si="661"/>
        <v>65985</v>
      </c>
      <c r="AT111" s="54">
        <f t="shared" si="661"/>
        <v>65985</v>
      </c>
      <c r="AU111" s="46">
        <f t="shared" si="661"/>
        <v>69857</v>
      </c>
      <c r="AV111" s="46">
        <f t="shared" si="661"/>
        <v>68947</v>
      </c>
      <c r="AW111" s="46">
        <f t="shared" si="661"/>
        <v>116528</v>
      </c>
      <c r="AX111" s="46">
        <f t="shared" si="661"/>
        <v>134154</v>
      </c>
      <c r="AY111" s="54">
        <f t="shared" si="661"/>
        <v>134154</v>
      </c>
      <c r="AZ111" s="46">
        <f t="shared" si="661"/>
        <v>147067</v>
      </c>
      <c r="BA111" s="46">
        <f t="shared" si="661"/>
        <v>142487</v>
      </c>
      <c r="BB111" s="46">
        <f t="shared" si="661"/>
        <v>210155</v>
      </c>
      <c r="BC111" s="46">
        <f t="shared" si="661"/>
        <v>271893</v>
      </c>
      <c r="BD111" s="54">
        <f t="shared" si="661"/>
        <v>271893</v>
      </c>
      <c r="BE111" s="46">
        <f t="shared" si="661"/>
        <v>406743</v>
      </c>
      <c r="BF111" s="46">
        <f t="shared" si="661"/>
        <v>397446</v>
      </c>
      <c r="BG111" s="46">
        <f t="shared" si="661"/>
        <v>435584</v>
      </c>
      <c r="BH111" s="46">
        <f t="shared" si="661"/>
        <v>695829</v>
      </c>
      <c r="BI111" s="54">
        <f t="shared" si="661"/>
        <v>695829</v>
      </c>
      <c r="BJ111" s="46">
        <f t="shared" si="661"/>
        <v>683051</v>
      </c>
      <c r="BK111" s="46">
        <f t="shared" si="661"/>
        <v>671804</v>
      </c>
      <c r="BL111" s="46">
        <f t="shared" si="661"/>
        <v>739361</v>
      </c>
      <c r="BM111" s="46">
        <f t="shared" si="661"/>
        <v>776170</v>
      </c>
      <c r="BN111" s="54">
        <f t="shared" ref="BN111:BY111" si="662">BN36</f>
        <v>776170</v>
      </c>
      <c r="BO111" s="46">
        <f t="shared" si="662"/>
        <v>917410</v>
      </c>
      <c r="BP111" s="46">
        <f t="shared" si="662"/>
        <v>904072</v>
      </c>
      <c r="BQ111" s="46">
        <f t="shared" si="662"/>
        <v>940596</v>
      </c>
      <c r="BR111" s="46">
        <f t="shared" si="662"/>
        <v>929600</v>
      </c>
      <c r="BS111" s="54">
        <f t="shared" si="662"/>
        <v>929600</v>
      </c>
      <c r="BT111" s="46">
        <f t="shared" si="662"/>
        <v>1060377</v>
      </c>
      <c r="BU111" s="46">
        <f t="shared" si="662"/>
        <v>1089944</v>
      </c>
      <c r="BV111" s="46">
        <f t="shared" si="662"/>
        <v>1089888</v>
      </c>
      <c r="BW111" s="46">
        <f t="shared" si="662"/>
        <v>1365518</v>
      </c>
      <c r="BX111" s="54">
        <f t="shared" si="662"/>
        <v>1365518</v>
      </c>
      <c r="BY111" s="46">
        <f t="shared" si="662"/>
        <v>1403034</v>
      </c>
      <c r="BZ111" s="46">
        <f t="shared" ref="BZ111:CB111" si="663">BZ36</f>
        <v>1469202</v>
      </c>
      <c r="CA111" s="46">
        <f t="shared" si="663"/>
        <v>1586228</v>
      </c>
      <c r="CB111" s="46">
        <f t="shared" si="663"/>
        <v>1581500</v>
      </c>
      <c r="CC111" s="54">
        <f>CC36</f>
        <v>1581500</v>
      </c>
      <c r="CD111" s="46">
        <f t="shared" ref="CD111:CE111" si="664">CD36</f>
        <v>1757325</v>
      </c>
      <c r="CE111" s="46">
        <f t="shared" si="664"/>
        <v>1757566</v>
      </c>
      <c r="CF111" s="94">
        <f>CF113*CF112</f>
        <v>1783796.5447662103</v>
      </c>
      <c r="CG111" s="94">
        <f>CG113*CG112</f>
        <v>1767750.9761324215</v>
      </c>
      <c r="CH111" s="54">
        <f>CH36</f>
        <v>1767750.9761324215</v>
      </c>
      <c r="CI111" s="94">
        <f>CI113*CI112</f>
        <v>1927849.1085044581</v>
      </c>
      <c r="CJ111" s="94">
        <f>CJ113*CJ112</f>
        <v>1970330.670623994</v>
      </c>
      <c r="CK111" s="94">
        <f>CK113*CK112</f>
        <v>1900588.9916630359</v>
      </c>
      <c r="CL111" s="94">
        <f>CL113*CL112</f>
        <v>1867215.8258471014</v>
      </c>
      <c r="CM111" s="54">
        <f>CM36</f>
        <v>1867215.8258471014</v>
      </c>
      <c r="CN111" s="94">
        <f>CN113*CN112</f>
        <v>2029679.5662043248</v>
      </c>
      <c r="CO111" s="94">
        <f>CO113*CO112</f>
        <v>2075686.4398198286</v>
      </c>
      <c r="CP111" s="94">
        <f>CP113*CP112</f>
        <v>2005947.9001805612</v>
      </c>
      <c r="CQ111" s="94">
        <f>CQ113*CQ112</f>
        <v>1970703.5717400291</v>
      </c>
      <c r="CR111" s="54">
        <f>CR36</f>
        <v>1970703.5717400291</v>
      </c>
      <c r="CS111" s="94">
        <f>CS113*CS112</f>
        <v>2116806.9153631697</v>
      </c>
      <c r="CT111" s="94">
        <f>CT113*CT112</f>
        <v>2150223.1214749902</v>
      </c>
      <c r="CU111" s="94">
        <f>CU113*CU112</f>
        <v>2068656.158619887</v>
      </c>
      <c r="CV111" s="94">
        <f>CV113*CV112</f>
        <v>2026229.6265692175</v>
      </c>
      <c r="CW111" s="54">
        <f>CW36</f>
        <v>2026229.6265692175</v>
      </c>
      <c r="CX111" s="94">
        <f>CX113*CX112</f>
        <v>2174421.5971635752</v>
      </c>
      <c r="CY111" s="94">
        <f>CY113*CY112</f>
        <v>2171098.9418345448</v>
      </c>
      <c r="CZ111" s="94">
        <f>CZ113*CZ112</f>
        <v>2017839.3543725307</v>
      </c>
      <c r="DA111" s="94">
        <f>DA113*DA112</f>
        <v>1883459.8939885399</v>
      </c>
      <c r="DB111" s="54">
        <f>DB36</f>
        <v>1883459.8939885399</v>
      </c>
    </row>
    <row r="112" spans="1:106" ht="11.5" customHeight="1" x14ac:dyDescent="0.35">
      <c r="A112" s="19" t="s">
        <v>242</v>
      </c>
      <c r="B112" s="92">
        <f t="shared" ref="B112:AE112" si="665">B13+B14</f>
        <v>0</v>
      </c>
      <c r="C112" s="92">
        <f t="shared" si="665"/>
        <v>0</v>
      </c>
      <c r="D112" s="92">
        <f t="shared" si="665"/>
        <v>0</v>
      </c>
      <c r="E112" s="92">
        <f t="shared" si="665"/>
        <v>0</v>
      </c>
      <c r="F112" s="93">
        <f t="shared" si="665"/>
        <v>0</v>
      </c>
      <c r="G112" s="92">
        <f t="shared" si="665"/>
        <v>0</v>
      </c>
      <c r="H112" s="92">
        <f t="shared" si="665"/>
        <v>0</v>
      </c>
      <c r="I112" s="92">
        <f t="shared" si="665"/>
        <v>0</v>
      </c>
      <c r="J112" s="92">
        <f t="shared" si="665"/>
        <v>0</v>
      </c>
      <c r="K112" s="93">
        <f t="shared" si="665"/>
        <v>0</v>
      </c>
      <c r="L112" s="92">
        <f t="shared" si="665"/>
        <v>0</v>
      </c>
      <c r="M112" s="92">
        <f t="shared" si="665"/>
        <v>0</v>
      </c>
      <c r="N112" s="92">
        <f t="shared" si="665"/>
        <v>0</v>
      </c>
      <c r="O112" s="92">
        <f t="shared" si="665"/>
        <v>0</v>
      </c>
      <c r="P112" s="93">
        <f t="shared" si="665"/>
        <v>0</v>
      </c>
      <c r="Q112" s="92">
        <f t="shared" si="665"/>
        <v>0</v>
      </c>
      <c r="R112" s="92">
        <f t="shared" si="665"/>
        <v>0</v>
      </c>
      <c r="S112" s="92">
        <f t="shared" si="665"/>
        <v>0</v>
      </c>
      <c r="T112" s="92">
        <f t="shared" si="665"/>
        <v>0</v>
      </c>
      <c r="U112" s="93">
        <f t="shared" si="665"/>
        <v>0</v>
      </c>
      <c r="V112" s="92">
        <f t="shared" si="665"/>
        <v>0</v>
      </c>
      <c r="W112" s="92">
        <f t="shared" si="665"/>
        <v>0</v>
      </c>
      <c r="X112" s="92">
        <f t="shared" si="665"/>
        <v>0</v>
      </c>
      <c r="Y112" s="92">
        <f t="shared" si="665"/>
        <v>0</v>
      </c>
      <c r="Z112" s="93">
        <f t="shared" si="665"/>
        <v>0</v>
      </c>
      <c r="AA112" s="92">
        <f t="shared" si="665"/>
        <v>0</v>
      </c>
      <c r="AB112" s="92">
        <f t="shared" si="665"/>
        <v>0</v>
      </c>
      <c r="AC112" s="92">
        <f t="shared" si="665"/>
        <v>0</v>
      </c>
      <c r="AD112" s="92">
        <f t="shared" si="665"/>
        <v>0</v>
      </c>
      <c r="AE112" s="93">
        <f t="shared" si="665"/>
        <v>0</v>
      </c>
      <c r="AF112" s="92">
        <f t="shared" ref="AF112:AG112" si="666">AF13+AF14</f>
        <v>0</v>
      </c>
      <c r="AG112" s="92">
        <f t="shared" si="666"/>
        <v>0</v>
      </c>
      <c r="AH112" s="92">
        <f t="shared" ref="AH112:BM112" si="667">AH13+AH14</f>
        <v>0</v>
      </c>
      <c r="AI112" s="92">
        <f t="shared" si="667"/>
        <v>0</v>
      </c>
      <c r="AJ112" s="93">
        <f t="shared" si="667"/>
        <v>0</v>
      </c>
      <c r="AK112" s="92">
        <f t="shared" si="667"/>
        <v>231020</v>
      </c>
      <c r="AL112" s="92">
        <f t="shared" si="667"/>
        <v>223747</v>
      </c>
      <c r="AM112" s="92">
        <f t="shared" si="667"/>
        <v>249339</v>
      </c>
      <c r="AN112" s="92">
        <f t="shared" si="667"/>
        <v>249149</v>
      </c>
      <c r="AO112" s="93">
        <f t="shared" si="667"/>
        <v>249149</v>
      </c>
      <c r="AP112" s="92">
        <f t="shared" si="667"/>
        <v>233112</v>
      </c>
      <c r="AQ112" s="92">
        <f t="shared" si="667"/>
        <v>193980</v>
      </c>
      <c r="AR112" s="92">
        <f t="shared" si="667"/>
        <v>241342</v>
      </c>
      <c r="AS112" s="92">
        <f t="shared" si="667"/>
        <v>241079</v>
      </c>
      <c r="AT112" s="93">
        <f t="shared" si="667"/>
        <v>241079</v>
      </c>
      <c r="AU112" s="92">
        <f t="shared" si="667"/>
        <v>218101</v>
      </c>
      <c r="AV112" s="92">
        <f t="shared" si="667"/>
        <v>206870</v>
      </c>
      <c r="AW112" s="92">
        <f t="shared" si="667"/>
        <v>235880</v>
      </c>
      <c r="AX112" s="92">
        <f t="shared" si="667"/>
        <v>194025</v>
      </c>
      <c r="AY112" s="93">
        <f t="shared" si="667"/>
        <v>194025</v>
      </c>
      <c r="AZ112" s="92">
        <f t="shared" si="667"/>
        <v>210689</v>
      </c>
      <c r="BA112" s="92">
        <f t="shared" si="667"/>
        <v>190026</v>
      </c>
      <c r="BB112" s="92">
        <f t="shared" si="667"/>
        <v>219058</v>
      </c>
      <c r="BC112" s="92">
        <f t="shared" si="667"/>
        <v>288750</v>
      </c>
      <c r="BD112" s="93">
        <f t="shared" si="667"/>
        <v>288750</v>
      </c>
      <c r="BE112" s="92">
        <f t="shared" si="667"/>
        <v>407098</v>
      </c>
      <c r="BF112" s="92">
        <f t="shared" si="667"/>
        <v>354976</v>
      </c>
      <c r="BG112" s="92">
        <f t="shared" si="667"/>
        <v>370644</v>
      </c>
      <c r="BH112" s="92">
        <f t="shared" si="667"/>
        <v>518562</v>
      </c>
      <c r="BI112" s="93">
        <f t="shared" si="667"/>
        <v>518562</v>
      </c>
      <c r="BJ112" s="92">
        <f t="shared" si="667"/>
        <v>489160</v>
      </c>
      <c r="BK112" s="92">
        <f t="shared" si="667"/>
        <v>460219</v>
      </c>
      <c r="BL112" s="92">
        <f t="shared" si="667"/>
        <v>516917</v>
      </c>
      <c r="BM112" s="92">
        <f t="shared" si="667"/>
        <v>592911</v>
      </c>
      <c r="BN112" s="93">
        <f t="shared" ref="BN112:CS112" si="668">BN13+BN14</f>
        <v>592911</v>
      </c>
      <c r="BO112" s="92">
        <f t="shared" si="668"/>
        <v>701552</v>
      </c>
      <c r="BP112" s="92">
        <f t="shared" si="668"/>
        <v>646237</v>
      </c>
      <c r="BQ112" s="92">
        <f t="shared" si="668"/>
        <v>677318</v>
      </c>
      <c r="BR112" s="92">
        <f t="shared" si="668"/>
        <v>706249</v>
      </c>
      <c r="BS112" s="93">
        <f t="shared" si="668"/>
        <v>706249</v>
      </c>
      <c r="BT112" s="92">
        <f t="shared" si="668"/>
        <v>801435</v>
      </c>
      <c r="BU112" s="92">
        <f t="shared" si="668"/>
        <v>753725</v>
      </c>
      <c r="BV112" s="92">
        <f t="shared" si="668"/>
        <v>780038</v>
      </c>
      <c r="BW112" s="92">
        <f t="shared" si="668"/>
        <v>1182731</v>
      </c>
      <c r="BX112" s="93">
        <f t="shared" si="668"/>
        <v>1182731</v>
      </c>
      <c r="BY112" s="92">
        <f t="shared" si="668"/>
        <v>1124907</v>
      </c>
      <c r="BZ112" s="92">
        <f t="shared" ref="BZ112:CB112" si="669">BZ13+BZ14</f>
        <v>1173821</v>
      </c>
      <c r="CA112" s="92">
        <f t="shared" si="669"/>
        <v>1297963</v>
      </c>
      <c r="CB112" s="92">
        <f t="shared" si="669"/>
        <v>1317997</v>
      </c>
      <c r="CC112" s="93">
        <f t="shared" si="668"/>
        <v>1317997</v>
      </c>
      <c r="CD112" s="92">
        <f t="shared" ref="CD112:CE112" si="670">CD13+CD14</f>
        <v>1494434</v>
      </c>
      <c r="CE112" s="92">
        <f t="shared" si="670"/>
        <v>1485751</v>
      </c>
      <c r="CF112" s="92">
        <f t="shared" si="668"/>
        <v>1507924.8803077333</v>
      </c>
      <c r="CG112" s="92">
        <f t="shared" si="668"/>
        <v>1494360.8265861545</v>
      </c>
      <c r="CH112" s="93">
        <f t="shared" si="668"/>
        <v>1494360.8265861545</v>
      </c>
      <c r="CI112" s="92">
        <f t="shared" si="668"/>
        <v>1629699.107066026</v>
      </c>
      <c r="CJ112" s="92">
        <f t="shared" si="668"/>
        <v>1665610.716303268</v>
      </c>
      <c r="CK112" s="92">
        <f t="shared" si="668"/>
        <v>1606654.8823499926</v>
      </c>
      <c r="CL112" s="92">
        <f t="shared" si="668"/>
        <v>1578443.0174844966</v>
      </c>
      <c r="CM112" s="93">
        <f t="shared" si="668"/>
        <v>1578443.0174844966</v>
      </c>
      <c r="CN112" s="92">
        <f t="shared" si="668"/>
        <v>1715781.0546902032</v>
      </c>
      <c r="CO112" s="92">
        <f t="shared" si="668"/>
        <v>1754672.7711213974</v>
      </c>
      <c r="CP112" s="92">
        <f t="shared" si="668"/>
        <v>1695719.5909804632</v>
      </c>
      <c r="CQ112" s="92">
        <f t="shared" si="668"/>
        <v>1665925.9466878171</v>
      </c>
      <c r="CR112" s="93">
        <f t="shared" si="668"/>
        <v>1665925.9466878171</v>
      </c>
      <c r="CS112" s="92">
        <f t="shared" si="668"/>
        <v>1789433.7915661456</v>
      </c>
      <c r="CT112" s="92">
        <f t="shared" ref="CT112:DB112" si="671">CT13+CT14</f>
        <v>1817682.0403641104</v>
      </c>
      <c r="CU112" s="92">
        <f t="shared" si="671"/>
        <v>1748729.7525814993</v>
      </c>
      <c r="CV112" s="92">
        <f t="shared" si="671"/>
        <v>1712864.66278071</v>
      </c>
      <c r="CW112" s="93">
        <f t="shared" si="671"/>
        <v>1712864.66278071</v>
      </c>
      <c r="CX112" s="92">
        <f t="shared" si="671"/>
        <v>1838138.1196537591</v>
      </c>
      <c r="CY112" s="92">
        <f t="shared" si="671"/>
        <v>1835329.3269951835</v>
      </c>
      <c r="CZ112" s="92">
        <f t="shared" si="671"/>
        <v>1705771.9815917818</v>
      </c>
      <c r="DA112" s="92">
        <f t="shared" si="671"/>
        <v>1592174.8719270667</v>
      </c>
      <c r="DB112" s="93">
        <f t="shared" si="671"/>
        <v>1592174.8719270667</v>
      </c>
    </row>
    <row r="113" spans="1:106" ht="11.5" customHeight="1" x14ac:dyDescent="0.35">
      <c r="A113" s="192" t="s">
        <v>243</v>
      </c>
      <c r="B113" s="462" t="e">
        <f t="shared" ref="B113:AE113" si="672">B111/B112</f>
        <v>#DIV/0!</v>
      </c>
      <c r="C113" s="462" t="e">
        <f t="shared" si="672"/>
        <v>#DIV/0!</v>
      </c>
      <c r="D113" s="462" t="e">
        <f t="shared" si="672"/>
        <v>#DIV/0!</v>
      </c>
      <c r="E113" s="462" t="e">
        <f t="shared" si="672"/>
        <v>#DIV/0!</v>
      </c>
      <c r="F113" s="463" t="e">
        <f t="shared" si="672"/>
        <v>#DIV/0!</v>
      </c>
      <c r="G113" s="462" t="e">
        <f t="shared" si="672"/>
        <v>#DIV/0!</v>
      </c>
      <c r="H113" s="462" t="e">
        <f t="shared" si="672"/>
        <v>#DIV/0!</v>
      </c>
      <c r="I113" s="462" t="e">
        <f t="shared" si="672"/>
        <v>#DIV/0!</v>
      </c>
      <c r="J113" s="462" t="e">
        <f t="shared" si="672"/>
        <v>#DIV/0!</v>
      </c>
      <c r="K113" s="463" t="e">
        <f t="shared" si="672"/>
        <v>#DIV/0!</v>
      </c>
      <c r="L113" s="462" t="e">
        <f t="shared" si="672"/>
        <v>#DIV/0!</v>
      </c>
      <c r="M113" s="462" t="e">
        <f t="shared" si="672"/>
        <v>#DIV/0!</v>
      </c>
      <c r="N113" s="462" t="e">
        <f t="shared" si="672"/>
        <v>#DIV/0!</v>
      </c>
      <c r="O113" s="462" t="e">
        <f t="shared" si="672"/>
        <v>#DIV/0!</v>
      </c>
      <c r="P113" s="463" t="e">
        <f t="shared" si="672"/>
        <v>#DIV/0!</v>
      </c>
      <c r="Q113" s="462" t="e">
        <f t="shared" si="672"/>
        <v>#DIV/0!</v>
      </c>
      <c r="R113" s="462" t="e">
        <f t="shared" si="672"/>
        <v>#DIV/0!</v>
      </c>
      <c r="S113" s="462" t="e">
        <f t="shared" si="672"/>
        <v>#DIV/0!</v>
      </c>
      <c r="T113" s="462" t="e">
        <f t="shared" si="672"/>
        <v>#DIV/0!</v>
      </c>
      <c r="U113" s="463" t="e">
        <f t="shared" si="672"/>
        <v>#DIV/0!</v>
      </c>
      <c r="V113" s="462" t="e">
        <f t="shared" si="672"/>
        <v>#DIV/0!</v>
      </c>
      <c r="W113" s="462" t="e">
        <f t="shared" si="672"/>
        <v>#DIV/0!</v>
      </c>
      <c r="X113" s="462" t="e">
        <f t="shared" si="672"/>
        <v>#DIV/0!</v>
      </c>
      <c r="Y113" s="462" t="e">
        <f t="shared" si="672"/>
        <v>#DIV/0!</v>
      </c>
      <c r="Z113" s="463" t="e">
        <f t="shared" si="672"/>
        <v>#DIV/0!</v>
      </c>
      <c r="AA113" s="462" t="e">
        <f t="shared" si="672"/>
        <v>#DIV/0!</v>
      </c>
      <c r="AB113" s="462" t="e">
        <f t="shared" si="672"/>
        <v>#DIV/0!</v>
      </c>
      <c r="AC113" s="462" t="e">
        <f t="shared" si="672"/>
        <v>#DIV/0!</v>
      </c>
      <c r="AD113" s="462" t="e">
        <f t="shared" si="672"/>
        <v>#DIV/0!</v>
      </c>
      <c r="AE113" s="463" t="e">
        <f t="shared" si="672"/>
        <v>#DIV/0!</v>
      </c>
      <c r="AF113" s="462" t="e">
        <f t="shared" ref="AF113:AG113" si="673">AF111/AF112</f>
        <v>#DIV/0!</v>
      </c>
      <c r="AG113" s="462" t="e">
        <f t="shared" si="673"/>
        <v>#DIV/0!</v>
      </c>
      <c r="AH113" s="462" t="e">
        <f t="shared" ref="AH113:BM113" si="674">AH111/AH112</f>
        <v>#DIV/0!</v>
      </c>
      <c r="AI113" s="462" t="e">
        <f t="shared" si="674"/>
        <v>#DIV/0!</v>
      </c>
      <c r="AJ113" s="463" t="e">
        <f t="shared" si="674"/>
        <v>#DIV/0!</v>
      </c>
      <c r="AK113" s="462">
        <f t="shared" si="674"/>
        <v>0.34152887195913773</v>
      </c>
      <c r="AL113" s="462">
        <f t="shared" si="674"/>
        <v>0.38274479657827815</v>
      </c>
      <c r="AM113" s="462">
        <f t="shared" si="674"/>
        <v>0.42371229530879645</v>
      </c>
      <c r="AN113" s="462">
        <f t="shared" si="674"/>
        <v>0.35951980541764167</v>
      </c>
      <c r="AO113" s="463">
        <f t="shared" si="674"/>
        <v>0.35951980541764167</v>
      </c>
      <c r="AP113" s="462">
        <f t="shared" si="674"/>
        <v>0.31967037303956897</v>
      </c>
      <c r="AQ113" s="462">
        <f t="shared" si="674"/>
        <v>0.31812557995669655</v>
      </c>
      <c r="AR113" s="462">
        <f t="shared" si="674"/>
        <v>0.30705389032990527</v>
      </c>
      <c r="AS113" s="462">
        <f t="shared" si="674"/>
        <v>0.27370695912957993</v>
      </c>
      <c r="AT113" s="463">
        <f t="shared" si="674"/>
        <v>0.27370695912957993</v>
      </c>
      <c r="AU113" s="462">
        <f t="shared" si="674"/>
        <v>0.32029655985071137</v>
      </c>
      <c r="AV113" s="462">
        <f t="shared" si="674"/>
        <v>0.33328660511432301</v>
      </c>
      <c r="AW113" s="462">
        <f t="shared" si="674"/>
        <v>0.49401390537561474</v>
      </c>
      <c r="AX113" s="462">
        <f t="shared" si="674"/>
        <v>0.69142636258214152</v>
      </c>
      <c r="AY113" s="463">
        <f t="shared" si="674"/>
        <v>0.69142636258214152</v>
      </c>
      <c r="AZ113" s="462">
        <f t="shared" si="674"/>
        <v>0.69802884820754763</v>
      </c>
      <c r="BA113" s="462">
        <f t="shared" si="674"/>
        <v>0.74982897077242061</v>
      </c>
      <c r="BB113" s="462">
        <f t="shared" si="674"/>
        <v>0.95935779565229296</v>
      </c>
      <c r="BC113" s="462">
        <f t="shared" si="674"/>
        <v>0.94162077922077925</v>
      </c>
      <c r="BD113" s="463">
        <f t="shared" si="674"/>
        <v>0.94162077922077925</v>
      </c>
      <c r="BE113" s="462">
        <f t="shared" si="674"/>
        <v>0.99912797409960252</v>
      </c>
      <c r="BF113" s="462">
        <f t="shared" si="674"/>
        <v>1.119641891282791</v>
      </c>
      <c r="BG113" s="462">
        <f t="shared" si="674"/>
        <v>1.1752085559188872</v>
      </c>
      <c r="BH113" s="462">
        <f t="shared" si="674"/>
        <v>1.3418434054172885</v>
      </c>
      <c r="BI113" s="463">
        <f t="shared" si="674"/>
        <v>1.3418434054172885</v>
      </c>
      <c r="BJ113" s="462">
        <f t="shared" si="674"/>
        <v>1.3963754190857798</v>
      </c>
      <c r="BK113" s="462">
        <f t="shared" si="674"/>
        <v>1.4597485110349637</v>
      </c>
      <c r="BL113" s="462">
        <f t="shared" si="674"/>
        <v>1.4303282732044023</v>
      </c>
      <c r="BM113" s="462">
        <f t="shared" si="674"/>
        <v>1.309083488078312</v>
      </c>
      <c r="BN113" s="463">
        <f t="shared" ref="BN113:BY113" si="675">BN111/BN112</f>
        <v>1.309083488078312</v>
      </c>
      <c r="BO113" s="462">
        <f t="shared" si="675"/>
        <v>1.3076863867539399</v>
      </c>
      <c r="BP113" s="462">
        <f t="shared" si="675"/>
        <v>1.3989790123437686</v>
      </c>
      <c r="BQ113" s="462">
        <f t="shared" si="675"/>
        <v>1.3887066341068746</v>
      </c>
      <c r="BR113" s="462">
        <f t="shared" si="675"/>
        <v>1.3162496513269399</v>
      </c>
      <c r="BS113" s="463">
        <f t="shared" si="675"/>
        <v>1.3162496513269399</v>
      </c>
      <c r="BT113" s="462">
        <f t="shared" si="675"/>
        <v>1.3230979430646279</v>
      </c>
      <c r="BU113" s="462">
        <f t="shared" si="675"/>
        <v>1.4460764867823146</v>
      </c>
      <c r="BV113" s="462">
        <f t="shared" si="675"/>
        <v>1.3972242377935433</v>
      </c>
      <c r="BW113" s="462">
        <f t="shared" si="675"/>
        <v>1.1545465536964872</v>
      </c>
      <c r="BX113" s="463">
        <f t="shared" si="675"/>
        <v>1.1545465536964872</v>
      </c>
      <c r="BY113" s="462">
        <f t="shared" si="675"/>
        <v>1.2472444388736135</v>
      </c>
      <c r="BZ113" s="462">
        <f t="shared" ref="BZ113:CB113" si="676">BZ111/BZ112</f>
        <v>1.2516405823375114</v>
      </c>
      <c r="CA113" s="462">
        <f t="shared" si="676"/>
        <v>1.2220903061181252</v>
      </c>
      <c r="CB113" s="462">
        <f t="shared" si="676"/>
        <v>1.199926858710604</v>
      </c>
      <c r="CC113" s="463">
        <f>CC111/CC112</f>
        <v>1.199926858710604</v>
      </c>
      <c r="CD113" s="462">
        <f t="shared" ref="CD113:CE113" si="677">CD111/CD112</f>
        <v>1.1759134227406496</v>
      </c>
      <c r="CE113" s="462">
        <f t="shared" si="677"/>
        <v>1.1829478829225086</v>
      </c>
      <c r="CF113" s="462">
        <f>CE113</f>
        <v>1.1829478829225086</v>
      </c>
      <c r="CG113" s="462">
        <f>CF113</f>
        <v>1.1829478829225086</v>
      </c>
      <c r="CH113" s="463">
        <f>CH111/CH112</f>
        <v>1.1829478829225086</v>
      </c>
      <c r="CI113" s="462">
        <f>CG113</f>
        <v>1.1829478829225086</v>
      </c>
      <c r="CJ113" s="462">
        <f>CI113</f>
        <v>1.1829478829225086</v>
      </c>
      <c r="CK113" s="462">
        <f>CJ113</f>
        <v>1.1829478829225086</v>
      </c>
      <c r="CL113" s="462">
        <f>CK113</f>
        <v>1.1829478829225086</v>
      </c>
      <c r="CM113" s="463">
        <f>CM111/CM112</f>
        <v>1.1829478829225086</v>
      </c>
      <c r="CN113" s="462">
        <f>CL113</f>
        <v>1.1829478829225086</v>
      </c>
      <c r="CO113" s="462">
        <f>CN113</f>
        <v>1.1829478829225086</v>
      </c>
      <c r="CP113" s="462">
        <f>CO113</f>
        <v>1.1829478829225086</v>
      </c>
      <c r="CQ113" s="462">
        <f>CP113</f>
        <v>1.1829478829225086</v>
      </c>
      <c r="CR113" s="463">
        <f>CR111/CR112</f>
        <v>1.1829478829225086</v>
      </c>
      <c r="CS113" s="462">
        <f>CQ113</f>
        <v>1.1829478829225086</v>
      </c>
      <c r="CT113" s="462">
        <f>CS113</f>
        <v>1.1829478829225086</v>
      </c>
      <c r="CU113" s="462">
        <f>CT113</f>
        <v>1.1829478829225086</v>
      </c>
      <c r="CV113" s="462">
        <f>CU113</f>
        <v>1.1829478829225086</v>
      </c>
      <c r="CW113" s="463">
        <f>CW111/CW112</f>
        <v>1.1829478829225086</v>
      </c>
      <c r="CX113" s="462">
        <f>CV113</f>
        <v>1.1829478829225086</v>
      </c>
      <c r="CY113" s="462">
        <f>CX113</f>
        <v>1.1829478829225086</v>
      </c>
      <c r="CZ113" s="462">
        <f>CY113</f>
        <v>1.1829478829225086</v>
      </c>
      <c r="DA113" s="462">
        <f>CZ113</f>
        <v>1.1829478829225086</v>
      </c>
      <c r="DB113" s="463">
        <f>DB111/DB112</f>
        <v>1.1829478829225086</v>
      </c>
    </row>
    <row r="114" spans="1:106" s="56" customFormat="1" ht="11.5" customHeight="1" x14ac:dyDescent="0.35">
      <c r="A114" s="16" t="s">
        <v>244</v>
      </c>
      <c r="B114" s="46">
        <f t="shared" ref="B114:AE114" si="678">B35</f>
        <v>0</v>
      </c>
      <c r="C114" s="46">
        <f t="shared" si="678"/>
        <v>0</v>
      </c>
      <c r="D114" s="46">
        <f t="shared" si="678"/>
        <v>0</v>
      </c>
      <c r="E114" s="46">
        <f t="shared" si="678"/>
        <v>0</v>
      </c>
      <c r="F114" s="54">
        <f t="shared" si="678"/>
        <v>0</v>
      </c>
      <c r="G114" s="46">
        <f t="shared" si="678"/>
        <v>0</v>
      </c>
      <c r="H114" s="46">
        <f t="shared" si="678"/>
        <v>0</v>
      </c>
      <c r="I114" s="46">
        <f t="shared" si="678"/>
        <v>0</v>
      </c>
      <c r="J114" s="46">
        <f t="shared" si="678"/>
        <v>0</v>
      </c>
      <c r="K114" s="54">
        <f t="shared" si="678"/>
        <v>0</v>
      </c>
      <c r="L114" s="46">
        <f t="shared" si="678"/>
        <v>0</v>
      </c>
      <c r="M114" s="46">
        <f t="shared" si="678"/>
        <v>0</v>
      </c>
      <c r="N114" s="46">
        <f t="shared" si="678"/>
        <v>0</v>
      </c>
      <c r="O114" s="46">
        <f t="shared" si="678"/>
        <v>0</v>
      </c>
      <c r="P114" s="54">
        <f t="shared" si="678"/>
        <v>0</v>
      </c>
      <c r="Q114" s="46">
        <f t="shared" si="678"/>
        <v>0</v>
      </c>
      <c r="R114" s="46">
        <f t="shared" si="678"/>
        <v>0</v>
      </c>
      <c r="S114" s="46">
        <f t="shared" si="678"/>
        <v>0</v>
      </c>
      <c r="T114" s="46">
        <f t="shared" si="678"/>
        <v>0</v>
      </c>
      <c r="U114" s="54">
        <f t="shared" si="678"/>
        <v>0</v>
      </c>
      <c r="V114" s="46">
        <f t="shared" si="678"/>
        <v>0</v>
      </c>
      <c r="W114" s="46">
        <f t="shared" si="678"/>
        <v>0</v>
      </c>
      <c r="X114" s="46">
        <f t="shared" si="678"/>
        <v>0</v>
      </c>
      <c r="Y114" s="46">
        <f t="shared" si="678"/>
        <v>0</v>
      </c>
      <c r="Z114" s="54">
        <f t="shared" si="678"/>
        <v>0</v>
      </c>
      <c r="AA114" s="46">
        <f t="shared" si="678"/>
        <v>0</v>
      </c>
      <c r="AB114" s="46">
        <f t="shared" si="678"/>
        <v>0</v>
      </c>
      <c r="AC114" s="46">
        <f t="shared" si="678"/>
        <v>0</v>
      </c>
      <c r="AD114" s="46">
        <f t="shared" si="678"/>
        <v>0</v>
      </c>
      <c r="AE114" s="54">
        <f t="shared" si="678"/>
        <v>0</v>
      </c>
      <c r="AF114" s="46">
        <f t="shared" ref="AF114:AG114" si="679">AF35</f>
        <v>0</v>
      </c>
      <c r="AG114" s="46">
        <f t="shared" si="679"/>
        <v>0</v>
      </c>
      <c r="AH114" s="46">
        <f t="shared" ref="AH114:BM114" si="680">AH35</f>
        <v>0</v>
      </c>
      <c r="AI114" s="46">
        <f t="shared" si="680"/>
        <v>0</v>
      </c>
      <c r="AJ114" s="54">
        <f t="shared" si="680"/>
        <v>0</v>
      </c>
      <c r="AK114" s="46">
        <f t="shared" si="680"/>
        <v>228692</v>
      </c>
      <c r="AL114" s="46">
        <f t="shared" si="680"/>
        <v>236764</v>
      </c>
      <c r="AM114" s="46">
        <f t="shared" si="680"/>
        <v>268322</v>
      </c>
      <c r="AN114" s="46">
        <f t="shared" si="680"/>
        <v>280472</v>
      </c>
      <c r="AO114" s="54">
        <f t="shared" si="680"/>
        <v>280472</v>
      </c>
      <c r="AP114" s="46">
        <f t="shared" si="680"/>
        <v>198187</v>
      </c>
      <c r="AQ114" s="46">
        <f t="shared" si="680"/>
        <v>197420</v>
      </c>
      <c r="AR114" s="46">
        <f t="shared" si="680"/>
        <v>164703</v>
      </c>
      <c r="AS114" s="46">
        <f t="shared" si="680"/>
        <v>153254</v>
      </c>
      <c r="AT114" s="54">
        <f t="shared" si="680"/>
        <v>153254</v>
      </c>
      <c r="AU114" s="46">
        <f t="shared" si="680"/>
        <v>110887</v>
      </c>
      <c r="AV114" s="46">
        <f t="shared" si="680"/>
        <v>126413</v>
      </c>
      <c r="AW114" s="46">
        <f t="shared" si="680"/>
        <v>188111</v>
      </c>
      <c r="AX114" s="46">
        <f t="shared" si="680"/>
        <v>182793</v>
      </c>
      <c r="AY114" s="54">
        <f t="shared" si="680"/>
        <v>182793</v>
      </c>
      <c r="AZ114" s="46">
        <f t="shared" si="680"/>
        <v>113611</v>
      </c>
      <c r="BA114" s="46">
        <f t="shared" si="680"/>
        <v>193921</v>
      </c>
      <c r="BB114" s="46">
        <f t="shared" si="680"/>
        <v>289238</v>
      </c>
      <c r="BC114" s="46">
        <f t="shared" si="680"/>
        <v>279670</v>
      </c>
      <c r="BD114" s="54">
        <f t="shared" si="680"/>
        <v>279670</v>
      </c>
      <c r="BE114" s="46">
        <f t="shared" si="680"/>
        <v>336426</v>
      </c>
      <c r="BF114" s="46">
        <f t="shared" si="680"/>
        <v>358402</v>
      </c>
      <c r="BG114" s="46">
        <f t="shared" si="680"/>
        <v>403842</v>
      </c>
      <c r="BH114" s="46">
        <f t="shared" si="680"/>
        <v>515238</v>
      </c>
      <c r="BI114" s="54">
        <f t="shared" si="680"/>
        <v>515238</v>
      </c>
      <c r="BJ114" s="46">
        <f t="shared" si="680"/>
        <v>806999</v>
      </c>
      <c r="BK114" s="46">
        <f t="shared" si="680"/>
        <v>668553</v>
      </c>
      <c r="BL114" s="46">
        <f t="shared" si="680"/>
        <v>489825</v>
      </c>
      <c r="BM114" s="46">
        <f t="shared" si="680"/>
        <v>342626</v>
      </c>
      <c r="BN114" s="54">
        <f t="shared" ref="BN114:BY114" si="681">BN35</f>
        <v>342626</v>
      </c>
      <c r="BO114" s="46">
        <f t="shared" si="681"/>
        <v>96307</v>
      </c>
      <c r="BP114" s="46">
        <f t="shared" si="681"/>
        <v>63829</v>
      </c>
      <c r="BQ114" s="46">
        <f t="shared" si="681"/>
        <v>54193</v>
      </c>
      <c r="BR114" s="46">
        <f t="shared" si="681"/>
        <v>97208</v>
      </c>
      <c r="BS114" s="54">
        <f t="shared" si="681"/>
        <v>97208</v>
      </c>
      <c r="BT114" s="46">
        <f t="shared" si="681"/>
        <v>118652</v>
      </c>
      <c r="BU114" s="46">
        <f t="shared" si="681"/>
        <v>150036</v>
      </c>
      <c r="BV114" s="46">
        <f t="shared" si="681"/>
        <v>122895</v>
      </c>
      <c r="BW114" s="46">
        <f t="shared" si="681"/>
        <v>184216</v>
      </c>
      <c r="BX114" s="54">
        <f t="shared" si="681"/>
        <v>184216</v>
      </c>
      <c r="BY114" s="46">
        <f t="shared" si="681"/>
        <v>238841</v>
      </c>
      <c r="BZ114" s="46">
        <f t="shared" ref="BZ114:CB114" si="682">BZ35</f>
        <v>253521</v>
      </c>
      <c r="CA114" s="46">
        <f t="shared" si="682"/>
        <v>273630</v>
      </c>
      <c r="CB114" s="46">
        <f t="shared" si="682"/>
        <v>333123</v>
      </c>
      <c r="CC114" s="54">
        <f>CC35</f>
        <v>333123</v>
      </c>
      <c r="CD114" s="46">
        <f t="shared" ref="CD114:CE114" si="683">CD35</f>
        <v>351671</v>
      </c>
      <c r="CE114" s="46">
        <f t="shared" si="683"/>
        <v>347634</v>
      </c>
      <c r="CF114" s="94">
        <f>CF116*CF115</f>
        <v>366059.40780930727</v>
      </c>
      <c r="CG114" s="94">
        <f>CG116*CG115</f>
        <v>390821.6747929905</v>
      </c>
      <c r="CH114" s="54">
        <f>CH35</f>
        <v>390821.6747929905</v>
      </c>
      <c r="CI114" s="94">
        <f>CI116*CI115</f>
        <v>407571.1537193617</v>
      </c>
      <c r="CJ114" s="94">
        <f>CJ116*CJ115</f>
        <v>439421.68673433224</v>
      </c>
      <c r="CK114" s="94">
        <f>CK116*CK115</f>
        <v>448750.47406174015</v>
      </c>
      <c r="CL114" s="94">
        <f>CL116*CL115</f>
        <v>458004.42377793713</v>
      </c>
      <c r="CM114" s="54">
        <f>CM35</f>
        <v>458004.42377793713</v>
      </c>
      <c r="CN114" s="94">
        <f>CN116*CN115</f>
        <v>463434.10105932271</v>
      </c>
      <c r="CO114" s="94">
        <f>CO116*CO115</f>
        <v>468035.18868498621</v>
      </c>
      <c r="CP114" s="94">
        <f>CP116*CP115</f>
        <v>471999.34146067582</v>
      </c>
      <c r="CQ114" s="94">
        <f>CQ116*CQ115</f>
        <v>476246.36722354096</v>
      </c>
      <c r="CR114" s="54">
        <f>CR35</f>
        <v>476246.36722354096</v>
      </c>
      <c r="CS114" s="94">
        <f>CS116*CS115</f>
        <v>485007.35650891619</v>
      </c>
      <c r="CT114" s="94">
        <f>CT116*CT115</f>
        <v>492483.62230716419</v>
      </c>
      <c r="CU114" s="94">
        <f>CU116*CU115</f>
        <v>498504.77388413361</v>
      </c>
      <c r="CV114" s="94">
        <f>CV116*CV115</f>
        <v>503745.73849602119</v>
      </c>
      <c r="CW114" s="54">
        <f>CW35</f>
        <v>503745.73849602119</v>
      </c>
      <c r="CX114" s="94">
        <f>CX116*CX115</f>
        <v>509672.1767372801</v>
      </c>
      <c r="CY114" s="94">
        <f>CY116*CY115</f>
        <v>515427.23841334565</v>
      </c>
      <c r="CZ114" s="94">
        <f>CZ116*CZ115</f>
        <v>520407.74740337621</v>
      </c>
      <c r="DA114" s="94">
        <f>DA116*DA115</f>
        <v>525045.16775572766</v>
      </c>
      <c r="DB114" s="54">
        <f>DB35</f>
        <v>525045.16775572766</v>
      </c>
    </row>
    <row r="115" spans="1:106" ht="11.5" customHeight="1" x14ac:dyDescent="0.35">
      <c r="A115" s="19" t="s">
        <v>245</v>
      </c>
      <c r="B115" s="424" t="e">
        <f>Operating!B9+Operating!#REF!+Operating!#REF!+Operating!#REF!</f>
        <v>#REF!</v>
      </c>
      <c r="C115" s="424" t="e">
        <f>Operating!C9+Operating!B9+Operating!#REF!+Operating!#REF!</f>
        <v>#REF!</v>
      </c>
      <c r="D115" s="424" t="e">
        <f>Operating!D9+Operating!C9+Operating!B9+Operating!#REF!</f>
        <v>#REF!</v>
      </c>
      <c r="E115" s="424">
        <f>Operating!E9+Operating!D9+Operating!C9+Operating!B9</f>
        <v>0</v>
      </c>
      <c r="F115" s="476">
        <f>Operating!F9</f>
        <v>0</v>
      </c>
      <c r="G115" s="424">
        <f>Operating!G9+Operating!E9+Operating!D9+Operating!C9</f>
        <v>0</v>
      </c>
      <c r="H115" s="424">
        <f>Operating!H9+Operating!G9+Operating!E9+Operating!D9</f>
        <v>0</v>
      </c>
      <c r="I115" s="424">
        <f>Operating!I9+Operating!H9+Operating!G9+Operating!E9</f>
        <v>0</v>
      </c>
      <c r="J115" s="424">
        <f>Operating!J9+Operating!I9+Operating!H9+Operating!G9</f>
        <v>0</v>
      </c>
      <c r="K115" s="476">
        <f>Operating!K9</f>
        <v>0</v>
      </c>
      <c r="L115" s="424">
        <f>Operating!L9+Operating!J9+Operating!I9+Operating!H9</f>
        <v>0</v>
      </c>
      <c r="M115" s="424">
        <f>Operating!M9+Operating!L9+Operating!J9+Operating!I9</f>
        <v>0</v>
      </c>
      <c r="N115" s="424">
        <f>Operating!N9+Operating!M9+Operating!L9+Operating!J9</f>
        <v>0</v>
      </c>
      <c r="O115" s="424">
        <f>Operating!O9+Operating!N9+Operating!M9+Operating!L9</f>
        <v>0</v>
      </c>
      <c r="P115" s="476">
        <f>Operating!P9</f>
        <v>0</v>
      </c>
      <c r="Q115" s="424">
        <f>Operating!Q9+Operating!O9+Operating!N9+Operating!M9</f>
        <v>0</v>
      </c>
      <c r="R115" s="424">
        <f>Operating!R9+Operating!Q9+Operating!O9+Operating!N9</f>
        <v>0</v>
      </c>
      <c r="S115" s="424">
        <f>Operating!S9+Operating!R9+Operating!Q9+Operating!O9</f>
        <v>0</v>
      </c>
      <c r="T115" s="424">
        <f>Operating!T9+Operating!S9+Operating!R9+Operating!Q9</f>
        <v>0</v>
      </c>
      <c r="U115" s="476">
        <f>Operating!U9</f>
        <v>0</v>
      </c>
      <c r="V115" s="424">
        <f>Operating!V9+Operating!T9+Operating!S9+Operating!R9</f>
        <v>0</v>
      </c>
      <c r="W115" s="424">
        <f>Operating!W9+Operating!V9+Operating!T9+Operating!S9</f>
        <v>0</v>
      </c>
      <c r="X115" s="424">
        <f>Operating!X9+Operating!W9+Operating!V9+Operating!T9</f>
        <v>0</v>
      </c>
      <c r="Y115" s="424">
        <f>Operating!Y9+Operating!X9+Operating!W9+Operating!V9</f>
        <v>0</v>
      </c>
      <c r="Z115" s="476">
        <f>Operating!Z9</f>
        <v>0</v>
      </c>
      <c r="AA115" s="424">
        <f>Operating!AA9+Operating!Y9+Operating!X9+Operating!W9</f>
        <v>0</v>
      </c>
      <c r="AB115" s="424">
        <f>Operating!AB9+Operating!AA9+Operating!Y9+Operating!X9</f>
        <v>0</v>
      </c>
      <c r="AC115" s="424">
        <f>Operating!AC9+Operating!AB9+Operating!AA9+Operating!Y9</f>
        <v>0</v>
      </c>
      <c r="AD115" s="424">
        <f>Operating!AD9+Operating!AC9+Operating!AB9+Operating!AA9</f>
        <v>0</v>
      </c>
      <c r="AE115" s="476">
        <f>Operating!AE9</f>
        <v>0</v>
      </c>
      <c r="AF115" s="424">
        <f>Operating!AF9+Operating!AD9+Operating!AC9+Operating!AB9</f>
        <v>0</v>
      </c>
      <c r="AG115" s="424">
        <f>Operating!AG9+Operating!AF9+Operating!AD9+Operating!AC9</f>
        <v>0</v>
      </c>
      <c r="AH115" s="424">
        <f>Operating!AH9+Operating!AG9+Operating!AF9+Operating!AD9</f>
        <v>0</v>
      </c>
      <c r="AI115" s="424">
        <f>Operating!AI9+Operating!AH9+Operating!AG9+Operating!AF9</f>
        <v>0</v>
      </c>
      <c r="AJ115" s="476">
        <f>Operating!AJ9</f>
        <v>0</v>
      </c>
      <c r="AK115" s="424">
        <f>Operating!AK9+Operating!AI9+Operating!AH9+Operating!AG9</f>
        <v>106704.6508</v>
      </c>
      <c r="AL115" s="424">
        <f>Operating!AL9+Operating!AK9+Operating!AI9+Operating!AH9</f>
        <v>227834.19334</v>
      </c>
      <c r="AM115" s="424">
        <f>Operating!AM9+Operating!AL9+Operating!AK9+Operating!AI9</f>
        <v>427158.67486999999</v>
      </c>
      <c r="AN115" s="424">
        <f>Operating!AN9+Operating!AM9+Operating!AL9+Operating!AK9</f>
        <v>741202.78502999991</v>
      </c>
      <c r="AO115" s="476">
        <f>Operating!AO9</f>
        <v>741202.78502999991</v>
      </c>
      <c r="AP115" s="424">
        <f>Operating!AP9+Operating!AN9+Operating!AM9+Operating!AL9</f>
        <v>769560.03844999988</v>
      </c>
      <c r="AQ115" s="424">
        <f>Operating!AQ9+Operating!AP9+Operating!AN9+Operating!AM9</f>
        <v>859424.37604999996</v>
      </c>
      <c r="AR115" s="424">
        <f>Operating!AR9+Operating!AQ9+Operating!AP9+Operating!AN9</f>
        <v>868876.33431999991</v>
      </c>
      <c r="AS115" s="424">
        <f>Operating!AS9+Operating!AR9+Operating!AQ9+Operating!AP9</f>
        <v>886710.57626000012</v>
      </c>
      <c r="AT115" s="476">
        <f>Operating!AT9</f>
        <v>886710.57626</v>
      </c>
      <c r="AU115" s="424">
        <f>Operating!AU9+Operating!AS9+Operating!AR9+Operating!AQ9</f>
        <v>938064.04533000011</v>
      </c>
      <c r="AV115" s="424">
        <f>Operating!AV9+Operating!AU9+Operating!AS9+Operating!AR9</f>
        <v>932361.36101000011</v>
      </c>
      <c r="AW115" s="424">
        <f>Operating!AW9+Operating!AV9+Operating!AU9+Operating!AS9</f>
        <v>984634.21244000003</v>
      </c>
      <c r="AX115" s="424">
        <f>Operating!AX9+Operating!AW9+Operating!AV9+Operating!AU9</f>
        <v>982140.56400000001</v>
      </c>
      <c r="AY115" s="476">
        <f>Operating!AY9</f>
        <v>982140.56400000001</v>
      </c>
      <c r="AZ115" s="424">
        <f>Operating!AZ9+Operating!AX9+Operating!AW9+Operating!AV9</f>
        <v>1034602.98091</v>
      </c>
      <c r="BA115" s="424">
        <f>Operating!BA9+Operating!AZ9+Operating!AX9+Operating!AW9</f>
        <v>1121393.99238</v>
      </c>
      <c r="BB115" s="424">
        <f>Operating!BB9+Operating!BA9+Operating!AZ9+Operating!AX9</f>
        <v>1270690.3023000001</v>
      </c>
      <c r="BC115" s="424">
        <f>Operating!BC9+Operating!BB9+Operating!BA9+Operating!AZ9</f>
        <v>1345910.5099899999</v>
      </c>
      <c r="BD115" s="476">
        <f>Operating!BD9</f>
        <v>1345910.5099899999</v>
      </c>
      <c r="BE115" s="424">
        <f>Operating!BE9+Operating!BC9+Operating!BB9+Operating!BA9</f>
        <v>1697406.04911</v>
      </c>
      <c r="BF115" s="424">
        <f>Operating!BF9+Operating!BE9+Operating!BC9+Operating!BB9</f>
        <v>2087901.84182</v>
      </c>
      <c r="BG115" s="424">
        <f>Operating!BG9+Operating!BF9+Operating!BE9+Operating!BD9</f>
        <v>3301232.3480700003</v>
      </c>
      <c r="BH115" s="424">
        <f>Operating!BH9+Operating!BG9+Operating!BF9+Operating!BE9</f>
        <v>2566687.93408</v>
      </c>
      <c r="BI115" s="476">
        <f>Operating!BI9</f>
        <v>2566687.93408</v>
      </c>
      <c r="BJ115" s="424">
        <f>Operating!BJ9+Operating!BH9+Operating!BG9+Operating!BF9</f>
        <v>2729680.72591</v>
      </c>
      <c r="BK115" s="424">
        <f>Operating!BK9+Operating!BJ9+Operating!BH9+Operating!BG9</f>
        <v>2944588.1034300001</v>
      </c>
      <c r="BL115" s="424">
        <f>Operating!BL9+Operating!BK9+Operating!BJ9+Operating!BI9</f>
        <v>5103372.0294000003</v>
      </c>
      <c r="BM115" s="424">
        <f>Operating!BM9+Operating!BL9+Operating!BK9+Operating!BJ9</f>
        <v>3289746.1424799999</v>
      </c>
      <c r="BN115" s="476">
        <f>Operating!BN9</f>
        <v>3289746.1424799999</v>
      </c>
      <c r="BO115" s="424">
        <f>Operating!BO9+Operating!BM9+Operating!BL9+Operating!BK9</f>
        <v>3615271.9952999996</v>
      </c>
      <c r="BP115" s="424">
        <f>Operating!BP9+Operating!BO9+Operating!BM9+Operating!BL9</f>
        <v>3911737.3737799996</v>
      </c>
      <c r="BQ115" s="424">
        <f>Operating!BQ9+Operating!BP9+Operating!BO9+Operating!BN9</f>
        <v>6535232.8186999997</v>
      </c>
      <c r="BR115" s="424">
        <f>Operating!BR9+Operating!BQ9+Operating!BP9+Operating!BO9</f>
        <v>4150158.2622199999</v>
      </c>
      <c r="BS115" s="476">
        <f>Operating!BS9</f>
        <v>4150158.2622199999</v>
      </c>
      <c r="BT115" s="424">
        <f>Operating!BT9+Operating!BR9+Operating!BQ9+Operating!BP9</f>
        <v>4623401.6075400002</v>
      </c>
      <c r="BU115" s="424">
        <f>Operating!BU9+Operating!BT9+Operating!BR9+Operating!BQ9</f>
        <v>5178690.7928300006</v>
      </c>
      <c r="BV115" s="424">
        <f>Operating!BV9+Operating!BU9+Operating!BT9+Operating!BS9</f>
        <v>8888684.6860199999</v>
      </c>
      <c r="BW115" s="424">
        <f>Operating!BW9+Operating!BV9+Operating!BU9+Operating!BT9</f>
        <v>6162274.4238</v>
      </c>
      <c r="BX115" s="476">
        <f>Operating!BX9</f>
        <v>6162274.4238000009</v>
      </c>
      <c r="BY115" s="424">
        <f>Operating!BY9+Operating!BW9+Operating!BV9+Operating!BU9</f>
        <v>6715718.0010600006</v>
      </c>
      <c r="BZ115" s="424">
        <f>Operating!BZ9+Operating!BY9+Operating!BW9+Operating!BV9</f>
        <v>7227841.2390700001</v>
      </c>
      <c r="CA115" s="424">
        <f>Operating!CA9+Operating!BZ9+Operating!BX9+Operating!BW9</f>
        <v>11674385.603100002</v>
      </c>
      <c r="CB115" s="424">
        <f>Operating!CB9+Operating!CA9+Operating!BZ9+Operating!BY9</f>
        <v>7750242.0758500006</v>
      </c>
      <c r="CC115" s="476">
        <f>Operating!CC9</f>
        <v>7750242.0758500006</v>
      </c>
      <c r="CD115" s="424">
        <f>Operating!CD9+Operating!CB9+Operating!CA9+Operating!BZ9</f>
        <v>7949263.1793000009</v>
      </c>
      <c r="CE115" s="424">
        <f>Operating!CE9+Operating!CD9+Operating!CB9+Operating!CA9</f>
        <v>7733400</v>
      </c>
      <c r="CF115" s="424">
        <f>Operating!CF9+Operating!CE9+Operating!CD9+Operating!CB9</f>
        <v>8143288.1258809455</v>
      </c>
      <c r="CG115" s="424">
        <f>Operating!CG9+Operating!CF9+Operating!CE9+Operating!CD9</f>
        <v>8694144.818527855</v>
      </c>
      <c r="CH115" s="476">
        <f>Operating!CH9</f>
        <v>8694144.818527855</v>
      </c>
      <c r="CI115" s="424">
        <f>Operating!CI9+Operating!CG9+Operating!CF9+Operating!CE9</f>
        <v>9066750.5484886728</v>
      </c>
      <c r="CJ115" s="424">
        <f>Operating!CJ9+Operating!CI9+Operating!CG9+Operating!CF9</f>
        <v>9775291.4622599762</v>
      </c>
      <c r="CK115" s="424">
        <f>Operating!CK9+Operating!CJ9+Operating!CI9+Operating!CG9</f>
        <v>9982817.8949960619</v>
      </c>
      <c r="CL115" s="424">
        <f>Operating!CL9+Operating!CK9+Operating!CJ9+Operating!CI9</f>
        <v>10188679.504433682</v>
      </c>
      <c r="CM115" s="476">
        <f>Operating!CM9</f>
        <v>10188679.504433684</v>
      </c>
      <c r="CN115" s="424">
        <f>Operating!CN9+Operating!CL9+Operating!CK9+Operating!CJ9</f>
        <v>10309467.074947117</v>
      </c>
      <c r="CO115" s="424">
        <f>Operating!CO9+Operating!CN9+Operating!CL9+Operating!CK9</f>
        <v>10411821.997205313</v>
      </c>
      <c r="CP115" s="424">
        <f>Operating!CP9+Operating!CO9+Operating!CN9+Operating!CL9</f>
        <v>10500007.787650201</v>
      </c>
      <c r="CQ115" s="424">
        <f>Operating!CQ9+Operating!CP9+Operating!CO9+Operating!CN9</f>
        <v>10594486.316892281</v>
      </c>
      <c r="CR115" s="476">
        <f>Operating!CR9</f>
        <v>10594486.316892281</v>
      </c>
      <c r="CS115" s="424">
        <f>Operating!CS9+Operating!CQ9+Operating!CP9+Operating!CO9</f>
        <v>10789381.622125719</v>
      </c>
      <c r="CT115" s="424">
        <f>Operating!CT9+Operating!CS9+Operating!CQ9+Operating!CP9</f>
        <v>10955697.212442463</v>
      </c>
      <c r="CU115" s="424">
        <f>Operating!CU9+Operating!CT9+Operating!CS9+Operating!CQ9</f>
        <v>11089642.607902445</v>
      </c>
      <c r="CV115" s="424">
        <f>Operating!CV9+Operating!CU9+Operating!CT9+Operating!CS9</f>
        <v>11206232.1121787</v>
      </c>
      <c r="CW115" s="476">
        <f>Operating!CW9</f>
        <v>11206232.112178702</v>
      </c>
      <c r="CX115" s="424">
        <f>Operating!CX9+Operating!CV9+Operating!CU9+Operating!CT9</f>
        <v>11338070.532744443</v>
      </c>
      <c r="CY115" s="424">
        <f>Operating!CY9+Operating!CX9+Operating!CV9+Operating!CU9</f>
        <v>11466096.542759819</v>
      </c>
      <c r="CZ115" s="424">
        <f>Operating!CZ9+Operating!CY9+Operating!CX9+Operating!CV9</f>
        <v>11576892.000694033</v>
      </c>
      <c r="DA115" s="424">
        <f>Operating!DA9+Operating!CZ9+Operating!CY9+Operating!CX9</f>
        <v>11680055.173895948</v>
      </c>
      <c r="DB115" s="476">
        <f>Operating!DB9</f>
        <v>11680055.173895949</v>
      </c>
    </row>
    <row r="116" spans="1:106" ht="11.5" customHeight="1" x14ac:dyDescent="0.35">
      <c r="A116" s="192" t="s">
        <v>246</v>
      </c>
      <c r="B116" s="462" t="e">
        <f t="shared" ref="B116:AE116" si="684">B114/B115</f>
        <v>#REF!</v>
      </c>
      <c r="C116" s="462" t="e">
        <f t="shared" si="684"/>
        <v>#REF!</v>
      </c>
      <c r="D116" s="462" t="e">
        <f t="shared" si="684"/>
        <v>#REF!</v>
      </c>
      <c r="E116" s="462" t="e">
        <f t="shared" si="684"/>
        <v>#DIV/0!</v>
      </c>
      <c r="F116" s="463" t="e">
        <f t="shared" si="684"/>
        <v>#DIV/0!</v>
      </c>
      <c r="G116" s="462" t="e">
        <f t="shared" si="684"/>
        <v>#DIV/0!</v>
      </c>
      <c r="H116" s="462" t="e">
        <f t="shared" si="684"/>
        <v>#DIV/0!</v>
      </c>
      <c r="I116" s="462" t="e">
        <f t="shared" si="684"/>
        <v>#DIV/0!</v>
      </c>
      <c r="J116" s="462" t="e">
        <f t="shared" si="684"/>
        <v>#DIV/0!</v>
      </c>
      <c r="K116" s="463" t="e">
        <f t="shared" si="684"/>
        <v>#DIV/0!</v>
      </c>
      <c r="L116" s="462" t="e">
        <f t="shared" si="684"/>
        <v>#DIV/0!</v>
      </c>
      <c r="M116" s="462" t="e">
        <f t="shared" si="684"/>
        <v>#DIV/0!</v>
      </c>
      <c r="N116" s="462" t="e">
        <f t="shared" si="684"/>
        <v>#DIV/0!</v>
      </c>
      <c r="O116" s="462" t="e">
        <f t="shared" si="684"/>
        <v>#DIV/0!</v>
      </c>
      <c r="P116" s="463" t="e">
        <f t="shared" si="684"/>
        <v>#DIV/0!</v>
      </c>
      <c r="Q116" s="462" t="e">
        <f t="shared" si="684"/>
        <v>#DIV/0!</v>
      </c>
      <c r="R116" s="462" t="e">
        <f t="shared" si="684"/>
        <v>#DIV/0!</v>
      </c>
      <c r="S116" s="462" t="e">
        <f t="shared" si="684"/>
        <v>#DIV/0!</v>
      </c>
      <c r="T116" s="462" t="e">
        <f t="shared" si="684"/>
        <v>#DIV/0!</v>
      </c>
      <c r="U116" s="463" t="e">
        <f t="shared" si="684"/>
        <v>#DIV/0!</v>
      </c>
      <c r="V116" s="462" t="e">
        <f t="shared" si="684"/>
        <v>#DIV/0!</v>
      </c>
      <c r="W116" s="462" t="e">
        <f t="shared" si="684"/>
        <v>#DIV/0!</v>
      </c>
      <c r="X116" s="462" t="e">
        <f t="shared" si="684"/>
        <v>#DIV/0!</v>
      </c>
      <c r="Y116" s="462" t="e">
        <f t="shared" si="684"/>
        <v>#DIV/0!</v>
      </c>
      <c r="Z116" s="463" t="e">
        <f t="shared" si="684"/>
        <v>#DIV/0!</v>
      </c>
      <c r="AA116" s="462" t="e">
        <f t="shared" si="684"/>
        <v>#DIV/0!</v>
      </c>
      <c r="AB116" s="462" t="e">
        <f t="shared" si="684"/>
        <v>#DIV/0!</v>
      </c>
      <c r="AC116" s="462" t="e">
        <f t="shared" si="684"/>
        <v>#DIV/0!</v>
      </c>
      <c r="AD116" s="462" t="e">
        <f t="shared" si="684"/>
        <v>#DIV/0!</v>
      </c>
      <c r="AE116" s="463" t="e">
        <f t="shared" si="684"/>
        <v>#DIV/0!</v>
      </c>
      <c r="AF116" s="462" t="e">
        <f t="shared" ref="AF116:AG116" si="685">AF114/AF115</f>
        <v>#DIV/0!</v>
      </c>
      <c r="AG116" s="462" t="e">
        <f t="shared" si="685"/>
        <v>#DIV/0!</v>
      </c>
      <c r="AH116" s="462" t="e">
        <f t="shared" ref="AH116:BM116" si="686">AH114/AH115</f>
        <v>#DIV/0!</v>
      </c>
      <c r="AI116" s="462" t="e">
        <f t="shared" si="686"/>
        <v>#DIV/0!</v>
      </c>
      <c r="AJ116" s="463" t="e">
        <f t="shared" si="686"/>
        <v>#DIV/0!</v>
      </c>
      <c r="AK116" s="462">
        <f t="shared" si="686"/>
        <v>2.1432242951494667</v>
      </c>
      <c r="AL116" s="462">
        <f t="shared" si="686"/>
        <v>1.0391943216647641</v>
      </c>
      <c r="AM116" s="462">
        <f t="shared" si="686"/>
        <v>0.62815533380344013</v>
      </c>
      <c r="AN116" s="462">
        <f t="shared" si="686"/>
        <v>0.37840116856637013</v>
      </c>
      <c r="AO116" s="463">
        <f t="shared" si="686"/>
        <v>0.37840116856637013</v>
      </c>
      <c r="AP116" s="462">
        <f t="shared" si="686"/>
        <v>0.25753286306182943</v>
      </c>
      <c r="AQ116" s="462">
        <f t="shared" si="686"/>
        <v>0.22971189263604785</v>
      </c>
      <c r="AR116" s="462">
        <f t="shared" si="686"/>
        <v>0.18955862128400572</v>
      </c>
      <c r="AS116" s="462">
        <f t="shared" si="686"/>
        <v>0.1728342980258567</v>
      </c>
      <c r="AT116" s="463">
        <f t="shared" si="686"/>
        <v>0.17283429802585673</v>
      </c>
      <c r="AU116" s="462">
        <f t="shared" si="686"/>
        <v>0.11820834680961601</v>
      </c>
      <c r="AV116" s="462">
        <f t="shared" si="686"/>
        <v>0.13558369671503809</v>
      </c>
      <c r="AW116" s="462">
        <f t="shared" si="686"/>
        <v>0.19104658118048359</v>
      </c>
      <c r="AX116" s="462">
        <f t="shared" si="686"/>
        <v>0.186116943643517</v>
      </c>
      <c r="AY116" s="463">
        <f t="shared" si="686"/>
        <v>0.186116943643517</v>
      </c>
      <c r="AZ116" s="462">
        <f t="shared" si="686"/>
        <v>0.10981120497069494</v>
      </c>
      <c r="BA116" s="462">
        <f t="shared" si="686"/>
        <v>0.17292851693313438</v>
      </c>
      <c r="BB116" s="462">
        <f t="shared" si="686"/>
        <v>0.22762273346736628</v>
      </c>
      <c r="BC116" s="462">
        <f t="shared" si="686"/>
        <v>0.20779241853314448</v>
      </c>
      <c r="BD116" s="463">
        <f t="shared" si="686"/>
        <v>0.20779241853314448</v>
      </c>
      <c r="BE116" s="462">
        <f t="shared" si="686"/>
        <v>0.19820007132435874</v>
      </c>
      <c r="BF116" s="462">
        <f t="shared" si="686"/>
        <v>0.17165653711363418</v>
      </c>
      <c r="BG116" s="462">
        <f t="shared" si="686"/>
        <v>0.12233068061268035</v>
      </c>
      <c r="BH116" s="462">
        <f t="shared" si="686"/>
        <v>0.20074041458595984</v>
      </c>
      <c r="BI116" s="463">
        <f t="shared" si="686"/>
        <v>0.20074041458595984</v>
      </c>
      <c r="BJ116" s="462">
        <f t="shared" si="686"/>
        <v>0.29563860430269512</v>
      </c>
      <c r="BK116" s="462">
        <f t="shared" si="686"/>
        <v>0.22704465837555915</v>
      </c>
      <c r="BL116" s="462">
        <f t="shared" si="686"/>
        <v>9.5980656941757073E-2</v>
      </c>
      <c r="BM116" s="462">
        <f t="shared" si="686"/>
        <v>0.10414967756196192</v>
      </c>
      <c r="BN116" s="463">
        <f t="shared" ref="BN116:BY116" si="687">BN114/BN115</f>
        <v>0.10414967756196192</v>
      </c>
      <c r="BO116" s="462">
        <f t="shared" si="687"/>
        <v>2.6638936192132433E-2</v>
      </c>
      <c r="BP116" s="462">
        <f t="shared" si="687"/>
        <v>1.6317301981426377E-2</v>
      </c>
      <c r="BQ116" s="462">
        <f t="shared" si="687"/>
        <v>8.2924360161938607E-3</v>
      </c>
      <c r="BR116" s="462">
        <f t="shared" si="687"/>
        <v>2.3422721221238816E-2</v>
      </c>
      <c r="BS116" s="463">
        <f t="shared" si="687"/>
        <v>2.3422721221238816E-2</v>
      </c>
      <c r="BT116" s="462">
        <f t="shared" si="687"/>
        <v>2.5663355700378331E-2</v>
      </c>
      <c r="BU116" s="462">
        <f t="shared" si="687"/>
        <v>2.8971801175642267E-2</v>
      </c>
      <c r="BV116" s="462">
        <f t="shared" si="687"/>
        <v>1.3826005122365016E-2</v>
      </c>
      <c r="BW116" s="462">
        <f t="shared" si="687"/>
        <v>2.9894157145699169E-2</v>
      </c>
      <c r="BX116" s="463">
        <f t="shared" si="687"/>
        <v>2.9894157145699166E-2</v>
      </c>
      <c r="BY116" s="462">
        <f t="shared" si="687"/>
        <v>3.5564477240155351E-2</v>
      </c>
      <c r="BZ116" s="462">
        <f t="shared" ref="BZ116:CB116" si="688">BZ114/BZ115</f>
        <v>3.5075618239868857E-2</v>
      </c>
      <c r="CA116" s="462">
        <f t="shared" si="688"/>
        <v>2.3438492551363099E-2</v>
      </c>
      <c r="CB116" s="462">
        <f t="shared" si="688"/>
        <v>4.2982270326500101E-2</v>
      </c>
      <c r="CC116" s="463">
        <f>CC114/CC115</f>
        <v>4.2982270326500101E-2</v>
      </c>
      <c r="CD116" s="462">
        <f t="shared" ref="CD116:CE116" si="689">CD114/CD115</f>
        <v>4.423944610561599E-2</v>
      </c>
      <c r="CE116" s="462">
        <f t="shared" si="689"/>
        <v>4.4952284894095744E-2</v>
      </c>
      <c r="CF116" s="462">
        <f>CE116</f>
        <v>4.4952284894095744E-2</v>
      </c>
      <c r="CG116" s="462">
        <f>CF116</f>
        <v>4.4952284894095744E-2</v>
      </c>
      <c r="CH116" s="463">
        <f>CH114/CH115</f>
        <v>4.4952284894095744E-2</v>
      </c>
      <c r="CI116" s="462">
        <f>CG116</f>
        <v>4.4952284894095744E-2</v>
      </c>
      <c r="CJ116" s="462">
        <f>CI116</f>
        <v>4.4952284894095744E-2</v>
      </c>
      <c r="CK116" s="462">
        <f>CJ116</f>
        <v>4.4952284894095744E-2</v>
      </c>
      <c r="CL116" s="462">
        <f>CK116</f>
        <v>4.4952284894095744E-2</v>
      </c>
      <c r="CM116" s="463">
        <f>CM114/CM115</f>
        <v>4.4952284894095737E-2</v>
      </c>
      <c r="CN116" s="462">
        <f>CL116</f>
        <v>4.4952284894095744E-2</v>
      </c>
      <c r="CO116" s="462">
        <f>CN116</f>
        <v>4.4952284894095744E-2</v>
      </c>
      <c r="CP116" s="462">
        <f>CO116</f>
        <v>4.4952284894095744E-2</v>
      </c>
      <c r="CQ116" s="462">
        <f>CP116</f>
        <v>4.4952284894095744E-2</v>
      </c>
      <c r="CR116" s="463">
        <f>CR114/CR115</f>
        <v>4.4952284894095744E-2</v>
      </c>
      <c r="CS116" s="462">
        <f>CQ116</f>
        <v>4.4952284894095744E-2</v>
      </c>
      <c r="CT116" s="462">
        <f>CS116</f>
        <v>4.4952284894095744E-2</v>
      </c>
      <c r="CU116" s="462">
        <f>CT116</f>
        <v>4.4952284894095744E-2</v>
      </c>
      <c r="CV116" s="462">
        <f>CU116</f>
        <v>4.4952284894095744E-2</v>
      </c>
      <c r="CW116" s="463">
        <f>CW114/CW115</f>
        <v>4.4952284894095737E-2</v>
      </c>
      <c r="CX116" s="462">
        <f>CV116</f>
        <v>4.4952284894095744E-2</v>
      </c>
      <c r="CY116" s="462">
        <f>CX116</f>
        <v>4.4952284894095744E-2</v>
      </c>
      <c r="CZ116" s="462">
        <f>CY116</f>
        <v>4.4952284894095744E-2</v>
      </c>
      <c r="DA116" s="462">
        <f>CZ116</f>
        <v>4.4952284894095744E-2</v>
      </c>
      <c r="DB116" s="463">
        <f>DB114/DB115</f>
        <v>4.4952284894095737E-2</v>
      </c>
    </row>
    <row r="117" spans="1:106" ht="11.5" customHeight="1" x14ac:dyDescent="0.35">
      <c r="A117" s="16" t="s">
        <v>169</v>
      </c>
      <c r="B117" s="90">
        <f t="shared" ref="B117:AE117" si="690">B33</f>
        <v>0</v>
      </c>
      <c r="C117" s="90">
        <f t="shared" si="690"/>
        <v>0</v>
      </c>
      <c r="D117" s="90">
        <f t="shared" si="690"/>
        <v>0</v>
      </c>
      <c r="E117" s="90">
        <f t="shared" si="690"/>
        <v>0</v>
      </c>
      <c r="F117" s="91">
        <f t="shared" si="690"/>
        <v>0</v>
      </c>
      <c r="G117" s="90">
        <f t="shared" si="690"/>
        <v>0</v>
      </c>
      <c r="H117" s="90">
        <f t="shared" si="690"/>
        <v>0</v>
      </c>
      <c r="I117" s="90">
        <f t="shared" si="690"/>
        <v>0</v>
      </c>
      <c r="J117" s="90">
        <f t="shared" si="690"/>
        <v>0</v>
      </c>
      <c r="K117" s="91">
        <f t="shared" si="690"/>
        <v>0</v>
      </c>
      <c r="L117" s="90">
        <f t="shared" si="690"/>
        <v>0</v>
      </c>
      <c r="M117" s="90">
        <f t="shared" si="690"/>
        <v>0</v>
      </c>
      <c r="N117" s="90">
        <f t="shared" si="690"/>
        <v>0</v>
      </c>
      <c r="O117" s="90">
        <f t="shared" si="690"/>
        <v>0</v>
      </c>
      <c r="P117" s="91">
        <f t="shared" si="690"/>
        <v>0</v>
      </c>
      <c r="Q117" s="90">
        <f t="shared" si="690"/>
        <v>0</v>
      </c>
      <c r="R117" s="90">
        <f t="shared" si="690"/>
        <v>0</v>
      </c>
      <c r="S117" s="90">
        <f t="shared" si="690"/>
        <v>0</v>
      </c>
      <c r="T117" s="90">
        <f t="shared" si="690"/>
        <v>0</v>
      </c>
      <c r="U117" s="91">
        <f t="shared" si="690"/>
        <v>0</v>
      </c>
      <c r="V117" s="90">
        <f t="shared" si="690"/>
        <v>0</v>
      </c>
      <c r="W117" s="90">
        <f t="shared" si="690"/>
        <v>0</v>
      </c>
      <c r="X117" s="90">
        <f t="shared" si="690"/>
        <v>0</v>
      </c>
      <c r="Y117" s="90">
        <f t="shared" si="690"/>
        <v>0</v>
      </c>
      <c r="Z117" s="91">
        <f t="shared" si="690"/>
        <v>0</v>
      </c>
      <c r="AA117" s="90">
        <f t="shared" si="690"/>
        <v>0</v>
      </c>
      <c r="AB117" s="90">
        <f t="shared" si="690"/>
        <v>0</v>
      </c>
      <c r="AC117" s="90">
        <f t="shared" si="690"/>
        <v>0</v>
      </c>
      <c r="AD117" s="90">
        <f t="shared" si="690"/>
        <v>0</v>
      </c>
      <c r="AE117" s="91">
        <f t="shared" si="690"/>
        <v>0</v>
      </c>
      <c r="AF117" s="90">
        <f t="shared" ref="AF117:AG117" si="691">AF33</f>
        <v>0</v>
      </c>
      <c r="AG117" s="90">
        <f t="shared" si="691"/>
        <v>0</v>
      </c>
      <c r="AH117" s="90">
        <f t="shared" ref="AH117:BM117" si="692">AH33</f>
        <v>0</v>
      </c>
      <c r="AI117" s="90">
        <f t="shared" si="692"/>
        <v>0</v>
      </c>
      <c r="AJ117" s="91">
        <f t="shared" si="692"/>
        <v>0</v>
      </c>
      <c r="AK117" s="90">
        <f t="shared" si="692"/>
        <v>55436</v>
      </c>
      <c r="AL117" s="90">
        <f t="shared" si="692"/>
        <v>54889</v>
      </c>
      <c r="AM117" s="90">
        <f t="shared" si="692"/>
        <v>54068</v>
      </c>
      <c r="AN117" s="90">
        <f t="shared" si="692"/>
        <v>40602</v>
      </c>
      <c r="AO117" s="91">
        <f t="shared" si="692"/>
        <v>40602</v>
      </c>
      <c r="AP117" s="90">
        <f t="shared" si="692"/>
        <v>44654</v>
      </c>
      <c r="AQ117" s="90">
        <f t="shared" si="692"/>
        <v>46999</v>
      </c>
      <c r="AR117" s="90">
        <f t="shared" si="692"/>
        <v>54365</v>
      </c>
      <c r="AS117" s="90">
        <f t="shared" si="692"/>
        <v>49217</v>
      </c>
      <c r="AT117" s="91">
        <f t="shared" si="692"/>
        <v>49217</v>
      </c>
      <c r="AU117" s="90">
        <f t="shared" si="692"/>
        <v>49517</v>
      </c>
      <c r="AV117" s="90">
        <f t="shared" si="692"/>
        <v>55171</v>
      </c>
      <c r="AW117" s="90">
        <f t="shared" si="692"/>
        <v>63386</v>
      </c>
      <c r="AX117" s="90">
        <f t="shared" si="692"/>
        <v>38540</v>
      </c>
      <c r="AY117" s="91">
        <f t="shared" si="692"/>
        <v>38540</v>
      </c>
      <c r="AZ117" s="90">
        <f t="shared" si="692"/>
        <v>54281</v>
      </c>
      <c r="BA117" s="90">
        <f t="shared" si="692"/>
        <v>62684</v>
      </c>
      <c r="BB117" s="90">
        <f t="shared" si="692"/>
        <v>92811</v>
      </c>
      <c r="BC117" s="90">
        <f t="shared" si="692"/>
        <v>43910</v>
      </c>
      <c r="BD117" s="91">
        <f t="shared" si="692"/>
        <v>43910</v>
      </c>
      <c r="BE117" s="90">
        <f t="shared" si="692"/>
        <v>60296</v>
      </c>
      <c r="BF117" s="90">
        <f t="shared" si="692"/>
        <v>91549</v>
      </c>
      <c r="BG117" s="90">
        <f t="shared" si="692"/>
        <v>90214</v>
      </c>
      <c r="BH117" s="90">
        <f t="shared" si="692"/>
        <v>87488</v>
      </c>
      <c r="BI117" s="91">
        <f t="shared" si="692"/>
        <v>87488</v>
      </c>
      <c r="BJ117" s="90">
        <f t="shared" si="692"/>
        <v>83823</v>
      </c>
      <c r="BK117" s="90">
        <f t="shared" si="692"/>
        <v>113748</v>
      </c>
      <c r="BL117" s="90">
        <f t="shared" si="692"/>
        <v>104282</v>
      </c>
      <c r="BM117" s="90">
        <f t="shared" si="692"/>
        <v>114591</v>
      </c>
      <c r="BN117" s="91">
        <f t="shared" ref="BN117:BY117" si="693">BN33</f>
        <v>114591</v>
      </c>
      <c r="BO117" s="90">
        <f t="shared" si="693"/>
        <v>121055</v>
      </c>
      <c r="BP117" s="90">
        <f t="shared" si="693"/>
        <v>118958</v>
      </c>
      <c r="BQ117" s="90">
        <f t="shared" si="693"/>
        <v>144821</v>
      </c>
      <c r="BR117" s="90">
        <f t="shared" si="693"/>
        <v>171904</v>
      </c>
      <c r="BS117" s="91">
        <f t="shared" si="693"/>
        <v>171904</v>
      </c>
      <c r="BT117" s="90">
        <f t="shared" si="693"/>
        <v>172207</v>
      </c>
      <c r="BU117" s="90">
        <f t="shared" si="693"/>
        <v>141397</v>
      </c>
      <c r="BV117" s="90">
        <f t="shared" si="693"/>
        <v>182227</v>
      </c>
      <c r="BW117" s="90">
        <f t="shared" si="693"/>
        <v>187317</v>
      </c>
      <c r="BX117" s="91">
        <f t="shared" si="693"/>
        <v>187317</v>
      </c>
      <c r="BY117" s="90">
        <f t="shared" si="693"/>
        <v>256301</v>
      </c>
      <c r="BZ117" s="90">
        <f t="shared" ref="BZ117:CB117" si="694">BZ33</f>
        <v>286650</v>
      </c>
      <c r="CA117" s="90">
        <f t="shared" si="694"/>
        <v>283823</v>
      </c>
      <c r="CB117" s="90">
        <f t="shared" si="694"/>
        <v>278476</v>
      </c>
      <c r="CC117" s="91">
        <f>CC33</f>
        <v>278476</v>
      </c>
      <c r="CD117" s="90">
        <f t="shared" ref="CD117:CE117" si="695">CD33</f>
        <v>339656</v>
      </c>
      <c r="CE117" s="90">
        <f t="shared" si="695"/>
        <v>351510</v>
      </c>
      <c r="CF117" s="90">
        <f>-CF119*CF118/365</f>
        <v>370713.7317211206</v>
      </c>
      <c r="CG117" s="90">
        <f>-CG119*CG118/365</f>
        <v>392105.07614650694</v>
      </c>
      <c r="CH117" s="91">
        <f>CH33</f>
        <v>392105.07614650694</v>
      </c>
      <c r="CI117" s="90">
        <f>-CI119*CI118/365</f>
        <v>407486.32352605503</v>
      </c>
      <c r="CJ117" s="90">
        <f>-CJ119*CJ118/365</f>
        <v>433110.57868649467</v>
      </c>
      <c r="CK117" s="90">
        <f>-CK119*CK118/365</f>
        <v>456359.8052427902</v>
      </c>
      <c r="CL117" s="90">
        <f>-CL119*CL118/365</f>
        <v>471198.06020761881</v>
      </c>
      <c r="CM117" s="91">
        <f>CM33</f>
        <v>471198.06020761881</v>
      </c>
      <c r="CN117" s="90">
        <f>-CN119*CN118/365</f>
        <v>487727.41265193961</v>
      </c>
      <c r="CO117" s="90">
        <f>-CO119*CO118/365</f>
        <v>500432.60038921377</v>
      </c>
      <c r="CP117" s="90">
        <f>-CP119*CP118/365</f>
        <v>514354.52877776255</v>
      </c>
      <c r="CQ117" s="90">
        <f>-CQ119*CQ118/365</f>
        <v>531744.06906782964</v>
      </c>
      <c r="CR117" s="91">
        <f>CR33</f>
        <v>531744.06906782964</v>
      </c>
      <c r="CS117" s="90">
        <f>-CS119*CS118/365</f>
        <v>546142.63657724764</v>
      </c>
      <c r="CT117" s="90">
        <f>-CT119*CT118/365</f>
        <v>559828.37112919567</v>
      </c>
      <c r="CU117" s="90">
        <f>-CU119*CU118/365</f>
        <v>572680.37794234662</v>
      </c>
      <c r="CV117" s="90">
        <f>-CV119*CV118/365</f>
        <v>584608.12644397293</v>
      </c>
      <c r="CW117" s="91">
        <f>CW33</f>
        <v>584608.12644397293</v>
      </c>
      <c r="CX117" s="90">
        <f>-CX119*CX118/365</f>
        <v>595179.53487688769</v>
      </c>
      <c r="CY117" s="90">
        <f>-CY119*CY118/365</f>
        <v>605535.38331589894</v>
      </c>
      <c r="CZ117" s="90">
        <f>-CZ119*CZ118/365</f>
        <v>615457.7945295563</v>
      </c>
      <c r="DA117" s="90">
        <f>-DA119*DA118/365</f>
        <v>624798.77270456369</v>
      </c>
      <c r="DB117" s="91">
        <f>DB33</f>
        <v>624798.77270456369</v>
      </c>
    </row>
    <row r="118" spans="1:106" ht="11.5" customHeight="1" x14ac:dyDescent="0.35">
      <c r="A118" s="19" t="s">
        <v>233</v>
      </c>
      <c r="B118" s="92" t="e">
        <f t="shared" ref="B118:AE118" si="696">B102</f>
        <v>#REF!</v>
      </c>
      <c r="C118" s="92" t="e">
        <f t="shared" si="696"/>
        <v>#REF!</v>
      </c>
      <c r="D118" s="92" t="e">
        <f t="shared" si="696"/>
        <v>#REF!</v>
      </c>
      <c r="E118" s="92">
        <f t="shared" si="696"/>
        <v>0</v>
      </c>
      <c r="F118" s="93">
        <f t="shared" si="696"/>
        <v>0</v>
      </c>
      <c r="G118" s="92">
        <f t="shared" si="696"/>
        <v>0</v>
      </c>
      <c r="H118" s="92">
        <f t="shared" si="696"/>
        <v>0</v>
      </c>
      <c r="I118" s="92">
        <f t="shared" si="696"/>
        <v>0</v>
      </c>
      <c r="J118" s="92">
        <f t="shared" si="696"/>
        <v>0</v>
      </c>
      <c r="K118" s="93">
        <f t="shared" si="696"/>
        <v>0</v>
      </c>
      <c r="L118" s="92">
        <f t="shared" si="696"/>
        <v>0</v>
      </c>
      <c r="M118" s="92">
        <f t="shared" si="696"/>
        <v>0</v>
      </c>
      <c r="N118" s="92">
        <f t="shared" si="696"/>
        <v>0</v>
      </c>
      <c r="O118" s="92">
        <f t="shared" si="696"/>
        <v>0</v>
      </c>
      <c r="P118" s="93">
        <f t="shared" si="696"/>
        <v>0</v>
      </c>
      <c r="Q118" s="92">
        <f t="shared" si="696"/>
        <v>0</v>
      </c>
      <c r="R118" s="92">
        <f t="shared" si="696"/>
        <v>0</v>
      </c>
      <c r="S118" s="92">
        <f t="shared" si="696"/>
        <v>0</v>
      </c>
      <c r="T118" s="92">
        <f t="shared" si="696"/>
        <v>0</v>
      </c>
      <c r="U118" s="93">
        <f t="shared" si="696"/>
        <v>0</v>
      </c>
      <c r="V118" s="92">
        <f t="shared" si="696"/>
        <v>0</v>
      </c>
      <c r="W118" s="92">
        <f t="shared" si="696"/>
        <v>0</v>
      </c>
      <c r="X118" s="92">
        <f t="shared" si="696"/>
        <v>0</v>
      </c>
      <c r="Y118" s="92">
        <f t="shared" si="696"/>
        <v>0</v>
      </c>
      <c r="Z118" s="93">
        <f t="shared" si="696"/>
        <v>0</v>
      </c>
      <c r="AA118" s="92">
        <f t="shared" si="696"/>
        <v>0</v>
      </c>
      <c r="AB118" s="92">
        <f t="shared" si="696"/>
        <v>0</v>
      </c>
      <c r="AC118" s="92">
        <f t="shared" si="696"/>
        <v>0</v>
      </c>
      <c r="AD118" s="92">
        <f t="shared" si="696"/>
        <v>0</v>
      </c>
      <c r="AE118" s="93">
        <f t="shared" si="696"/>
        <v>0</v>
      </c>
      <c r="AF118" s="92">
        <f t="shared" ref="AF118:AG118" si="697">AF102</f>
        <v>0</v>
      </c>
      <c r="AG118" s="92">
        <f t="shared" si="697"/>
        <v>0</v>
      </c>
      <c r="AH118" s="92">
        <f t="shared" ref="AH118:BM118" si="698">AH102</f>
        <v>0</v>
      </c>
      <c r="AI118" s="92">
        <f t="shared" si="698"/>
        <v>0</v>
      </c>
      <c r="AJ118" s="93">
        <f t="shared" si="698"/>
        <v>0</v>
      </c>
      <c r="AK118" s="92">
        <f t="shared" si="698"/>
        <v>-128091.893</v>
      </c>
      <c r="AL118" s="92">
        <f t="shared" si="698"/>
        <v>-281076.11700000003</v>
      </c>
      <c r="AM118" s="92">
        <f t="shared" si="698"/>
        <v>-432314.95799999998</v>
      </c>
      <c r="AN118" s="92">
        <f t="shared" si="698"/>
        <v>-570540.31499999994</v>
      </c>
      <c r="AO118" s="93">
        <f t="shared" si="698"/>
        <v>-570540.31499999994</v>
      </c>
      <c r="AP118" s="92">
        <f t="shared" si="698"/>
        <v>-546276.47899999993</v>
      </c>
      <c r="AQ118" s="92">
        <f t="shared" si="698"/>
        <v>-552705.527</v>
      </c>
      <c r="AR118" s="92">
        <f t="shared" si="698"/>
        <v>-567216.30200000003</v>
      </c>
      <c r="AS118" s="92">
        <f t="shared" si="698"/>
        <v>-605525.60600000003</v>
      </c>
      <c r="AT118" s="93">
        <f t="shared" si="698"/>
        <v>-605525.60600000003</v>
      </c>
      <c r="AU118" s="92">
        <f t="shared" si="698"/>
        <v>-634736.549</v>
      </c>
      <c r="AV118" s="92">
        <f t="shared" si="698"/>
        <v>-642305.277</v>
      </c>
      <c r="AW118" s="92">
        <f t="shared" si="698"/>
        <v>-657244.66100000008</v>
      </c>
      <c r="AX118" s="92">
        <f t="shared" si="698"/>
        <v>-663392</v>
      </c>
      <c r="AY118" s="93">
        <f t="shared" si="698"/>
        <v>-663392</v>
      </c>
      <c r="AZ118" s="92">
        <f t="shared" si="698"/>
        <v>-679534</v>
      </c>
      <c r="BA118" s="92">
        <f t="shared" si="698"/>
        <v>-671689</v>
      </c>
      <c r="BB118" s="92">
        <f t="shared" si="698"/>
        <v>-693541</v>
      </c>
      <c r="BC118" s="92">
        <f t="shared" si="698"/>
        <v>-716292</v>
      </c>
      <c r="BD118" s="93">
        <f t="shared" si="698"/>
        <v>-716292</v>
      </c>
      <c r="BE118" s="92">
        <f t="shared" si="698"/>
        <v>-786055</v>
      </c>
      <c r="BF118" s="92">
        <f t="shared" si="698"/>
        <v>-915339</v>
      </c>
      <c r="BG118" s="92">
        <f t="shared" si="698"/>
        <v>-1505135</v>
      </c>
      <c r="BH118" s="92">
        <f t="shared" si="698"/>
        <v>-1093624</v>
      </c>
      <c r="BI118" s="93">
        <f t="shared" si="698"/>
        <v>-1093624</v>
      </c>
      <c r="BJ118" s="92">
        <f t="shared" si="698"/>
        <v>-1156145</v>
      </c>
      <c r="BK118" s="92">
        <f t="shared" si="698"/>
        <v>-1255010</v>
      </c>
      <c r="BL118" s="92">
        <f t="shared" si="698"/>
        <v>-2155291</v>
      </c>
      <c r="BM118" s="92">
        <f t="shared" si="698"/>
        <v>-1420402</v>
      </c>
      <c r="BN118" s="93">
        <f t="shared" ref="BN118:CS118" si="699">BN102</f>
        <v>-1420402</v>
      </c>
      <c r="BO118" s="92">
        <f t="shared" si="699"/>
        <v>-1510731</v>
      </c>
      <c r="BP118" s="92">
        <f t="shared" si="699"/>
        <v>-1576637</v>
      </c>
      <c r="BQ118" s="92">
        <f t="shared" si="699"/>
        <v>-2713359</v>
      </c>
      <c r="BR118" s="92">
        <f t="shared" si="699"/>
        <v>-1790819</v>
      </c>
      <c r="BS118" s="93">
        <f t="shared" si="699"/>
        <v>-1790819</v>
      </c>
      <c r="BT118" s="92">
        <f t="shared" si="699"/>
        <v>-1939798</v>
      </c>
      <c r="BU118" s="92">
        <f t="shared" si="699"/>
        <v>-2102160</v>
      </c>
      <c r="BV118" s="92">
        <f t="shared" si="699"/>
        <v>-3573572</v>
      </c>
      <c r="BW118" s="92">
        <f t="shared" si="699"/>
        <v>-2413370</v>
      </c>
      <c r="BX118" s="93">
        <f t="shared" si="699"/>
        <v>-2413370</v>
      </c>
      <c r="BY118" s="92">
        <f t="shared" si="699"/>
        <v>-2633893</v>
      </c>
      <c r="BZ118" s="92">
        <f t="shared" ref="BZ118:CB118" si="700">BZ102</f>
        <v>-2832162</v>
      </c>
      <c r="CA118" s="92">
        <f t="shared" si="700"/>
        <v>-4708509</v>
      </c>
      <c r="CB118" s="92">
        <f t="shared" si="700"/>
        <v>-3252837</v>
      </c>
      <c r="CC118" s="93">
        <f t="shared" si="699"/>
        <v>-3252837</v>
      </c>
      <c r="CD118" s="92">
        <f t="shared" ref="CD118:CE118" si="701">CD102</f>
        <v>-3494456</v>
      </c>
      <c r="CE118" s="92">
        <f t="shared" si="701"/>
        <v>-3702865</v>
      </c>
      <c r="CF118" s="92">
        <f t="shared" si="699"/>
        <v>-3905160.3146696463</v>
      </c>
      <c r="CG118" s="92">
        <f t="shared" si="699"/>
        <v>-4130500.3066349057</v>
      </c>
      <c r="CH118" s="93">
        <f t="shared" si="699"/>
        <v>-4130500.3066349057</v>
      </c>
      <c r="CI118" s="92">
        <f t="shared" si="699"/>
        <v>-4292528.9333541179</v>
      </c>
      <c r="CJ118" s="92">
        <f t="shared" si="699"/>
        <v>-4562459.1133907065</v>
      </c>
      <c r="CK118" s="92">
        <f t="shared" si="699"/>
        <v>-4807370.3457663916</v>
      </c>
      <c r="CL118" s="92">
        <f t="shared" si="699"/>
        <v>-4963678.9997743582</v>
      </c>
      <c r="CM118" s="93">
        <f t="shared" si="699"/>
        <v>-4963678.9997743582</v>
      </c>
      <c r="CN118" s="92">
        <f t="shared" si="699"/>
        <v>-5137801.9568416961</v>
      </c>
      <c r="CO118" s="92">
        <f t="shared" si="699"/>
        <v>-5271640.5247082766</v>
      </c>
      <c r="CP118" s="92">
        <f t="shared" si="699"/>
        <v>-5418296.4416451026</v>
      </c>
      <c r="CQ118" s="92">
        <f t="shared" si="699"/>
        <v>-5601480.7610277077</v>
      </c>
      <c r="CR118" s="93">
        <f t="shared" si="699"/>
        <v>-5601480.7610277077</v>
      </c>
      <c r="CS118" s="92">
        <f t="shared" si="699"/>
        <v>-5753157.6740053203</v>
      </c>
      <c r="CT118" s="92">
        <f t="shared" ref="CT118:DB118" si="702">CT102</f>
        <v>-5897325.485651359</v>
      </c>
      <c r="CU118" s="92">
        <f t="shared" si="702"/>
        <v>-6032710.6701643979</v>
      </c>
      <c r="CV118" s="92">
        <f t="shared" si="702"/>
        <v>-6158359.5633835793</v>
      </c>
      <c r="CW118" s="93">
        <f t="shared" si="702"/>
        <v>-6158359.5633835793</v>
      </c>
      <c r="CX118" s="92">
        <f t="shared" si="702"/>
        <v>-6269720.5439728796</v>
      </c>
      <c r="CY118" s="92">
        <f t="shared" si="702"/>
        <v>-6378810.7796137417</v>
      </c>
      <c r="CZ118" s="92">
        <f t="shared" si="702"/>
        <v>-6483335.1151907081</v>
      </c>
      <c r="DA118" s="92">
        <f t="shared" si="702"/>
        <v>-6581734.5381089719</v>
      </c>
      <c r="DB118" s="93">
        <f t="shared" si="702"/>
        <v>-6581734.5381089719</v>
      </c>
    </row>
    <row r="119" spans="1:106" ht="11.5" customHeight="1" x14ac:dyDescent="0.35">
      <c r="A119" s="192" t="s">
        <v>247</v>
      </c>
      <c r="B119" s="458" t="e">
        <f t="shared" ref="B119:AE119" si="703">-365/(B118/B117)</f>
        <v>#REF!</v>
      </c>
      <c r="C119" s="458" t="e">
        <f t="shared" si="703"/>
        <v>#REF!</v>
      </c>
      <c r="D119" s="458" t="e">
        <f t="shared" si="703"/>
        <v>#REF!</v>
      </c>
      <c r="E119" s="458" t="e">
        <f t="shared" si="703"/>
        <v>#DIV/0!</v>
      </c>
      <c r="F119" s="459" t="e">
        <f t="shared" si="703"/>
        <v>#DIV/0!</v>
      </c>
      <c r="G119" s="458" t="e">
        <f t="shared" si="703"/>
        <v>#DIV/0!</v>
      </c>
      <c r="H119" s="458" t="e">
        <f t="shared" si="703"/>
        <v>#DIV/0!</v>
      </c>
      <c r="I119" s="458" t="e">
        <f t="shared" si="703"/>
        <v>#DIV/0!</v>
      </c>
      <c r="J119" s="458" t="e">
        <f t="shared" si="703"/>
        <v>#DIV/0!</v>
      </c>
      <c r="K119" s="459" t="e">
        <f t="shared" si="703"/>
        <v>#DIV/0!</v>
      </c>
      <c r="L119" s="458" t="e">
        <f t="shared" si="703"/>
        <v>#DIV/0!</v>
      </c>
      <c r="M119" s="458" t="e">
        <f t="shared" si="703"/>
        <v>#DIV/0!</v>
      </c>
      <c r="N119" s="458" t="e">
        <f t="shared" si="703"/>
        <v>#DIV/0!</v>
      </c>
      <c r="O119" s="458" t="e">
        <f t="shared" si="703"/>
        <v>#DIV/0!</v>
      </c>
      <c r="P119" s="459" t="e">
        <f t="shared" si="703"/>
        <v>#DIV/0!</v>
      </c>
      <c r="Q119" s="458" t="e">
        <f t="shared" si="703"/>
        <v>#DIV/0!</v>
      </c>
      <c r="R119" s="458" t="e">
        <f t="shared" si="703"/>
        <v>#DIV/0!</v>
      </c>
      <c r="S119" s="458" t="e">
        <f t="shared" si="703"/>
        <v>#DIV/0!</v>
      </c>
      <c r="T119" s="458" t="e">
        <f t="shared" si="703"/>
        <v>#DIV/0!</v>
      </c>
      <c r="U119" s="459" t="e">
        <f t="shared" si="703"/>
        <v>#DIV/0!</v>
      </c>
      <c r="V119" s="458" t="e">
        <f t="shared" si="703"/>
        <v>#DIV/0!</v>
      </c>
      <c r="W119" s="458" t="e">
        <f t="shared" si="703"/>
        <v>#DIV/0!</v>
      </c>
      <c r="X119" s="458" t="e">
        <f t="shared" si="703"/>
        <v>#DIV/0!</v>
      </c>
      <c r="Y119" s="458" t="e">
        <f t="shared" si="703"/>
        <v>#DIV/0!</v>
      </c>
      <c r="Z119" s="459" t="e">
        <f t="shared" si="703"/>
        <v>#DIV/0!</v>
      </c>
      <c r="AA119" s="458" t="e">
        <f t="shared" si="703"/>
        <v>#DIV/0!</v>
      </c>
      <c r="AB119" s="458" t="e">
        <f t="shared" si="703"/>
        <v>#DIV/0!</v>
      </c>
      <c r="AC119" s="458" t="e">
        <f t="shared" si="703"/>
        <v>#DIV/0!</v>
      </c>
      <c r="AD119" s="458" t="e">
        <f t="shared" si="703"/>
        <v>#DIV/0!</v>
      </c>
      <c r="AE119" s="459" t="e">
        <f t="shared" si="703"/>
        <v>#DIV/0!</v>
      </c>
      <c r="AF119" s="458" t="e">
        <f t="shared" ref="AF119:AG119" si="704">-365/(AF118/AF117)</f>
        <v>#DIV/0!</v>
      </c>
      <c r="AG119" s="458" t="e">
        <f t="shared" si="704"/>
        <v>#DIV/0!</v>
      </c>
      <c r="AH119" s="458" t="e">
        <f t="shared" ref="AH119:BM119" si="705">-365/(AH118/AH117)</f>
        <v>#DIV/0!</v>
      </c>
      <c r="AI119" s="458" t="e">
        <f t="shared" si="705"/>
        <v>#DIV/0!</v>
      </c>
      <c r="AJ119" s="459" t="e">
        <f t="shared" si="705"/>
        <v>#DIV/0!</v>
      </c>
      <c r="AK119" s="458">
        <f t="shared" si="705"/>
        <v>157.96581287154527</v>
      </c>
      <c r="AL119" s="458">
        <f t="shared" si="705"/>
        <v>71.277791986858844</v>
      </c>
      <c r="AM119" s="458">
        <f t="shared" si="705"/>
        <v>45.649172287025053</v>
      </c>
      <c r="AN119" s="458">
        <f t="shared" si="705"/>
        <v>25.974904157298688</v>
      </c>
      <c r="AO119" s="459">
        <f t="shared" si="705"/>
        <v>25.974904157298688</v>
      </c>
      <c r="AP119" s="458">
        <f t="shared" si="705"/>
        <v>29.836009102636105</v>
      </c>
      <c r="AQ119" s="458">
        <f t="shared" si="705"/>
        <v>31.037567315660297</v>
      </c>
      <c r="AR119" s="458">
        <f t="shared" si="705"/>
        <v>34.983523798651326</v>
      </c>
      <c r="AS119" s="458">
        <f t="shared" si="705"/>
        <v>29.667126909245848</v>
      </c>
      <c r="AT119" s="459">
        <f t="shared" si="705"/>
        <v>29.667126909245848</v>
      </c>
      <c r="AU119" s="458">
        <f t="shared" si="705"/>
        <v>28.474341092338769</v>
      </c>
      <c r="AV119" s="458">
        <f t="shared" si="705"/>
        <v>31.351781965820592</v>
      </c>
      <c r="AW119" s="458">
        <f t="shared" si="705"/>
        <v>35.201335777758409</v>
      </c>
      <c r="AX119" s="458">
        <f t="shared" si="705"/>
        <v>21.204808016979403</v>
      </c>
      <c r="AY119" s="459">
        <f t="shared" si="705"/>
        <v>21.204808016979403</v>
      </c>
      <c r="AZ119" s="458">
        <f t="shared" si="705"/>
        <v>29.156105507597854</v>
      </c>
      <c r="BA119" s="458">
        <f t="shared" si="705"/>
        <v>34.062877313756815</v>
      </c>
      <c r="BB119" s="458">
        <f t="shared" si="705"/>
        <v>48.84500700030712</v>
      </c>
      <c r="BC119" s="458">
        <f t="shared" si="705"/>
        <v>22.375162643167869</v>
      </c>
      <c r="BD119" s="459">
        <f t="shared" si="705"/>
        <v>22.375162643167869</v>
      </c>
      <c r="BE119" s="458">
        <f t="shared" si="705"/>
        <v>27.998091736583319</v>
      </c>
      <c r="BF119" s="458">
        <f t="shared" si="705"/>
        <v>36.506021266437898</v>
      </c>
      <c r="BG119" s="458">
        <f t="shared" si="705"/>
        <v>21.877180452251793</v>
      </c>
      <c r="BH119" s="458">
        <f t="shared" si="705"/>
        <v>29.199359194750663</v>
      </c>
      <c r="BI119" s="459">
        <f t="shared" si="705"/>
        <v>29.199359194750663</v>
      </c>
      <c r="BJ119" s="458">
        <f t="shared" si="705"/>
        <v>26.463285314558295</v>
      </c>
      <c r="BK119" s="458">
        <f t="shared" si="705"/>
        <v>33.081824049210766</v>
      </c>
      <c r="BL119" s="458">
        <f t="shared" si="705"/>
        <v>17.660227783626432</v>
      </c>
      <c r="BM119" s="458">
        <f t="shared" si="705"/>
        <v>29.446392640956574</v>
      </c>
      <c r="BN119" s="459">
        <f t="shared" ref="BN119:BY119" si="706">-365/(BN118/BN117)</f>
        <v>29.446392640956574</v>
      </c>
      <c r="BO119" s="458">
        <f t="shared" si="706"/>
        <v>29.247480193363344</v>
      </c>
      <c r="BP119" s="458">
        <f t="shared" si="706"/>
        <v>27.539420932021766</v>
      </c>
      <c r="BQ119" s="458">
        <f t="shared" si="706"/>
        <v>19.481264734965038</v>
      </c>
      <c r="BR119" s="458">
        <f t="shared" si="706"/>
        <v>35.03701937493404</v>
      </c>
      <c r="BS119" s="459">
        <f t="shared" si="706"/>
        <v>35.03701937493404</v>
      </c>
      <c r="BT119" s="458">
        <f t="shared" si="706"/>
        <v>32.403144554226785</v>
      </c>
      <c r="BU119" s="458">
        <f t="shared" si="706"/>
        <v>24.550892891121514</v>
      </c>
      <c r="BV119" s="458">
        <f t="shared" si="706"/>
        <v>18.612428964632588</v>
      </c>
      <c r="BW119" s="458">
        <f t="shared" si="706"/>
        <v>28.329972196555023</v>
      </c>
      <c r="BX119" s="459">
        <f t="shared" si="706"/>
        <v>28.329972196555023</v>
      </c>
      <c r="BY119" s="458">
        <f t="shared" si="706"/>
        <v>35.517716551127933</v>
      </c>
      <c r="BZ119" s="458">
        <f t="shared" ref="BZ119:CB119" si="707">-365/(BZ118/BZ117)</f>
        <v>36.942537185372871</v>
      </c>
      <c r="CA119" s="458">
        <f t="shared" si="707"/>
        <v>22.00174089080004</v>
      </c>
      <c r="CB119" s="458">
        <f t="shared" si="707"/>
        <v>31.247720067129094</v>
      </c>
      <c r="CC119" s="459">
        <f>-365/(CC118/CC117)</f>
        <v>31.247720067129094</v>
      </c>
      <c r="CD119" s="458">
        <f t="shared" ref="CD119:CE119" si="708">-365/(CD118/CD117)</f>
        <v>35.477464875791831</v>
      </c>
      <c r="CE119" s="458">
        <f t="shared" si="708"/>
        <v>34.649156801557709</v>
      </c>
      <c r="CF119" s="458">
        <f>CE119</f>
        <v>34.649156801557709</v>
      </c>
      <c r="CG119" s="458">
        <f>CF119</f>
        <v>34.649156801557709</v>
      </c>
      <c r="CH119" s="459">
        <f>-365/(CH118/CH117)</f>
        <v>34.649156801557702</v>
      </c>
      <c r="CI119" s="458">
        <f>CG119</f>
        <v>34.649156801557709</v>
      </c>
      <c r="CJ119" s="458">
        <f>CI119</f>
        <v>34.649156801557709</v>
      </c>
      <c r="CK119" s="458">
        <f>CJ119</f>
        <v>34.649156801557709</v>
      </c>
      <c r="CL119" s="458">
        <f>CK119</f>
        <v>34.649156801557709</v>
      </c>
      <c r="CM119" s="459">
        <f>-365/(CM118/CM117)</f>
        <v>34.649156801557709</v>
      </c>
      <c r="CN119" s="458">
        <f>CL119</f>
        <v>34.649156801557709</v>
      </c>
      <c r="CO119" s="458">
        <f>CN119</f>
        <v>34.649156801557709</v>
      </c>
      <c r="CP119" s="458">
        <f>CO119</f>
        <v>34.649156801557709</v>
      </c>
      <c r="CQ119" s="458">
        <f>CP119</f>
        <v>34.649156801557709</v>
      </c>
      <c r="CR119" s="459">
        <f>-365/(CR118/CR117)</f>
        <v>34.649156801557702</v>
      </c>
      <c r="CS119" s="458">
        <f>CQ119</f>
        <v>34.649156801557709</v>
      </c>
      <c r="CT119" s="458">
        <f>CS119</f>
        <v>34.649156801557709</v>
      </c>
      <c r="CU119" s="458">
        <f>CT119</f>
        <v>34.649156801557709</v>
      </c>
      <c r="CV119" s="458">
        <f>CU119</f>
        <v>34.649156801557709</v>
      </c>
      <c r="CW119" s="459">
        <f>-365/(CW118/CW117)</f>
        <v>34.649156801557709</v>
      </c>
      <c r="CX119" s="458">
        <f>CV119</f>
        <v>34.649156801557709</v>
      </c>
      <c r="CY119" s="458">
        <f>CX119</f>
        <v>34.649156801557709</v>
      </c>
      <c r="CZ119" s="458">
        <f>CY119</f>
        <v>34.649156801557709</v>
      </c>
      <c r="DA119" s="458">
        <f>CZ119</f>
        <v>34.649156801557709</v>
      </c>
      <c r="DB119" s="459">
        <f>-365/(DB118/DB117)</f>
        <v>34.649156801557702</v>
      </c>
    </row>
    <row r="120" spans="1:106" s="56" customFormat="1" ht="11.5" customHeight="1" x14ac:dyDescent="0.35">
      <c r="A120" s="16" t="s">
        <v>248</v>
      </c>
      <c r="B120" s="46">
        <f t="shared" ref="B120:E120" si="709">B23+B24</f>
        <v>0</v>
      </c>
      <c r="C120" s="46">
        <f t="shared" si="709"/>
        <v>0</v>
      </c>
      <c r="D120" s="46">
        <f t="shared" si="709"/>
        <v>0</v>
      </c>
      <c r="E120" s="46">
        <f t="shared" si="709"/>
        <v>0</v>
      </c>
      <c r="F120" s="54">
        <f t="shared" ref="F120" si="710">E120</f>
        <v>0</v>
      </c>
      <c r="G120" s="46">
        <f t="shared" ref="G120:J120" si="711">G23+G24</f>
        <v>0</v>
      </c>
      <c r="H120" s="46">
        <f t="shared" si="711"/>
        <v>0</v>
      </c>
      <c r="I120" s="46">
        <f t="shared" si="711"/>
        <v>0</v>
      </c>
      <c r="J120" s="46">
        <f t="shared" si="711"/>
        <v>0</v>
      </c>
      <c r="K120" s="54">
        <f t="shared" ref="K120" si="712">J120</f>
        <v>0</v>
      </c>
      <c r="L120" s="46">
        <f t="shared" ref="L120:O120" si="713">L23+L24</f>
        <v>0</v>
      </c>
      <c r="M120" s="46">
        <f t="shared" si="713"/>
        <v>0</v>
      </c>
      <c r="N120" s="46">
        <f t="shared" si="713"/>
        <v>0</v>
      </c>
      <c r="O120" s="46">
        <f t="shared" si="713"/>
        <v>0</v>
      </c>
      <c r="P120" s="54">
        <f t="shared" ref="P120" si="714">O120</f>
        <v>0</v>
      </c>
      <c r="Q120" s="46">
        <f t="shared" ref="Q120:T120" si="715">Q23+Q24</f>
        <v>0</v>
      </c>
      <c r="R120" s="46">
        <f t="shared" si="715"/>
        <v>0</v>
      </c>
      <c r="S120" s="46">
        <f t="shared" si="715"/>
        <v>0</v>
      </c>
      <c r="T120" s="46">
        <f t="shared" si="715"/>
        <v>0</v>
      </c>
      <c r="U120" s="54">
        <f t="shared" ref="U120" si="716">T120</f>
        <v>0</v>
      </c>
      <c r="V120" s="46">
        <f t="shared" ref="V120:Y120" si="717">V23+V24</f>
        <v>0</v>
      </c>
      <c r="W120" s="46">
        <f t="shared" si="717"/>
        <v>0</v>
      </c>
      <c r="X120" s="46">
        <f t="shared" si="717"/>
        <v>0</v>
      </c>
      <c r="Y120" s="46">
        <f t="shared" si="717"/>
        <v>0</v>
      </c>
      <c r="Z120" s="54">
        <f t="shared" ref="Z120" si="718">Y120</f>
        <v>0</v>
      </c>
      <c r="AA120" s="46">
        <f t="shared" ref="AA120:AD120" si="719">AA23+AA24</f>
        <v>0</v>
      </c>
      <c r="AB120" s="46">
        <f t="shared" si="719"/>
        <v>0</v>
      </c>
      <c r="AC120" s="46">
        <f t="shared" si="719"/>
        <v>0</v>
      </c>
      <c r="AD120" s="46">
        <f t="shared" si="719"/>
        <v>0</v>
      </c>
      <c r="AE120" s="54">
        <f t="shared" ref="AE120" si="720">AD120</f>
        <v>0</v>
      </c>
      <c r="AF120" s="46">
        <f>AF23+AF24</f>
        <v>0</v>
      </c>
      <c r="AG120" s="46">
        <f>AG23+AG24</f>
        <v>0</v>
      </c>
      <c r="AH120" s="46">
        <f>AH23+AH24</f>
        <v>0</v>
      </c>
      <c r="AI120" s="46">
        <f>AI23+AI24</f>
        <v>0</v>
      </c>
      <c r="AJ120" s="54">
        <f>AI120</f>
        <v>0</v>
      </c>
      <c r="AK120" s="46">
        <f>AK23+AK24</f>
        <v>8992</v>
      </c>
      <c r="AL120" s="46">
        <f>AL23+AL24</f>
        <v>8530</v>
      </c>
      <c r="AM120" s="46">
        <f>AM23+AM24</f>
        <v>7661</v>
      </c>
      <c r="AN120" s="46">
        <f>AN23+AN24</f>
        <v>7948</v>
      </c>
      <c r="AO120" s="54">
        <f>AN120</f>
        <v>7948</v>
      </c>
      <c r="AP120" s="46">
        <f>AP23+AP24</f>
        <v>7241</v>
      </c>
      <c r="AQ120" s="46">
        <f>AQ23+AQ24</f>
        <v>6815</v>
      </c>
      <c r="AR120" s="46">
        <f>AR23+AR24</f>
        <v>7764</v>
      </c>
      <c r="AS120" s="46">
        <f>AS23+AS24</f>
        <v>6931</v>
      </c>
      <c r="AT120" s="54">
        <f>AS120</f>
        <v>6931</v>
      </c>
      <c r="AU120" s="46">
        <f>AU23+AU24</f>
        <v>7625</v>
      </c>
      <c r="AV120" s="46">
        <f>AV23+AV24</f>
        <v>9499</v>
      </c>
      <c r="AW120" s="46">
        <f>AW23+AW24</f>
        <v>9461</v>
      </c>
      <c r="AX120" s="46">
        <f>AX23+AX24</f>
        <v>12039</v>
      </c>
      <c r="AY120" s="54">
        <f>AX120</f>
        <v>12039</v>
      </c>
      <c r="AZ120" s="46">
        <f>AZ23+AZ24</f>
        <v>12275</v>
      </c>
      <c r="BA120" s="46">
        <f>BA23+BA24</f>
        <v>12871</v>
      </c>
      <c r="BB120" s="46">
        <f>BB23+BB24</f>
        <v>13604</v>
      </c>
      <c r="BC120" s="46">
        <f>BC23+BC24</f>
        <v>14669</v>
      </c>
      <c r="BD120" s="54">
        <f>BC120</f>
        <v>14669</v>
      </c>
      <c r="BE120" s="46">
        <f>BE23+BE24</f>
        <v>20211</v>
      </c>
      <c r="BF120" s="46">
        <f>BF23+BF24</f>
        <v>23569</v>
      </c>
      <c r="BG120" s="46">
        <f>BG23+BG24</f>
        <v>25579</v>
      </c>
      <c r="BH120" s="46">
        <f>BH23+BH24</f>
        <v>25765</v>
      </c>
      <c r="BI120" s="54">
        <f>BH120</f>
        <v>25765</v>
      </c>
      <c r="BJ120" s="46">
        <f>BJ23+BJ24</f>
        <v>24330</v>
      </c>
      <c r="BK120" s="46">
        <f>BK23+BK24</f>
        <v>22509</v>
      </c>
      <c r="BL120" s="46">
        <f>BL23+BL24</f>
        <v>22203</v>
      </c>
      <c r="BM120" s="46">
        <f>BM23+BM24</f>
        <v>22931</v>
      </c>
      <c r="BN120" s="54">
        <f>BM120</f>
        <v>22931</v>
      </c>
      <c r="BO120" s="46">
        <f>BO23+BO24</f>
        <v>31101</v>
      </c>
      <c r="BP120" s="46">
        <f>BP23+BP24</f>
        <v>33293</v>
      </c>
      <c r="BQ120" s="46">
        <f>BQ23+BQ24</f>
        <v>33278</v>
      </c>
      <c r="BR120" s="46">
        <f>BR23+BR24</f>
        <v>34596</v>
      </c>
      <c r="BS120" s="54">
        <f>BR120</f>
        <v>34596</v>
      </c>
      <c r="BT120" s="46">
        <f>BT23+BT24</f>
        <v>36855</v>
      </c>
      <c r="BU120" s="46">
        <f>BU23+BU24</f>
        <v>37163</v>
      </c>
      <c r="BV120" s="46">
        <f>BV23+BV24</f>
        <v>39806</v>
      </c>
      <c r="BW120" s="46">
        <f>BW23+BW24</f>
        <v>41601</v>
      </c>
      <c r="BX120" s="54">
        <f>BW120</f>
        <v>41601</v>
      </c>
      <c r="BY120" s="46">
        <f>BY23+BY24</f>
        <v>41884</v>
      </c>
      <c r="BZ120" s="46">
        <f>BZ23+BZ24</f>
        <v>40389</v>
      </c>
      <c r="CA120" s="46">
        <f>CA23+CA24</f>
        <v>40513</v>
      </c>
      <c r="CB120" s="46">
        <f>CB23+CB24</f>
        <v>41203</v>
      </c>
      <c r="CC120" s="54">
        <f>CB120</f>
        <v>41203</v>
      </c>
      <c r="CD120" s="46">
        <f>CD23+CD24</f>
        <v>46373</v>
      </c>
      <c r="CE120" s="46">
        <f>CE23+CE24</f>
        <v>51142</v>
      </c>
      <c r="CF120" s="46">
        <f>CE120-CF121+CF123</f>
        <v>51163.836232290341</v>
      </c>
      <c r="CG120" s="46">
        <f>CF120-CG121+CG123</f>
        <v>51185.681788053378</v>
      </c>
      <c r="CH120" s="54">
        <f>CG120</f>
        <v>51185.681788053378</v>
      </c>
      <c r="CI120" s="46">
        <f>CH120-CI121+CI123</f>
        <v>51207.536671269976</v>
      </c>
      <c r="CJ120" s="46">
        <f>CI120-CJ121+CJ123</f>
        <v>51229.400885922703</v>
      </c>
      <c r="CK120" s="46">
        <f>CJ120-CK121+CK123</f>
        <v>51251.274435995838</v>
      </c>
      <c r="CL120" s="46">
        <f>CK120-CL121+CL123</f>
        <v>51273.157325475338</v>
      </c>
      <c r="CM120" s="54">
        <f>CL120</f>
        <v>51273.157325475338</v>
      </c>
      <c r="CN120" s="46">
        <f>CM120-CN121+CN123</f>
        <v>51295.049558348874</v>
      </c>
      <c r="CO120" s="46">
        <f>CN120-CO121+CO123</f>
        <v>51316.951138605822</v>
      </c>
      <c r="CP120" s="46">
        <f>CO120-CP121+CP123</f>
        <v>51338.86207023725</v>
      </c>
      <c r="CQ120" s="46">
        <f>CP120-CQ121+CQ123</f>
        <v>51360.782357235948</v>
      </c>
      <c r="CR120" s="54">
        <f>CQ120</f>
        <v>51360.782357235948</v>
      </c>
      <c r="CS120" s="46">
        <f>CR120-CS121+CS123</f>
        <v>51382.712003596396</v>
      </c>
      <c r="CT120" s="46">
        <f>CS120-CT121+CT123</f>
        <v>51404.651013314789</v>
      </c>
      <c r="CU120" s="46">
        <f>CT120-CU121+CU123</f>
        <v>51426.599390389027</v>
      </c>
      <c r="CV120" s="46">
        <f>CU120-CV121+CV123</f>
        <v>51448.557138818709</v>
      </c>
      <c r="CW120" s="54">
        <f>CV120</f>
        <v>51448.557138818709</v>
      </c>
      <c r="CX120" s="46">
        <f>CW120-CX121+CX123</f>
        <v>51470.524262605148</v>
      </c>
      <c r="CY120" s="46">
        <f>CX120-CY121+CY123</f>
        <v>51492.500765751363</v>
      </c>
      <c r="CZ120" s="46">
        <f>CY120-CZ121+CZ123</f>
        <v>51514.486652262087</v>
      </c>
      <c r="DA120" s="46">
        <f>CZ120-DA121+DA123</f>
        <v>51536.481926143759</v>
      </c>
      <c r="DB120" s="54">
        <f>DA120</f>
        <v>51536.481926143759</v>
      </c>
    </row>
    <row r="121" spans="1:106" ht="11.5" customHeight="1" x14ac:dyDescent="0.35">
      <c r="A121" s="19" t="s">
        <v>21</v>
      </c>
      <c r="B121" s="409">
        <f>IS!B64</f>
        <v>0</v>
      </c>
      <c r="C121" s="409">
        <f>IS!C64</f>
        <v>0</v>
      </c>
      <c r="D121" s="409">
        <f>IS!D64</f>
        <v>0</v>
      </c>
      <c r="E121" s="409">
        <f>IS!E64</f>
        <v>0</v>
      </c>
      <c r="F121" s="455">
        <f t="shared" ref="F121" si="721">SUM(B121:E121)</f>
        <v>0</v>
      </c>
      <c r="G121" s="409">
        <f>IS!G64</f>
        <v>0</v>
      </c>
      <c r="H121" s="409">
        <f>IS!H64</f>
        <v>0</v>
      </c>
      <c r="I121" s="409">
        <f>IS!I64</f>
        <v>0</v>
      </c>
      <c r="J121" s="409">
        <f>IS!J64</f>
        <v>0</v>
      </c>
      <c r="K121" s="455">
        <f t="shared" ref="K121" si="722">SUM(G121:J121)</f>
        <v>0</v>
      </c>
      <c r="L121" s="409">
        <f>IS!L64</f>
        <v>0</v>
      </c>
      <c r="M121" s="409">
        <f>IS!M64</f>
        <v>0</v>
      </c>
      <c r="N121" s="409">
        <f>IS!N64</f>
        <v>0</v>
      </c>
      <c r="O121" s="409">
        <f>IS!O64</f>
        <v>0</v>
      </c>
      <c r="P121" s="455">
        <f t="shared" ref="P121" si="723">SUM(L121:O121)</f>
        <v>0</v>
      </c>
      <c r="Q121" s="409">
        <f>IS!Q64</f>
        <v>0</v>
      </c>
      <c r="R121" s="409">
        <f>IS!R64</f>
        <v>0</v>
      </c>
      <c r="S121" s="409">
        <f>IS!S64</f>
        <v>0</v>
      </c>
      <c r="T121" s="409">
        <f>IS!T64</f>
        <v>0</v>
      </c>
      <c r="U121" s="455">
        <f t="shared" ref="U121" si="724">SUM(Q121:T121)</f>
        <v>0</v>
      </c>
      <c r="V121" s="409">
        <f>IS!V64</f>
        <v>0</v>
      </c>
      <c r="W121" s="409">
        <f>IS!W64</f>
        <v>0</v>
      </c>
      <c r="X121" s="409">
        <f>IS!X64</f>
        <v>0</v>
      </c>
      <c r="Y121" s="409">
        <f>IS!Y64</f>
        <v>0</v>
      </c>
      <c r="Z121" s="455">
        <f t="shared" ref="Z121" si="725">SUM(V121:Y121)</f>
        <v>0</v>
      </c>
      <c r="AA121" s="409">
        <f>IS!AA64</f>
        <v>0</v>
      </c>
      <c r="AB121" s="409">
        <f>IS!AB64</f>
        <v>0</v>
      </c>
      <c r="AC121" s="409">
        <f>IS!AC64</f>
        <v>0</v>
      </c>
      <c r="AD121" s="409">
        <f>IS!AD64</f>
        <v>0</v>
      </c>
      <c r="AE121" s="455">
        <f t="shared" ref="AE121" si="726">SUM(AA121:AD121)</f>
        <v>0</v>
      </c>
      <c r="AF121" s="409">
        <f>IS!AF64</f>
        <v>0</v>
      </c>
      <c r="AG121" s="409">
        <f>IS!AG64</f>
        <v>0</v>
      </c>
      <c r="AH121" s="409">
        <f>IS!AH64</f>
        <v>0</v>
      </c>
      <c r="AI121" s="409">
        <f>IS!AI64</f>
        <v>0</v>
      </c>
      <c r="AJ121" s="455">
        <f>SUM(AF121:AI121)</f>
        <v>0</v>
      </c>
      <c r="AK121" s="409">
        <f>IS!AK64</f>
        <v>0</v>
      </c>
      <c r="AL121" s="409">
        <f>IS!AL64</f>
        <v>0</v>
      </c>
      <c r="AM121" s="409">
        <f>IS!AM64</f>
        <v>0</v>
      </c>
      <c r="AN121" s="409">
        <f>IS!AN64</f>
        <v>0</v>
      </c>
      <c r="AO121" s="455">
        <f>SUM(AK121:AN121)</f>
        <v>0</v>
      </c>
      <c r="AP121" s="409">
        <f>IS!AP64</f>
        <v>0</v>
      </c>
      <c r="AQ121" s="409">
        <f>IS!AQ64</f>
        <v>0</v>
      </c>
      <c r="AR121" s="409">
        <f>IS!AR64</f>
        <v>0</v>
      </c>
      <c r="AS121" s="409">
        <f>IS!AS64</f>
        <v>0</v>
      </c>
      <c r="AT121" s="455">
        <f>SUM(AP121:AS121)</f>
        <v>0</v>
      </c>
      <c r="AU121" s="409">
        <f>IS!AU64</f>
        <v>1854</v>
      </c>
      <c r="AV121" s="409">
        <f>IS!AV64</f>
        <v>179</v>
      </c>
      <c r="AW121" s="409">
        <f>IS!AW64</f>
        <v>399</v>
      </c>
      <c r="AX121" s="409">
        <f>IS!AX64</f>
        <v>-1277</v>
      </c>
      <c r="AY121" s="455">
        <f>SUM(AU121:AX121)</f>
        <v>1155</v>
      </c>
      <c r="AZ121" s="409">
        <f>IS!AZ64</f>
        <v>2925</v>
      </c>
      <c r="BA121" s="409">
        <f>IS!BA64</f>
        <v>307</v>
      </c>
      <c r="BB121" s="409">
        <f>IS!BB64</f>
        <v>365</v>
      </c>
      <c r="BC121" s="409">
        <f>IS!BC64</f>
        <v>-2038</v>
      </c>
      <c r="BD121" s="455">
        <f>SUM(AZ121:BC121)</f>
        <v>1559</v>
      </c>
      <c r="BE121" s="409">
        <f>IS!BE64</f>
        <v>335</v>
      </c>
      <c r="BF121" s="409">
        <f>IS!BF64</f>
        <v>355</v>
      </c>
      <c r="BG121" s="409">
        <f>IS!BG64</f>
        <v>365</v>
      </c>
      <c r="BH121" s="409">
        <f>IS!BH64</f>
        <v>383</v>
      </c>
      <c r="BI121" s="455">
        <f>SUM(BE121:BH121)</f>
        <v>1438</v>
      </c>
      <c r="BJ121" s="409">
        <f>IS!BJ64</f>
        <v>454</v>
      </c>
      <c r="BK121" s="409">
        <f>IS!BK64</f>
        <v>459</v>
      </c>
      <c r="BL121" s="409">
        <f>IS!BL64</f>
        <v>416</v>
      </c>
      <c r="BM121" s="409">
        <f>IS!BM64</f>
        <v>523</v>
      </c>
      <c r="BN121" s="455">
        <f>SUM(BJ121:BM121)</f>
        <v>1852</v>
      </c>
      <c r="BO121" s="409">
        <f>IS!BO64</f>
        <v>776</v>
      </c>
      <c r="BP121" s="409">
        <f>IS!BP64</f>
        <v>721</v>
      </c>
      <c r="BQ121" s="409">
        <f>IS!BQ64</f>
        <v>696</v>
      </c>
      <c r="BR121" s="409">
        <f>IS!BR64</f>
        <v>782</v>
      </c>
      <c r="BS121" s="455">
        <f>SUM(BO121:BR121)</f>
        <v>2975</v>
      </c>
      <c r="BT121" s="409">
        <f>IS!BT64</f>
        <v>529</v>
      </c>
      <c r="BU121" s="409">
        <f>IS!BU64</f>
        <v>728</v>
      </c>
      <c r="BV121" s="409">
        <f>IS!BV64</f>
        <v>725</v>
      </c>
      <c r="BW121" s="409">
        <f>IS!BW64</f>
        <v>691</v>
      </c>
      <c r="BX121" s="455">
        <f>SUM(BT121:BW121)</f>
        <v>2673</v>
      </c>
      <c r="BY121" s="409">
        <f>IS!BY64</f>
        <v>204</v>
      </c>
      <c r="BZ121" s="409">
        <f>IS!BZ64</f>
        <v>226</v>
      </c>
      <c r="CA121" s="409">
        <f>IS!CA64</f>
        <v>219</v>
      </c>
      <c r="CB121" s="409">
        <f>IS!CB64</f>
        <v>216</v>
      </c>
      <c r="CC121" s="455">
        <f>SUM(BY121:CB121)</f>
        <v>865</v>
      </c>
      <c r="CD121" s="409">
        <f>IS!CD64</f>
        <v>212</v>
      </c>
      <c r="CE121" s="409">
        <f>IS!CE64</f>
        <v>198</v>
      </c>
      <c r="CF121" s="409">
        <f>CF122*CE120/4</f>
        <v>218.36232290341363</v>
      </c>
      <c r="CG121" s="409">
        <f>CG122*CF120/4</f>
        <v>218.45555763037734</v>
      </c>
      <c r="CH121" s="455">
        <f>SUM(CD121:CG121)</f>
        <v>846.81788053379103</v>
      </c>
      <c r="CI121" s="409">
        <f>CI122*CH120/4</f>
        <v>218.54883216601405</v>
      </c>
      <c r="CJ121" s="409">
        <f>CJ122*CI120/4</f>
        <v>218.64214652732099</v>
      </c>
      <c r="CK121" s="409">
        <f>CK122*CJ120/4</f>
        <v>218.73550073130261</v>
      </c>
      <c r="CL121" s="409">
        <f>CL122*CK120/4</f>
        <v>218.82889479497069</v>
      </c>
      <c r="CM121" s="455">
        <f>SUM(CI121:CL121)</f>
        <v>874.75537421960837</v>
      </c>
      <c r="CN121" s="409">
        <f>CN122*CM120/4</f>
        <v>218.92232873534422</v>
      </c>
      <c r="CO121" s="409">
        <f>CO122*CN120/4</f>
        <v>219.01580256944942</v>
      </c>
      <c r="CP121" s="409">
        <f>CP122*CO120/4</f>
        <v>219.10931631431984</v>
      </c>
      <c r="CQ121" s="409">
        <f>CQ122*CP120/4</f>
        <v>219.20286998699623</v>
      </c>
      <c r="CR121" s="455">
        <f>SUM(CN121:CQ121)</f>
        <v>876.25031760610966</v>
      </c>
      <c r="CS121" s="409">
        <f>CS122*CR120/4</f>
        <v>219.29646360452674</v>
      </c>
      <c r="CT121" s="409">
        <f>CT122*CS120/4</f>
        <v>219.39009718396667</v>
      </c>
      <c r="CU121" s="409">
        <f>CU122*CT120/4</f>
        <v>219.48377074237874</v>
      </c>
      <c r="CV121" s="409">
        <f>CV122*CU120/4</f>
        <v>219.57748429683281</v>
      </c>
      <c r="CW121" s="455">
        <f>SUM(CS121:CV121)</f>
        <v>877.74781582770493</v>
      </c>
      <c r="CX121" s="409">
        <f>CX122*CW120/4</f>
        <v>219.67123786440612</v>
      </c>
      <c r="CY121" s="409">
        <f>CY122*CX120/4</f>
        <v>219.76503146218317</v>
      </c>
      <c r="CZ121" s="409">
        <f>CZ122*CY120/4</f>
        <v>219.85886510725575</v>
      </c>
      <c r="DA121" s="409">
        <f>DA122*CZ120/4</f>
        <v>219.95273881672296</v>
      </c>
      <c r="DB121" s="455">
        <f>SUM(CX121:DA121)</f>
        <v>879.24787325056809</v>
      </c>
    </row>
    <row r="122" spans="1:106" ht="11.5" customHeight="1" x14ac:dyDescent="0.35">
      <c r="A122" s="149" t="s">
        <v>250</v>
      </c>
      <c r="B122" s="45" t="e">
        <f>B121/#REF!*4</f>
        <v>#REF!</v>
      </c>
      <c r="C122" s="45" t="e">
        <f t="shared" ref="C122:E122" si="727">C121/B120*4</f>
        <v>#DIV/0!</v>
      </c>
      <c r="D122" s="45" t="e">
        <f t="shared" si="727"/>
        <v>#DIV/0!</v>
      </c>
      <c r="E122" s="45" t="e">
        <f t="shared" si="727"/>
        <v>#DIV/0!</v>
      </c>
      <c r="F122" s="22" t="e">
        <f t="shared" ref="F122" si="728">F121/AVERAGE(F120,A120)</f>
        <v>#DIV/0!</v>
      </c>
      <c r="G122" s="45" t="e">
        <f t="shared" ref="G122" si="729">G121/E120*4</f>
        <v>#DIV/0!</v>
      </c>
      <c r="H122" s="45" t="e">
        <f t="shared" ref="H122:J122" si="730">H121/G120*4</f>
        <v>#DIV/0!</v>
      </c>
      <c r="I122" s="45" t="e">
        <f t="shared" si="730"/>
        <v>#DIV/0!</v>
      </c>
      <c r="J122" s="45" t="e">
        <f t="shared" si="730"/>
        <v>#DIV/0!</v>
      </c>
      <c r="K122" s="22" t="e">
        <f t="shared" ref="K122" si="731">K121/AVERAGE(K120,F120)</f>
        <v>#DIV/0!</v>
      </c>
      <c r="L122" s="45" t="e">
        <f t="shared" ref="L122" si="732">L121/J120*4</f>
        <v>#DIV/0!</v>
      </c>
      <c r="M122" s="45" t="e">
        <f t="shared" ref="M122:O122" si="733">M121/L120*4</f>
        <v>#DIV/0!</v>
      </c>
      <c r="N122" s="45" t="e">
        <f t="shared" si="733"/>
        <v>#DIV/0!</v>
      </c>
      <c r="O122" s="45" t="e">
        <f t="shared" si="733"/>
        <v>#DIV/0!</v>
      </c>
      <c r="P122" s="22" t="e">
        <f t="shared" ref="P122" si="734">P121/AVERAGE(P120,K120)</f>
        <v>#DIV/0!</v>
      </c>
      <c r="Q122" s="45" t="e">
        <f t="shared" ref="Q122" si="735">Q121/O120*4</f>
        <v>#DIV/0!</v>
      </c>
      <c r="R122" s="45" t="e">
        <f t="shared" ref="R122:T122" si="736">R121/Q120*4</f>
        <v>#DIV/0!</v>
      </c>
      <c r="S122" s="45" t="e">
        <f t="shared" si="736"/>
        <v>#DIV/0!</v>
      </c>
      <c r="T122" s="45" t="e">
        <f t="shared" si="736"/>
        <v>#DIV/0!</v>
      </c>
      <c r="U122" s="22" t="e">
        <f t="shared" ref="U122" si="737">U121/AVERAGE(U120,P120)</f>
        <v>#DIV/0!</v>
      </c>
      <c r="V122" s="45" t="e">
        <f t="shared" ref="V122" si="738">V121/T120*4</f>
        <v>#DIV/0!</v>
      </c>
      <c r="W122" s="45" t="e">
        <f t="shared" ref="W122:Y122" si="739">W121/V120*4</f>
        <v>#DIV/0!</v>
      </c>
      <c r="X122" s="45" t="e">
        <f t="shared" si="739"/>
        <v>#DIV/0!</v>
      </c>
      <c r="Y122" s="45" t="e">
        <f t="shared" si="739"/>
        <v>#DIV/0!</v>
      </c>
      <c r="Z122" s="22" t="e">
        <f t="shared" ref="Z122" si="740">Z121/AVERAGE(Z120,U120)</f>
        <v>#DIV/0!</v>
      </c>
      <c r="AA122" s="45" t="e">
        <f t="shared" ref="AA122" si="741">AA121/Y120*4</f>
        <v>#DIV/0!</v>
      </c>
      <c r="AB122" s="45" t="e">
        <f t="shared" ref="AB122:AD122" si="742">AB121/AA120*4</f>
        <v>#DIV/0!</v>
      </c>
      <c r="AC122" s="45" t="e">
        <f t="shared" si="742"/>
        <v>#DIV/0!</v>
      </c>
      <c r="AD122" s="45" t="e">
        <f t="shared" si="742"/>
        <v>#DIV/0!</v>
      </c>
      <c r="AE122" s="22" t="e">
        <f t="shared" ref="AE122" si="743">AE121/AVERAGE(AE120,Z120)</f>
        <v>#DIV/0!</v>
      </c>
      <c r="AF122" s="45" t="e">
        <f>AF121/AD120*4</f>
        <v>#DIV/0!</v>
      </c>
      <c r="AG122" s="45" t="e">
        <f>AG121/AF120*4</f>
        <v>#DIV/0!</v>
      </c>
      <c r="AH122" s="45" t="e">
        <f>AH121/AG120*4</f>
        <v>#DIV/0!</v>
      </c>
      <c r="AI122" s="45" t="e">
        <f>AI121/AH120*4</f>
        <v>#DIV/0!</v>
      </c>
      <c r="AJ122" s="22" t="e">
        <f>AJ121/AVERAGE(AJ120,AE120)</f>
        <v>#DIV/0!</v>
      </c>
      <c r="AK122" s="45" t="e">
        <f>AK121/AI120*4</f>
        <v>#DIV/0!</v>
      </c>
      <c r="AL122" s="45">
        <f>AL121/AK120*4</f>
        <v>0</v>
      </c>
      <c r="AM122" s="45">
        <f>AM121/AL120*4</f>
        <v>0</v>
      </c>
      <c r="AN122" s="45">
        <f>AN121/AM120*4</f>
        <v>0</v>
      </c>
      <c r="AO122" s="22">
        <f>AO121/AVERAGE(AO120,AJ120)</f>
        <v>0</v>
      </c>
      <c r="AP122" s="45">
        <f>AP121/AN120*4</f>
        <v>0</v>
      </c>
      <c r="AQ122" s="45">
        <f>AQ121/AP120*4</f>
        <v>0</v>
      </c>
      <c r="AR122" s="45">
        <f>AR121/AQ120*4</f>
        <v>0</v>
      </c>
      <c r="AS122" s="45">
        <f>AS121/AR120*4</f>
        <v>0</v>
      </c>
      <c r="AT122" s="22">
        <f>AT121/AVERAGE(AT120,AO120)</f>
        <v>0</v>
      </c>
      <c r="AU122" s="45">
        <f>AU121/AS120*4</f>
        <v>1.0699754725147885</v>
      </c>
      <c r="AV122" s="45">
        <f>AV121/AU120*4</f>
        <v>9.3901639344262294E-2</v>
      </c>
      <c r="AW122" s="45">
        <f>AW121/AV120*4</f>
        <v>0.16801768607221812</v>
      </c>
      <c r="AX122" s="45">
        <f>AX121/AW120*4</f>
        <v>-0.53990064475214039</v>
      </c>
      <c r="AY122" s="22">
        <f>AY121/AVERAGE(AY120,AT120)</f>
        <v>0.12177121771217712</v>
      </c>
      <c r="AZ122" s="45">
        <f>AZ121/AX120*4</f>
        <v>0.97184151507600303</v>
      </c>
      <c r="BA122" s="45">
        <f>BA121/AZ120*4</f>
        <v>0.10004073319755601</v>
      </c>
      <c r="BB122" s="45">
        <f>BB121/BA120*4</f>
        <v>0.11343329966591563</v>
      </c>
      <c r="BC122" s="45">
        <f>BC121/BB120*4</f>
        <v>-0.59923551896501026</v>
      </c>
      <c r="BD122" s="22">
        <f>BD121/AVERAGE(BD120,AY120)</f>
        <v>0.11674404672757226</v>
      </c>
      <c r="BE122" s="45">
        <f>BE121/BC120*4</f>
        <v>9.134910355170768E-2</v>
      </c>
      <c r="BF122" s="45">
        <f>BF121/BE120*4</f>
        <v>7.0258769976745336E-2</v>
      </c>
      <c r="BG122" s="45">
        <f>BG121/BF120*4</f>
        <v>6.1945776231490515E-2</v>
      </c>
      <c r="BH122" s="45">
        <f>BH121/BG120*4</f>
        <v>5.9892880878845929E-2</v>
      </c>
      <c r="BI122" s="22">
        <f>BI121/AVERAGE(BI120,BD120)</f>
        <v>7.1128258396399066E-2</v>
      </c>
      <c r="BJ122" s="45">
        <f>BJ121/BH120*4</f>
        <v>7.0483213661944502E-2</v>
      </c>
      <c r="BK122" s="45">
        <f>BK121/BJ120*4</f>
        <v>7.5462392108508011E-2</v>
      </c>
      <c r="BL122" s="45">
        <f>BL121/BK120*4</f>
        <v>7.3925985161490959E-2</v>
      </c>
      <c r="BM122" s="45">
        <f>BM121/BL120*4</f>
        <v>9.422150159888304E-2</v>
      </c>
      <c r="BN122" s="22">
        <f>BN121/AVERAGE(BN120,BI120)</f>
        <v>7.6063742401839982E-2</v>
      </c>
      <c r="BO122" s="45">
        <f>BO121/BM120*4</f>
        <v>0.13536260956783394</v>
      </c>
      <c r="BP122" s="45">
        <f>BP121/BO120*4</f>
        <v>9.2730137294620749E-2</v>
      </c>
      <c r="BQ122" s="45">
        <f>BQ121/BP120*4</f>
        <v>8.3621181629772029E-2</v>
      </c>
      <c r="BR122" s="45">
        <f>BR121/BQ120*4</f>
        <v>9.3996033415469679E-2</v>
      </c>
      <c r="BS122" s="22">
        <f>BS121/AVERAGE(BS120,BN120)</f>
        <v>0.10342969388287239</v>
      </c>
      <c r="BT122" s="45">
        <f>BT121/BR120*4</f>
        <v>6.1163140247427451E-2</v>
      </c>
      <c r="BU122" s="45">
        <f>BU121/BT120*4</f>
        <v>7.9012345679012344E-2</v>
      </c>
      <c r="BV122" s="45">
        <f>BV121/BU120*4</f>
        <v>7.8034604310739178E-2</v>
      </c>
      <c r="BW122" s="45">
        <f>BW121/BV120*4</f>
        <v>6.9436768326382958E-2</v>
      </c>
      <c r="BX122" s="22">
        <f>BX121/AVERAGE(BX120,BS120)</f>
        <v>7.0160242529233433E-2</v>
      </c>
      <c r="BY122" s="45">
        <f>BY121/BW120*4</f>
        <v>1.9614913103050406E-2</v>
      </c>
      <c r="BZ122" s="45">
        <f>BZ121/BY120*4</f>
        <v>2.1583420876707095E-2</v>
      </c>
      <c r="CA122" s="45">
        <f>CA121/BZ120*4</f>
        <v>2.1689073757706307E-2</v>
      </c>
      <c r="CB122" s="45">
        <f>CB121/CA120*4</f>
        <v>2.1326487794041418E-2</v>
      </c>
      <c r="CC122" s="22">
        <f>CC121/AVERAGE(CC120,BX120)</f>
        <v>2.0892710497077437E-2</v>
      </c>
      <c r="CD122" s="45">
        <f>CD121/CB120*4</f>
        <v>2.0581025653471835E-2</v>
      </c>
      <c r="CE122" s="45">
        <f>CE121/CD120*4</f>
        <v>1.7078903672395576E-2</v>
      </c>
      <c r="CF122" s="45">
        <f>CE122</f>
        <v>1.7078903672395576E-2</v>
      </c>
      <c r="CG122" s="45">
        <f>CF122</f>
        <v>1.7078903672395576E-2</v>
      </c>
      <c r="CH122" s="22">
        <f>CH121/AVERAGE(CH120,CC120)</f>
        <v>1.8331636822710714E-2</v>
      </c>
      <c r="CI122" s="45">
        <f>CG122</f>
        <v>1.7078903672395576E-2</v>
      </c>
      <c r="CJ122" s="45">
        <f>CI122</f>
        <v>1.7078903672395576E-2</v>
      </c>
      <c r="CK122" s="45">
        <f>CJ122</f>
        <v>1.7078903672395576E-2</v>
      </c>
      <c r="CL122" s="45">
        <f>CK122</f>
        <v>1.7078903672395576E-2</v>
      </c>
      <c r="CM122" s="22">
        <f>CM121/AVERAGE(CM120,CH120)</f>
        <v>1.7075254449259229E-2</v>
      </c>
      <c r="CN122" s="45">
        <f>CL122</f>
        <v>1.7078903672395576E-2</v>
      </c>
      <c r="CO122" s="45">
        <f>CN122</f>
        <v>1.7078903672395576E-2</v>
      </c>
      <c r="CP122" s="45">
        <f>CO122</f>
        <v>1.7078903672395576E-2</v>
      </c>
      <c r="CQ122" s="45">
        <f>CP122</f>
        <v>1.7078903672395576E-2</v>
      </c>
      <c r="CR122" s="22">
        <f>CR121/AVERAGE(CR120,CM120)</f>
        <v>1.7075254449259229E-2</v>
      </c>
      <c r="CS122" s="45">
        <f>CQ122</f>
        <v>1.7078903672395576E-2</v>
      </c>
      <c r="CT122" s="45">
        <f>CS122</f>
        <v>1.7078903672395576E-2</v>
      </c>
      <c r="CU122" s="45">
        <f>CT122</f>
        <v>1.7078903672395576E-2</v>
      </c>
      <c r="CV122" s="45">
        <f>CU122</f>
        <v>1.7078903672395576E-2</v>
      </c>
      <c r="CW122" s="22">
        <f>CW121/AVERAGE(CW120,CR120)</f>
        <v>1.7075254449259229E-2</v>
      </c>
      <c r="CX122" s="45">
        <f>CV122</f>
        <v>1.7078903672395576E-2</v>
      </c>
      <c r="CY122" s="45">
        <f>CX122</f>
        <v>1.7078903672395576E-2</v>
      </c>
      <c r="CZ122" s="45">
        <f>CY122</f>
        <v>1.7078903672395576E-2</v>
      </c>
      <c r="DA122" s="45">
        <f>CZ122</f>
        <v>1.7078903672395576E-2</v>
      </c>
      <c r="DB122" s="22">
        <f>DB121/AVERAGE(DB120,CW120)</f>
        <v>1.7075254449259232E-2</v>
      </c>
    </row>
    <row r="123" spans="1:106" s="56" customFormat="1" ht="11.5" customHeight="1" x14ac:dyDescent="0.35">
      <c r="A123" s="16" t="s">
        <v>22</v>
      </c>
      <c r="B123" s="46" t="e">
        <f>B23-#REF!+B121</f>
        <v>#REF!</v>
      </c>
      <c r="C123" s="46">
        <f t="shared" ref="C123:E123" si="744">C23-B23+C121</f>
        <v>0</v>
      </c>
      <c r="D123" s="46">
        <f t="shared" si="744"/>
        <v>0</v>
      </c>
      <c r="E123" s="46">
        <f t="shared" si="744"/>
        <v>0</v>
      </c>
      <c r="F123" s="54" t="e">
        <f t="shared" ref="F123" si="745">SUM(B123:E123)</f>
        <v>#REF!</v>
      </c>
      <c r="G123" s="46">
        <f t="shared" ref="G123" si="746">G23-E23+G121</f>
        <v>0</v>
      </c>
      <c r="H123" s="46">
        <f t="shared" ref="H123:J123" si="747">H23-G23+H121</f>
        <v>0</v>
      </c>
      <c r="I123" s="46">
        <f t="shared" si="747"/>
        <v>0</v>
      </c>
      <c r="J123" s="46">
        <f t="shared" si="747"/>
        <v>0</v>
      </c>
      <c r="K123" s="54">
        <f t="shared" ref="K123" si="748">SUM(G123:J123)</f>
        <v>0</v>
      </c>
      <c r="L123" s="46">
        <f t="shared" ref="L123" si="749">L23-J23+L121</f>
        <v>0</v>
      </c>
      <c r="M123" s="46">
        <f t="shared" ref="M123:O123" si="750">M23-L23+M121</f>
        <v>0</v>
      </c>
      <c r="N123" s="46">
        <f t="shared" si="750"/>
        <v>0</v>
      </c>
      <c r="O123" s="46">
        <f t="shared" si="750"/>
        <v>0</v>
      </c>
      <c r="P123" s="54">
        <f t="shared" ref="P123" si="751">SUM(L123:O123)</f>
        <v>0</v>
      </c>
      <c r="Q123" s="46">
        <f t="shared" ref="Q123" si="752">Q23-O23+Q121</f>
        <v>0</v>
      </c>
      <c r="R123" s="46">
        <f t="shared" ref="R123:T123" si="753">R23-Q23+R121</f>
        <v>0</v>
      </c>
      <c r="S123" s="46">
        <f t="shared" si="753"/>
        <v>0</v>
      </c>
      <c r="T123" s="46">
        <f t="shared" si="753"/>
        <v>0</v>
      </c>
      <c r="U123" s="54">
        <f t="shared" ref="U123" si="754">SUM(Q123:T123)</f>
        <v>0</v>
      </c>
      <c r="V123" s="46">
        <f t="shared" ref="V123" si="755">V23-T23+V121</f>
        <v>0</v>
      </c>
      <c r="W123" s="46">
        <f t="shared" ref="W123:Y123" si="756">W23-V23+W121</f>
        <v>0</v>
      </c>
      <c r="X123" s="46">
        <f t="shared" si="756"/>
        <v>0</v>
      </c>
      <c r="Y123" s="46">
        <f t="shared" si="756"/>
        <v>0</v>
      </c>
      <c r="Z123" s="54">
        <f t="shared" ref="Z123" si="757">SUM(V123:Y123)</f>
        <v>0</v>
      </c>
      <c r="AA123" s="46">
        <f t="shared" ref="AA123" si="758">AA23-Y23+AA121</f>
        <v>0</v>
      </c>
      <c r="AB123" s="46">
        <f t="shared" ref="AB123:AD123" si="759">AB23-AA23+AB121</f>
        <v>0</v>
      </c>
      <c r="AC123" s="46">
        <f t="shared" si="759"/>
        <v>0</v>
      </c>
      <c r="AD123" s="46">
        <f t="shared" si="759"/>
        <v>0</v>
      </c>
      <c r="AE123" s="54">
        <f t="shared" ref="AE123" si="760">SUM(AA123:AD123)</f>
        <v>0</v>
      </c>
      <c r="AF123" s="46">
        <f>AF23-AD23+AF121</f>
        <v>0</v>
      </c>
      <c r="AG123" s="46">
        <f>AG23-AF23+AG121</f>
        <v>0</v>
      </c>
      <c r="AH123" s="46">
        <f>AH23-AG23+AH121</f>
        <v>0</v>
      </c>
      <c r="AI123" s="46">
        <f>AI23-AH23+AI121</f>
        <v>0</v>
      </c>
      <c r="AJ123" s="54">
        <f>SUM(AF123:AI123)</f>
        <v>0</v>
      </c>
      <c r="AK123" s="46">
        <f>AK23-AI23+AK121</f>
        <v>8992</v>
      </c>
      <c r="AL123" s="46">
        <f>AL23-AK23+AL121</f>
        <v>-462</v>
      </c>
      <c r="AM123" s="46">
        <f>AM23-AL23+AM121</f>
        <v>-869</v>
      </c>
      <c r="AN123" s="46">
        <f>AN23-AM23+AN121</f>
        <v>195</v>
      </c>
      <c r="AO123" s="54">
        <f>SUM(AK123:AN123)</f>
        <v>7856</v>
      </c>
      <c r="AP123" s="46">
        <f>AP23-AN23+AP121</f>
        <v>-615</v>
      </c>
      <c r="AQ123" s="46">
        <f>AQ23-AP23+AQ121</f>
        <v>-426</v>
      </c>
      <c r="AR123" s="46">
        <f>AR23-AQ23+AR121</f>
        <v>949</v>
      </c>
      <c r="AS123" s="46">
        <f>AS23-AR23+AS121</f>
        <v>-862</v>
      </c>
      <c r="AT123" s="54">
        <f>SUM(AP123:AS123)</f>
        <v>-954</v>
      </c>
      <c r="AU123" s="46">
        <f>AU23-AS23+AU121</f>
        <v>2577</v>
      </c>
      <c r="AV123" s="46">
        <f>AV23-AU23+AV121</f>
        <v>2053</v>
      </c>
      <c r="AW123" s="46">
        <f>AW23-AV23+AW121</f>
        <v>361</v>
      </c>
      <c r="AX123" s="46">
        <f>AX23-AW23+AX121</f>
        <v>1301</v>
      </c>
      <c r="AY123" s="54">
        <f>SUM(AU123:AX123)</f>
        <v>6292</v>
      </c>
      <c r="AZ123" s="46">
        <f>AZ23-AX23+AZ121</f>
        <v>3161</v>
      </c>
      <c r="BA123" s="46">
        <f>BA23-AZ23+BA121</f>
        <v>903</v>
      </c>
      <c r="BB123" s="46">
        <f>BB23-BA23+BB121</f>
        <v>1098</v>
      </c>
      <c r="BC123" s="46">
        <f>BC23-BB23+BC121</f>
        <v>-973</v>
      </c>
      <c r="BD123" s="54">
        <f>SUM(AZ123:BC123)</f>
        <v>4189</v>
      </c>
      <c r="BE123" s="46">
        <f>BE23-BC23+BE121</f>
        <v>5877</v>
      </c>
      <c r="BF123" s="46">
        <f>BF23-BE23+BF121</f>
        <v>3713</v>
      </c>
      <c r="BG123" s="46">
        <f>BG23-BF23+BG121</f>
        <v>2375</v>
      </c>
      <c r="BH123" s="46">
        <f>BH23-BG23+BH121</f>
        <v>569</v>
      </c>
      <c r="BI123" s="54">
        <f>SUM(BE123:BH123)</f>
        <v>12534</v>
      </c>
      <c r="BJ123" s="46">
        <f>BJ23-BH23+BJ121</f>
        <v>-981</v>
      </c>
      <c r="BK123" s="46">
        <f>BK23-BJ23+BK121</f>
        <v>-1362</v>
      </c>
      <c r="BL123" s="46">
        <f>BL23-BK23+BL121</f>
        <v>110</v>
      </c>
      <c r="BM123" s="46">
        <f>BM23-BL23+BM121</f>
        <v>1251</v>
      </c>
      <c r="BN123" s="54">
        <f>SUM(BJ123:BM123)</f>
        <v>-982</v>
      </c>
      <c r="BO123" s="46">
        <f>BO23-BM23+BO121</f>
        <v>8946</v>
      </c>
      <c r="BP123" s="46">
        <f>BP23-BO23+BP121</f>
        <v>2913</v>
      </c>
      <c r="BQ123" s="46">
        <f>BQ23-BP23+BQ121</f>
        <v>681</v>
      </c>
      <c r="BR123" s="46">
        <f>BR23-BQ23+BR121</f>
        <v>2100</v>
      </c>
      <c r="BS123" s="54">
        <f>SUM(BO123:BR123)</f>
        <v>14640</v>
      </c>
      <c r="BT123" s="46">
        <f>BT23-BR23+BT121</f>
        <v>2788</v>
      </c>
      <c r="BU123" s="46">
        <f>BU23-BT23+BU121</f>
        <v>1036</v>
      </c>
      <c r="BV123" s="46">
        <f>BV23-BU23+BV121</f>
        <v>3368</v>
      </c>
      <c r="BW123" s="46">
        <f>BW23-BV23+BW121</f>
        <v>2486</v>
      </c>
      <c r="BX123" s="54">
        <f>SUM(BT123:BW123)</f>
        <v>9678</v>
      </c>
      <c r="BY123" s="46">
        <f>BY23-BW23+BY121</f>
        <v>487</v>
      </c>
      <c r="BZ123" s="46">
        <f>BZ23-BY23+BZ121</f>
        <v>-1269</v>
      </c>
      <c r="CA123" s="46">
        <f>CA23-BZ23+CA121</f>
        <v>343</v>
      </c>
      <c r="CB123" s="46">
        <f>CB23-CA23+CB121</f>
        <v>906</v>
      </c>
      <c r="CC123" s="54">
        <f>SUM(BY123:CB123)</f>
        <v>467</v>
      </c>
      <c r="CD123" s="46">
        <f>CD23-CB23+CD121</f>
        <v>5382</v>
      </c>
      <c r="CE123" s="46">
        <f>CE23-CD23+CE121</f>
        <v>4967</v>
      </c>
      <c r="CF123" s="46">
        <f>CF121*1.1</f>
        <v>240.198555193755</v>
      </c>
      <c r="CG123" s="46">
        <f>CG121*1.1</f>
        <v>240.30111339341511</v>
      </c>
      <c r="CH123" s="54">
        <f>SUM(CD123:CG123)</f>
        <v>10829.49966858717</v>
      </c>
      <c r="CI123" s="46">
        <f>CI121*1.1</f>
        <v>240.40371538261547</v>
      </c>
      <c r="CJ123" s="46">
        <f>CJ121*1.1</f>
        <v>240.50636118005312</v>
      </c>
      <c r="CK123" s="46">
        <f>CK121*1.1</f>
        <v>240.60905080443288</v>
      </c>
      <c r="CL123" s="46">
        <f>CL121*1.1</f>
        <v>240.71178427446779</v>
      </c>
      <c r="CM123" s="54">
        <f>SUM(CI123:CL123)</f>
        <v>962.23091164156926</v>
      </c>
      <c r="CN123" s="46">
        <f>CN121*1.1</f>
        <v>240.81456160887868</v>
      </c>
      <c r="CO123" s="46">
        <f>CO121*1.1</f>
        <v>240.91738282639437</v>
      </c>
      <c r="CP123" s="46">
        <f>CP121*1.1</f>
        <v>241.02024794575183</v>
      </c>
      <c r="CQ123" s="46">
        <f>CQ121*1.1</f>
        <v>241.12315698569589</v>
      </c>
      <c r="CR123" s="54">
        <f>SUM(CN123:CQ123)</f>
        <v>963.8753493667208</v>
      </c>
      <c r="CS123" s="46">
        <f>CS121*1.1</f>
        <v>241.22610996497943</v>
      </c>
      <c r="CT123" s="46">
        <f>CT121*1.1</f>
        <v>241.32910690236335</v>
      </c>
      <c r="CU123" s="46">
        <f>CU121*1.1</f>
        <v>241.43214781661663</v>
      </c>
      <c r="CV123" s="46">
        <f>CV121*1.1</f>
        <v>241.53523272651611</v>
      </c>
      <c r="CW123" s="54">
        <f>SUM(CS123:CV123)</f>
        <v>965.52259741047556</v>
      </c>
      <c r="CX123" s="46">
        <f>CX121*1.1</f>
        <v>241.63836165084675</v>
      </c>
      <c r="CY123" s="46">
        <f>CY121*1.1</f>
        <v>241.74153460840151</v>
      </c>
      <c r="CZ123" s="46">
        <f>CZ121*1.1</f>
        <v>241.84475161798136</v>
      </c>
      <c r="DA123" s="46">
        <f>DA121*1.1</f>
        <v>241.94801269839527</v>
      </c>
      <c r="DB123" s="54">
        <f>SUM(CX123:DA123)</f>
        <v>967.17266057562483</v>
      </c>
    </row>
    <row r="124" spans="1:106" ht="11.5" customHeight="1" x14ac:dyDescent="0.35">
      <c r="A124" s="16" t="s">
        <v>161</v>
      </c>
      <c r="B124" s="46">
        <f t="shared" ref="B124:AE124" si="761">B18</f>
        <v>0</v>
      </c>
      <c r="C124" s="46">
        <f t="shared" si="761"/>
        <v>0</v>
      </c>
      <c r="D124" s="46">
        <f t="shared" si="761"/>
        <v>0</v>
      </c>
      <c r="E124" s="46">
        <f t="shared" si="761"/>
        <v>0</v>
      </c>
      <c r="F124" s="54">
        <f t="shared" si="761"/>
        <v>0</v>
      </c>
      <c r="G124" s="46">
        <f t="shared" si="761"/>
        <v>0</v>
      </c>
      <c r="H124" s="46">
        <f t="shared" si="761"/>
        <v>0</v>
      </c>
      <c r="I124" s="46">
        <f t="shared" si="761"/>
        <v>0</v>
      </c>
      <c r="J124" s="46">
        <f t="shared" si="761"/>
        <v>0</v>
      </c>
      <c r="K124" s="54">
        <f t="shared" si="761"/>
        <v>0</v>
      </c>
      <c r="L124" s="46">
        <f t="shared" si="761"/>
        <v>0</v>
      </c>
      <c r="M124" s="46">
        <f t="shared" si="761"/>
        <v>0</v>
      </c>
      <c r="N124" s="46">
        <f t="shared" si="761"/>
        <v>0</v>
      </c>
      <c r="O124" s="46">
        <f t="shared" si="761"/>
        <v>0</v>
      </c>
      <c r="P124" s="54">
        <f t="shared" si="761"/>
        <v>0</v>
      </c>
      <c r="Q124" s="46">
        <f t="shared" si="761"/>
        <v>0</v>
      </c>
      <c r="R124" s="46">
        <f t="shared" si="761"/>
        <v>0</v>
      </c>
      <c r="S124" s="46">
        <f t="shared" si="761"/>
        <v>0</v>
      </c>
      <c r="T124" s="46">
        <f t="shared" si="761"/>
        <v>0</v>
      </c>
      <c r="U124" s="54">
        <f t="shared" si="761"/>
        <v>0</v>
      </c>
      <c r="V124" s="46">
        <f t="shared" si="761"/>
        <v>0</v>
      </c>
      <c r="W124" s="46">
        <f t="shared" si="761"/>
        <v>0</v>
      </c>
      <c r="X124" s="46">
        <f t="shared" si="761"/>
        <v>0</v>
      </c>
      <c r="Y124" s="46">
        <f t="shared" si="761"/>
        <v>0</v>
      </c>
      <c r="Z124" s="54">
        <f t="shared" si="761"/>
        <v>0</v>
      </c>
      <c r="AA124" s="46">
        <f t="shared" si="761"/>
        <v>0</v>
      </c>
      <c r="AB124" s="46">
        <f t="shared" si="761"/>
        <v>0</v>
      </c>
      <c r="AC124" s="46">
        <f t="shared" si="761"/>
        <v>0</v>
      </c>
      <c r="AD124" s="46">
        <f t="shared" si="761"/>
        <v>0</v>
      </c>
      <c r="AE124" s="54">
        <f t="shared" si="761"/>
        <v>0</v>
      </c>
      <c r="AF124" s="46">
        <f t="shared" ref="AF124:AG124" si="762">AF18</f>
        <v>0</v>
      </c>
      <c r="AG124" s="46">
        <f t="shared" si="762"/>
        <v>0</v>
      </c>
      <c r="AH124" s="46">
        <f t="shared" ref="AH124:BM124" si="763">AH18</f>
        <v>0</v>
      </c>
      <c r="AI124" s="46">
        <f t="shared" si="763"/>
        <v>0</v>
      </c>
      <c r="AJ124" s="54">
        <f t="shared" si="763"/>
        <v>0</v>
      </c>
      <c r="AK124" s="46">
        <f t="shared" si="763"/>
        <v>0</v>
      </c>
      <c r="AL124" s="46">
        <f t="shared" si="763"/>
        <v>0</v>
      </c>
      <c r="AM124" s="46">
        <f t="shared" si="763"/>
        <v>0</v>
      </c>
      <c r="AN124" s="46">
        <f t="shared" si="763"/>
        <v>0</v>
      </c>
      <c r="AO124" s="54">
        <f t="shared" si="763"/>
        <v>0</v>
      </c>
      <c r="AP124" s="46">
        <f t="shared" si="763"/>
        <v>0</v>
      </c>
      <c r="AQ124" s="46">
        <f t="shared" si="763"/>
        <v>0</v>
      </c>
      <c r="AR124" s="46">
        <f t="shared" si="763"/>
        <v>0</v>
      </c>
      <c r="AS124" s="46">
        <f t="shared" si="763"/>
        <v>0</v>
      </c>
      <c r="AT124" s="54">
        <f t="shared" si="763"/>
        <v>0</v>
      </c>
      <c r="AU124" s="46">
        <f t="shared" si="763"/>
        <v>0</v>
      </c>
      <c r="AV124" s="46">
        <f t="shared" si="763"/>
        <v>0</v>
      </c>
      <c r="AW124" s="46">
        <f t="shared" si="763"/>
        <v>0</v>
      </c>
      <c r="AX124" s="46">
        <f t="shared" si="763"/>
        <v>28509</v>
      </c>
      <c r="AY124" s="54">
        <f t="shared" si="763"/>
        <v>28509</v>
      </c>
      <c r="AZ124" s="46">
        <f t="shared" si="763"/>
        <v>29049</v>
      </c>
      <c r="BA124" s="46">
        <f t="shared" si="763"/>
        <v>31857</v>
      </c>
      <c r="BB124" s="46">
        <f t="shared" si="763"/>
        <v>34742</v>
      </c>
      <c r="BC124" s="46">
        <f t="shared" si="763"/>
        <v>35795</v>
      </c>
      <c r="BD124" s="54">
        <f t="shared" si="763"/>
        <v>35795</v>
      </c>
      <c r="BE124" s="46">
        <f t="shared" si="763"/>
        <v>35108</v>
      </c>
      <c r="BF124" s="46">
        <f t="shared" si="763"/>
        <v>35750</v>
      </c>
      <c r="BG124" s="46">
        <f t="shared" si="763"/>
        <v>35795</v>
      </c>
      <c r="BH124" s="46">
        <f t="shared" si="763"/>
        <v>30956</v>
      </c>
      <c r="BI124" s="54">
        <f t="shared" si="763"/>
        <v>30956</v>
      </c>
      <c r="BJ124" s="46">
        <f t="shared" si="763"/>
        <v>31947</v>
      </c>
      <c r="BK124" s="46">
        <f t="shared" si="763"/>
        <v>33536</v>
      </c>
      <c r="BL124" s="46">
        <f t="shared" si="763"/>
        <v>34097</v>
      </c>
      <c r="BM124" s="46">
        <f t="shared" si="763"/>
        <v>32029</v>
      </c>
      <c r="BN124" s="54">
        <f t="shared" ref="BN124:BY124" si="764">BN18</f>
        <v>32029</v>
      </c>
      <c r="BO124" s="46">
        <f t="shared" si="764"/>
        <v>33030</v>
      </c>
      <c r="BP124" s="46">
        <f t="shared" si="764"/>
        <v>34160</v>
      </c>
      <c r="BQ124" s="46">
        <f t="shared" si="764"/>
        <v>32888</v>
      </c>
      <c r="BR124" s="46">
        <f t="shared" si="764"/>
        <v>30236</v>
      </c>
      <c r="BS124" s="54">
        <f t="shared" si="764"/>
        <v>30236</v>
      </c>
      <c r="BT124" s="46">
        <f t="shared" si="764"/>
        <v>31224</v>
      </c>
      <c r="BU124" s="46">
        <f t="shared" si="764"/>
        <v>28707</v>
      </c>
      <c r="BV124" s="46">
        <f t="shared" si="764"/>
        <v>29068</v>
      </c>
      <c r="BW124" s="46">
        <f t="shared" si="764"/>
        <v>26391</v>
      </c>
      <c r="BX124" s="54">
        <f t="shared" si="764"/>
        <v>26391</v>
      </c>
      <c r="BY124" s="46">
        <f t="shared" si="764"/>
        <v>27551</v>
      </c>
      <c r="BZ124" s="46">
        <f t="shared" ref="BZ124:CB124" si="765">BZ18</f>
        <v>27551</v>
      </c>
      <c r="CA124" s="46">
        <f t="shared" si="765"/>
        <v>31161</v>
      </c>
      <c r="CB124" s="46">
        <f t="shared" si="765"/>
        <v>26986</v>
      </c>
      <c r="CC124" s="54">
        <f>CC18</f>
        <v>26986</v>
      </c>
      <c r="CD124" s="46">
        <f t="shared" ref="CD124:CE124" si="766">CD18</f>
        <v>27551</v>
      </c>
      <c r="CE124" s="46">
        <f t="shared" si="766"/>
        <v>34432</v>
      </c>
      <c r="CF124" s="46">
        <f>CF125*CF115</f>
        <v>36256.975812751531</v>
      </c>
      <c r="CG124" s="46">
        <f>CG125*CG115</f>
        <v>38709.596605833278</v>
      </c>
      <c r="CH124" s="54">
        <f>CH18</f>
        <v>38709.596605833278</v>
      </c>
      <c r="CI124" s="46">
        <f>CI125*CI115</f>
        <v>31424.050094591061</v>
      </c>
      <c r="CJ124" s="46">
        <f>CJ125*CJ115</f>
        <v>33879.750739418894</v>
      </c>
      <c r="CK124" s="46">
        <f>CK125*CK115</f>
        <v>34599.007432693375</v>
      </c>
      <c r="CL124" s="46">
        <f>CL125*CL115</f>
        <v>35312.494088461055</v>
      </c>
      <c r="CM124" s="54">
        <f>CM18</f>
        <v>35312.494088461055</v>
      </c>
      <c r="CN124" s="46">
        <f>CN125*CN115</f>
        <v>35731.126391877719</v>
      </c>
      <c r="CO124" s="46">
        <f>CO125*CO115</f>
        <v>36085.873794187763</v>
      </c>
      <c r="CP124" s="46">
        <f>CP125*CP115</f>
        <v>36391.513028635789</v>
      </c>
      <c r="CQ124" s="46">
        <f>CQ125*CQ115</f>
        <v>36718.961988424504</v>
      </c>
      <c r="CR124" s="54">
        <f>CR18</f>
        <v>36718.961988424504</v>
      </c>
      <c r="CS124" s="46">
        <f>CS125*CS115</f>
        <v>37394.44101501767</v>
      </c>
      <c r="CT124" s="46">
        <f>CT125*CT115</f>
        <v>37970.866870529491</v>
      </c>
      <c r="CU124" s="46">
        <f>CU125*CU115</f>
        <v>38435.102298025166</v>
      </c>
      <c r="CV124" s="46">
        <f>CV125*CV115</f>
        <v>38839.184709169836</v>
      </c>
      <c r="CW124" s="54">
        <f>CW18</f>
        <v>38839.184709169836</v>
      </c>
      <c r="CX124" s="46">
        <f>CX125*CX115</f>
        <v>39296.117665480211</v>
      </c>
      <c r="CY124" s="46">
        <f>CY125*CY115</f>
        <v>39739.837356522599</v>
      </c>
      <c r="CZ124" s="46">
        <f>CZ125*CZ115</f>
        <v>40123.838438471219</v>
      </c>
      <c r="DA124" s="46">
        <f>DA125*DA115</f>
        <v>40481.38712201301</v>
      </c>
      <c r="DB124" s="54">
        <f>DB18</f>
        <v>40481.38712201301</v>
      </c>
    </row>
    <row r="125" spans="1:106" ht="11.5" customHeight="1" x14ac:dyDescent="0.35">
      <c r="A125" s="149" t="s">
        <v>246</v>
      </c>
      <c r="B125" s="21" t="e">
        <f t="shared" ref="B125:AE125" si="767">B124/B115</f>
        <v>#REF!</v>
      </c>
      <c r="C125" s="21" t="e">
        <f t="shared" si="767"/>
        <v>#REF!</v>
      </c>
      <c r="D125" s="21" t="e">
        <f t="shared" si="767"/>
        <v>#REF!</v>
      </c>
      <c r="E125" s="21" t="e">
        <f t="shared" si="767"/>
        <v>#DIV/0!</v>
      </c>
      <c r="F125" s="22" t="e">
        <f t="shared" si="767"/>
        <v>#DIV/0!</v>
      </c>
      <c r="G125" s="21" t="e">
        <f t="shared" si="767"/>
        <v>#DIV/0!</v>
      </c>
      <c r="H125" s="21" t="e">
        <f t="shared" si="767"/>
        <v>#DIV/0!</v>
      </c>
      <c r="I125" s="21" t="e">
        <f t="shared" si="767"/>
        <v>#DIV/0!</v>
      </c>
      <c r="J125" s="21" t="e">
        <f t="shared" si="767"/>
        <v>#DIV/0!</v>
      </c>
      <c r="K125" s="22" t="e">
        <f t="shared" si="767"/>
        <v>#DIV/0!</v>
      </c>
      <c r="L125" s="21" t="e">
        <f t="shared" si="767"/>
        <v>#DIV/0!</v>
      </c>
      <c r="M125" s="21" t="e">
        <f t="shared" si="767"/>
        <v>#DIV/0!</v>
      </c>
      <c r="N125" s="21" t="e">
        <f t="shared" si="767"/>
        <v>#DIV/0!</v>
      </c>
      <c r="O125" s="21" t="e">
        <f t="shared" si="767"/>
        <v>#DIV/0!</v>
      </c>
      <c r="P125" s="22" t="e">
        <f t="shared" si="767"/>
        <v>#DIV/0!</v>
      </c>
      <c r="Q125" s="21" t="e">
        <f t="shared" si="767"/>
        <v>#DIV/0!</v>
      </c>
      <c r="R125" s="21" t="e">
        <f t="shared" si="767"/>
        <v>#DIV/0!</v>
      </c>
      <c r="S125" s="21" t="e">
        <f t="shared" si="767"/>
        <v>#DIV/0!</v>
      </c>
      <c r="T125" s="21" t="e">
        <f t="shared" si="767"/>
        <v>#DIV/0!</v>
      </c>
      <c r="U125" s="22" t="e">
        <f t="shared" si="767"/>
        <v>#DIV/0!</v>
      </c>
      <c r="V125" s="21" t="e">
        <f t="shared" si="767"/>
        <v>#DIV/0!</v>
      </c>
      <c r="W125" s="21" t="e">
        <f t="shared" si="767"/>
        <v>#DIV/0!</v>
      </c>
      <c r="X125" s="21" t="e">
        <f t="shared" si="767"/>
        <v>#DIV/0!</v>
      </c>
      <c r="Y125" s="21" t="e">
        <f t="shared" si="767"/>
        <v>#DIV/0!</v>
      </c>
      <c r="Z125" s="22" t="e">
        <f t="shared" si="767"/>
        <v>#DIV/0!</v>
      </c>
      <c r="AA125" s="21" t="e">
        <f t="shared" si="767"/>
        <v>#DIV/0!</v>
      </c>
      <c r="AB125" s="21" t="e">
        <f t="shared" si="767"/>
        <v>#DIV/0!</v>
      </c>
      <c r="AC125" s="21" t="e">
        <f t="shared" si="767"/>
        <v>#DIV/0!</v>
      </c>
      <c r="AD125" s="21" t="e">
        <f t="shared" si="767"/>
        <v>#DIV/0!</v>
      </c>
      <c r="AE125" s="22" t="e">
        <f t="shared" si="767"/>
        <v>#DIV/0!</v>
      </c>
      <c r="AF125" s="21" t="e">
        <f t="shared" ref="AF125:AG125" si="768">AF124/AF115</f>
        <v>#DIV/0!</v>
      </c>
      <c r="AG125" s="21" t="e">
        <f t="shared" si="768"/>
        <v>#DIV/0!</v>
      </c>
      <c r="AH125" s="21" t="e">
        <f t="shared" ref="AH125:BM125" si="769">AH124/AH115</f>
        <v>#DIV/0!</v>
      </c>
      <c r="AI125" s="21" t="e">
        <f t="shared" si="769"/>
        <v>#DIV/0!</v>
      </c>
      <c r="AJ125" s="22" t="e">
        <f t="shared" si="769"/>
        <v>#DIV/0!</v>
      </c>
      <c r="AK125" s="21">
        <f t="shared" si="769"/>
        <v>0</v>
      </c>
      <c r="AL125" s="21">
        <f t="shared" si="769"/>
        <v>0</v>
      </c>
      <c r="AM125" s="21">
        <f t="shared" si="769"/>
        <v>0</v>
      </c>
      <c r="AN125" s="21">
        <f t="shared" si="769"/>
        <v>0</v>
      </c>
      <c r="AO125" s="22">
        <f t="shared" si="769"/>
        <v>0</v>
      </c>
      <c r="AP125" s="21">
        <f t="shared" si="769"/>
        <v>0</v>
      </c>
      <c r="AQ125" s="21">
        <f t="shared" si="769"/>
        <v>0</v>
      </c>
      <c r="AR125" s="21">
        <f t="shared" si="769"/>
        <v>0</v>
      </c>
      <c r="AS125" s="21">
        <f t="shared" si="769"/>
        <v>0</v>
      </c>
      <c r="AT125" s="22">
        <f t="shared" si="769"/>
        <v>0</v>
      </c>
      <c r="AU125" s="21">
        <f t="shared" si="769"/>
        <v>0</v>
      </c>
      <c r="AV125" s="21">
        <f t="shared" si="769"/>
        <v>0</v>
      </c>
      <c r="AW125" s="21">
        <f t="shared" si="769"/>
        <v>0</v>
      </c>
      <c r="AX125" s="21">
        <f t="shared" si="769"/>
        <v>2.9027413228805404E-2</v>
      </c>
      <c r="AY125" s="22">
        <f t="shared" si="769"/>
        <v>2.9027413228805404E-2</v>
      </c>
      <c r="AZ125" s="21">
        <f t="shared" si="769"/>
        <v>2.8077436984039552E-2</v>
      </c>
      <c r="BA125" s="21">
        <f t="shared" si="769"/>
        <v>2.8408391891228194E-2</v>
      </c>
      <c r="BB125" s="21">
        <f t="shared" si="769"/>
        <v>2.7341044420592174E-2</v>
      </c>
      <c r="BC125" s="21">
        <f t="shared" si="769"/>
        <v>2.6595378915843338E-2</v>
      </c>
      <c r="BD125" s="22">
        <f t="shared" si="769"/>
        <v>2.6595378915843338E-2</v>
      </c>
      <c r="BE125" s="21">
        <f t="shared" si="769"/>
        <v>2.0683324428122641E-2</v>
      </c>
      <c r="BF125" s="21">
        <f t="shared" si="769"/>
        <v>1.7122452446728595E-2</v>
      </c>
      <c r="BG125" s="21">
        <f t="shared" si="769"/>
        <v>1.0842920529640039E-2</v>
      </c>
      <c r="BH125" s="21">
        <f t="shared" si="769"/>
        <v>1.2060679285928005E-2</v>
      </c>
      <c r="BI125" s="22">
        <f t="shared" si="769"/>
        <v>1.2060679285928005E-2</v>
      </c>
      <c r="BJ125" s="21">
        <f t="shared" si="769"/>
        <v>1.1703566536833626E-2</v>
      </c>
      <c r="BK125" s="21">
        <f t="shared" si="769"/>
        <v>1.1389029236698888E-2</v>
      </c>
      <c r="BL125" s="21">
        <f t="shared" si="769"/>
        <v>6.6812687383108063E-3</v>
      </c>
      <c r="BM125" s="21">
        <f t="shared" si="769"/>
        <v>9.7360095924771562E-3</v>
      </c>
      <c r="BN125" s="22">
        <f t="shared" ref="BN125:BY125" si="770">BN124/BN115</f>
        <v>9.7360095924771562E-3</v>
      </c>
      <c r="BO125" s="21">
        <f t="shared" si="770"/>
        <v>9.136242042905857E-3</v>
      </c>
      <c r="BP125" s="21">
        <f t="shared" si="770"/>
        <v>8.7326925956152379E-3</v>
      </c>
      <c r="BQ125" s="21">
        <f t="shared" si="770"/>
        <v>5.0324144391449763E-3</v>
      </c>
      <c r="BR125" s="21">
        <f t="shared" si="770"/>
        <v>7.2855052963272243E-3</v>
      </c>
      <c r="BS125" s="22">
        <f t="shared" si="770"/>
        <v>7.2855052963272243E-3</v>
      </c>
      <c r="BT125" s="21">
        <f t="shared" si="770"/>
        <v>6.7534691230540823E-3</v>
      </c>
      <c r="BU125" s="21">
        <f t="shared" si="770"/>
        <v>5.5432929186939308E-3</v>
      </c>
      <c r="BV125" s="21">
        <f t="shared" si="770"/>
        <v>3.2702251263021791E-3</v>
      </c>
      <c r="BW125" s="21">
        <f t="shared" si="770"/>
        <v>4.2826719787214295E-3</v>
      </c>
      <c r="BX125" s="22">
        <f t="shared" si="770"/>
        <v>4.2826719787214286E-3</v>
      </c>
      <c r="BY125" s="21">
        <f t="shared" si="770"/>
        <v>4.1024652904799435E-3</v>
      </c>
      <c r="BZ125" s="21">
        <f t="shared" ref="BZ125:CB125" si="771">BZ124/BZ115</f>
        <v>3.8117882073935763E-3</v>
      </c>
      <c r="CA125" s="21">
        <f t="shared" si="771"/>
        <v>2.6691768680079872E-3</v>
      </c>
      <c r="CB125" s="21">
        <f t="shared" si="771"/>
        <v>3.4819557551743099E-3</v>
      </c>
      <c r="CC125" s="22">
        <f>CC124/CC115</f>
        <v>3.4819557551743099E-3</v>
      </c>
      <c r="CD125" s="21">
        <f t="shared" ref="CD125:CE125" si="772">CD124/CD115</f>
        <v>3.4658558131202919E-3</v>
      </c>
      <c r="CE125" s="21">
        <f t="shared" si="772"/>
        <v>4.4523754105568053E-3</v>
      </c>
      <c r="CF125" s="21">
        <f>CE125</f>
        <v>4.4523754105568053E-3</v>
      </c>
      <c r="CG125" s="21">
        <f>CF125</f>
        <v>4.4523754105568053E-3</v>
      </c>
      <c r="CH125" s="22">
        <f>CH124/CH115</f>
        <v>4.4523754105568053E-3</v>
      </c>
      <c r="CI125" s="21">
        <f>CD125</f>
        <v>3.4658558131202919E-3</v>
      </c>
      <c r="CJ125" s="21">
        <f>CI125</f>
        <v>3.4658558131202919E-3</v>
      </c>
      <c r="CK125" s="21">
        <f>CJ125</f>
        <v>3.4658558131202919E-3</v>
      </c>
      <c r="CL125" s="21">
        <f>CK125</f>
        <v>3.4658558131202919E-3</v>
      </c>
      <c r="CM125" s="22">
        <f>CM124/CM115</f>
        <v>3.4658558131202915E-3</v>
      </c>
      <c r="CN125" s="21">
        <f>CI125</f>
        <v>3.4658558131202919E-3</v>
      </c>
      <c r="CO125" s="21">
        <f>CN125</f>
        <v>3.4658558131202919E-3</v>
      </c>
      <c r="CP125" s="21">
        <f>CO125</f>
        <v>3.4658558131202919E-3</v>
      </c>
      <c r="CQ125" s="21">
        <f>CP125</f>
        <v>3.4658558131202919E-3</v>
      </c>
      <c r="CR125" s="22">
        <f>CR124/CR115</f>
        <v>3.4658558131202919E-3</v>
      </c>
      <c r="CS125" s="21">
        <f>CN125</f>
        <v>3.4658558131202919E-3</v>
      </c>
      <c r="CT125" s="21">
        <f>CS125</f>
        <v>3.4658558131202919E-3</v>
      </c>
      <c r="CU125" s="21">
        <f>CT125</f>
        <v>3.4658558131202919E-3</v>
      </c>
      <c r="CV125" s="21">
        <f>CU125</f>
        <v>3.4658558131202919E-3</v>
      </c>
      <c r="CW125" s="22">
        <f>CW124/CW115</f>
        <v>3.4658558131202915E-3</v>
      </c>
      <c r="CX125" s="21">
        <f>CS125</f>
        <v>3.4658558131202919E-3</v>
      </c>
      <c r="CY125" s="21">
        <f>CX125</f>
        <v>3.4658558131202919E-3</v>
      </c>
      <c r="CZ125" s="21">
        <f>CY125</f>
        <v>3.4658558131202919E-3</v>
      </c>
      <c r="DA125" s="21">
        <f>CZ125</f>
        <v>3.4658558131202919E-3</v>
      </c>
      <c r="DB125" s="22">
        <f>DB124/DB115</f>
        <v>3.465855813120291E-3</v>
      </c>
    </row>
    <row r="126" spans="1:106" s="56" customFormat="1" ht="11.5" customHeight="1" x14ac:dyDescent="0.35">
      <c r="A126" s="16" t="s">
        <v>159</v>
      </c>
      <c r="B126" s="46">
        <f t="shared" ref="B126:AE126" si="773">B16</f>
        <v>0</v>
      </c>
      <c r="C126" s="46">
        <f t="shared" si="773"/>
        <v>0</v>
      </c>
      <c r="D126" s="46">
        <f t="shared" si="773"/>
        <v>0</v>
      </c>
      <c r="E126" s="46">
        <f t="shared" si="773"/>
        <v>0</v>
      </c>
      <c r="F126" s="54">
        <f t="shared" si="773"/>
        <v>0</v>
      </c>
      <c r="G126" s="46">
        <f t="shared" si="773"/>
        <v>0</v>
      </c>
      <c r="H126" s="46">
        <f t="shared" si="773"/>
        <v>0</v>
      </c>
      <c r="I126" s="46">
        <f t="shared" si="773"/>
        <v>0</v>
      </c>
      <c r="J126" s="46">
        <f t="shared" si="773"/>
        <v>0</v>
      </c>
      <c r="K126" s="54">
        <f t="shared" si="773"/>
        <v>0</v>
      </c>
      <c r="L126" s="46">
        <f t="shared" si="773"/>
        <v>0</v>
      </c>
      <c r="M126" s="46">
        <f t="shared" si="773"/>
        <v>0</v>
      </c>
      <c r="N126" s="46">
        <f t="shared" si="773"/>
        <v>0</v>
      </c>
      <c r="O126" s="46">
        <f t="shared" si="773"/>
        <v>0</v>
      </c>
      <c r="P126" s="54">
        <f t="shared" si="773"/>
        <v>0</v>
      </c>
      <c r="Q126" s="46">
        <f t="shared" si="773"/>
        <v>0</v>
      </c>
      <c r="R126" s="46">
        <f t="shared" si="773"/>
        <v>0</v>
      </c>
      <c r="S126" s="46">
        <f t="shared" si="773"/>
        <v>0</v>
      </c>
      <c r="T126" s="46">
        <f t="shared" si="773"/>
        <v>0</v>
      </c>
      <c r="U126" s="54">
        <f t="shared" si="773"/>
        <v>0</v>
      </c>
      <c r="V126" s="46">
        <f t="shared" si="773"/>
        <v>0</v>
      </c>
      <c r="W126" s="46">
        <f t="shared" si="773"/>
        <v>0</v>
      </c>
      <c r="X126" s="46">
        <f t="shared" si="773"/>
        <v>0</v>
      </c>
      <c r="Y126" s="46">
        <f t="shared" si="773"/>
        <v>0</v>
      </c>
      <c r="Z126" s="54">
        <f t="shared" si="773"/>
        <v>0</v>
      </c>
      <c r="AA126" s="46">
        <f t="shared" si="773"/>
        <v>0</v>
      </c>
      <c r="AB126" s="46">
        <f t="shared" si="773"/>
        <v>0</v>
      </c>
      <c r="AC126" s="46">
        <f t="shared" si="773"/>
        <v>0</v>
      </c>
      <c r="AD126" s="46">
        <f t="shared" si="773"/>
        <v>0</v>
      </c>
      <c r="AE126" s="54">
        <f t="shared" si="773"/>
        <v>0</v>
      </c>
      <c r="AF126" s="46">
        <f t="shared" ref="AF126:AG126" si="774">AF16</f>
        <v>0</v>
      </c>
      <c r="AG126" s="46">
        <f t="shared" si="774"/>
        <v>0</v>
      </c>
      <c r="AH126" s="46">
        <f t="shared" ref="AH126:BM126" si="775">AH16</f>
        <v>0</v>
      </c>
      <c r="AI126" s="46">
        <f t="shared" si="775"/>
        <v>0</v>
      </c>
      <c r="AJ126" s="54">
        <f t="shared" si="775"/>
        <v>0</v>
      </c>
      <c r="AK126" s="46">
        <f t="shared" si="775"/>
        <v>25920</v>
      </c>
      <c r="AL126" s="46">
        <f t="shared" si="775"/>
        <v>40019</v>
      </c>
      <c r="AM126" s="46">
        <f t="shared" si="775"/>
        <v>20975</v>
      </c>
      <c r="AN126" s="46">
        <f t="shared" si="775"/>
        <v>4801</v>
      </c>
      <c r="AO126" s="54">
        <f t="shared" si="775"/>
        <v>4801</v>
      </c>
      <c r="AP126" s="46">
        <f t="shared" si="775"/>
        <v>32917</v>
      </c>
      <c r="AQ126" s="46">
        <f t="shared" si="775"/>
        <v>38695</v>
      </c>
      <c r="AR126" s="46">
        <f t="shared" si="775"/>
        <v>48794</v>
      </c>
      <c r="AS126" s="46">
        <f t="shared" si="775"/>
        <v>4471</v>
      </c>
      <c r="AT126" s="54">
        <f t="shared" si="775"/>
        <v>4471</v>
      </c>
      <c r="AU126" s="46">
        <f t="shared" si="775"/>
        <v>28104</v>
      </c>
      <c r="AV126" s="46">
        <f t="shared" si="775"/>
        <v>35450</v>
      </c>
      <c r="AW126" s="46">
        <f t="shared" si="775"/>
        <v>33715</v>
      </c>
      <c r="AX126" s="46">
        <f t="shared" si="775"/>
        <v>8922</v>
      </c>
      <c r="AY126" s="54">
        <f t="shared" si="775"/>
        <v>8922</v>
      </c>
      <c r="AZ126" s="46">
        <f t="shared" si="775"/>
        <v>11718</v>
      </c>
      <c r="BA126" s="46">
        <f t="shared" si="775"/>
        <v>9125</v>
      </c>
      <c r="BB126" s="46">
        <f t="shared" si="775"/>
        <v>8463</v>
      </c>
      <c r="BC126" s="46">
        <f t="shared" si="775"/>
        <v>7748</v>
      </c>
      <c r="BD126" s="54">
        <f t="shared" si="775"/>
        <v>7748</v>
      </c>
      <c r="BE126" s="46">
        <f t="shared" si="775"/>
        <v>7755</v>
      </c>
      <c r="BF126" s="46">
        <f t="shared" si="775"/>
        <v>5560</v>
      </c>
      <c r="BG126" s="46">
        <f t="shared" si="775"/>
        <v>9083</v>
      </c>
      <c r="BH126" s="46">
        <f t="shared" si="775"/>
        <v>6611</v>
      </c>
      <c r="BI126" s="54">
        <f t="shared" si="775"/>
        <v>6611</v>
      </c>
      <c r="BJ126" s="46">
        <f t="shared" si="775"/>
        <v>6676</v>
      </c>
      <c r="BK126" s="46">
        <f t="shared" si="775"/>
        <v>6582</v>
      </c>
      <c r="BL126" s="46">
        <f t="shared" si="775"/>
        <v>8343</v>
      </c>
      <c r="BM126" s="46">
        <f t="shared" si="775"/>
        <v>7297</v>
      </c>
      <c r="BN126" s="54">
        <f t="shared" ref="BN126:BY126" si="776">BN16</f>
        <v>7297</v>
      </c>
      <c r="BO126" s="46">
        <f t="shared" si="776"/>
        <v>7108</v>
      </c>
      <c r="BP126" s="46">
        <f t="shared" si="776"/>
        <v>9562</v>
      </c>
      <c r="BQ126" s="46">
        <f t="shared" si="776"/>
        <v>11558</v>
      </c>
      <c r="BR126" s="46">
        <f t="shared" si="776"/>
        <v>13547</v>
      </c>
      <c r="BS126" s="54">
        <f t="shared" si="776"/>
        <v>13547</v>
      </c>
      <c r="BT126" s="46">
        <f t="shared" si="776"/>
        <v>9839</v>
      </c>
      <c r="BU126" s="46">
        <f t="shared" si="776"/>
        <v>26070</v>
      </c>
      <c r="BV126" s="46">
        <f t="shared" si="776"/>
        <v>15022</v>
      </c>
      <c r="BW126" s="46">
        <f t="shared" si="776"/>
        <v>17033</v>
      </c>
      <c r="BX126" s="54">
        <f t="shared" si="776"/>
        <v>17033</v>
      </c>
      <c r="BY126" s="46">
        <f t="shared" si="776"/>
        <v>15238</v>
      </c>
      <c r="BZ126" s="46">
        <f t="shared" ref="BZ126:CB126" si="777">BZ16</f>
        <v>8316</v>
      </c>
      <c r="CA126" s="46">
        <f t="shared" si="777"/>
        <v>9581</v>
      </c>
      <c r="CB126" s="46">
        <f t="shared" si="777"/>
        <v>11708</v>
      </c>
      <c r="CC126" s="54">
        <f>CC16</f>
        <v>11708</v>
      </c>
      <c r="CD126" s="46">
        <f t="shared" ref="CD126:CE126" si="778">CD16</f>
        <v>10253</v>
      </c>
      <c r="CE126" s="46">
        <f t="shared" si="778"/>
        <v>9152</v>
      </c>
      <c r="CF126" s="94">
        <f>CF127*CF115</f>
        <v>9637.0772141700181</v>
      </c>
      <c r="CG126" s="94">
        <f>CG127*CG115</f>
        <v>10288.981997461262</v>
      </c>
      <c r="CH126" s="54">
        <f>CH16</f>
        <v>10288.981997461262</v>
      </c>
      <c r="CI126" s="94">
        <f>CI127*CI115</f>
        <v>10729.937804816553</v>
      </c>
      <c r="CJ126" s="94">
        <f>CJ127*CJ115</f>
        <v>11568.452099025435</v>
      </c>
      <c r="CK126" s="94">
        <f>CK127*CK115</f>
        <v>11814.046780847229</v>
      </c>
      <c r="CL126" s="94">
        <f>CL127*CL115</f>
        <v>12057.671247391452</v>
      </c>
      <c r="CM126" s="54">
        <f>CM16</f>
        <v>12057.671247391452</v>
      </c>
      <c r="CN126" s="94">
        <f>CN127*CN115</f>
        <v>12200.615857180026</v>
      </c>
      <c r="CO126" s="94">
        <f>CO127*CO115</f>
        <v>12321.746569222209</v>
      </c>
      <c r="CP126" s="94">
        <f>CP127*CP115</f>
        <v>12426.108991203693</v>
      </c>
      <c r="CQ126" s="94">
        <f>CQ127*CQ115</f>
        <v>12537.918479866315</v>
      </c>
      <c r="CR126" s="54">
        <f>CR16</f>
        <v>12537.918479866315</v>
      </c>
      <c r="CS126" s="94">
        <f>CS127*CS115</f>
        <v>12768.565004486329</v>
      </c>
      <c r="CT126" s="94">
        <f>CT127*CT115</f>
        <v>12965.389206335301</v>
      </c>
      <c r="CU126" s="94">
        <f>CU127*CU115</f>
        <v>13123.905287134143</v>
      </c>
      <c r="CV126" s="94">
        <f>CV127*CV115</f>
        <v>13261.881745501263</v>
      </c>
      <c r="CW126" s="54">
        <f>CW16</f>
        <v>13261.881745501263</v>
      </c>
      <c r="CX126" s="94">
        <f>CX127*CX115</f>
        <v>13417.9043519897</v>
      </c>
      <c r="CY126" s="94">
        <f>CY127*CY115</f>
        <v>13569.415206679838</v>
      </c>
      <c r="CZ126" s="94">
        <f>CZ127*CZ115</f>
        <v>13700.534770004369</v>
      </c>
      <c r="DA126" s="94">
        <f>DA127*DA115</f>
        <v>13822.621996986541</v>
      </c>
      <c r="DB126" s="54">
        <f>DB16</f>
        <v>13822.621996986541</v>
      </c>
    </row>
    <row r="127" spans="1:106" ht="11.5" customHeight="1" x14ac:dyDescent="0.35">
      <c r="A127" s="149" t="s">
        <v>246</v>
      </c>
      <c r="B127" s="21" t="e">
        <f t="shared" ref="B127:AE127" si="779">B126/B115</f>
        <v>#REF!</v>
      </c>
      <c r="C127" s="21" t="e">
        <f t="shared" si="779"/>
        <v>#REF!</v>
      </c>
      <c r="D127" s="21" t="e">
        <f t="shared" si="779"/>
        <v>#REF!</v>
      </c>
      <c r="E127" s="21" t="e">
        <f t="shared" si="779"/>
        <v>#DIV/0!</v>
      </c>
      <c r="F127" s="22" t="e">
        <f t="shared" si="779"/>
        <v>#DIV/0!</v>
      </c>
      <c r="G127" s="21" t="e">
        <f t="shared" si="779"/>
        <v>#DIV/0!</v>
      </c>
      <c r="H127" s="21" t="e">
        <f t="shared" si="779"/>
        <v>#DIV/0!</v>
      </c>
      <c r="I127" s="21" t="e">
        <f t="shared" si="779"/>
        <v>#DIV/0!</v>
      </c>
      <c r="J127" s="21" t="e">
        <f t="shared" si="779"/>
        <v>#DIV/0!</v>
      </c>
      <c r="K127" s="22" t="e">
        <f t="shared" si="779"/>
        <v>#DIV/0!</v>
      </c>
      <c r="L127" s="21" t="e">
        <f t="shared" si="779"/>
        <v>#DIV/0!</v>
      </c>
      <c r="M127" s="21" t="e">
        <f t="shared" si="779"/>
        <v>#DIV/0!</v>
      </c>
      <c r="N127" s="21" t="e">
        <f t="shared" si="779"/>
        <v>#DIV/0!</v>
      </c>
      <c r="O127" s="21" t="e">
        <f t="shared" si="779"/>
        <v>#DIV/0!</v>
      </c>
      <c r="P127" s="22" t="e">
        <f t="shared" si="779"/>
        <v>#DIV/0!</v>
      </c>
      <c r="Q127" s="21" t="e">
        <f t="shared" si="779"/>
        <v>#DIV/0!</v>
      </c>
      <c r="R127" s="21" t="e">
        <f t="shared" si="779"/>
        <v>#DIV/0!</v>
      </c>
      <c r="S127" s="21" t="e">
        <f t="shared" si="779"/>
        <v>#DIV/0!</v>
      </c>
      <c r="T127" s="21" t="e">
        <f t="shared" si="779"/>
        <v>#DIV/0!</v>
      </c>
      <c r="U127" s="22" t="e">
        <f t="shared" si="779"/>
        <v>#DIV/0!</v>
      </c>
      <c r="V127" s="21" t="e">
        <f t="shared" si="779"/>
        <v>#DIV/0!</v>
      </c>
      <c r="W127" s="21" t="e">
        <f t="shared" si="779"/>
        <v>#DIV/0!</v>
      </c>
      <c r="X127" s="21" t="e">
        <f t="shared" si="779"/>
        <v>#DIV/0!</v>
      </c>
      <c r="Y127" s="21" t="e">
        <f t="shared" si="779"/>
        <v>#DIV/0!</v>
      </c>
      <c r="Z127" s="22" t="e">
        <f t="shared" si="779"/>
        <v>#DIV/0!</v>
      </c>
      <c r="AA127" s="21" t="e">
        <f t="shared" si="779"/>
        <v>#DIV/0!</v>
      </c>
      <c r="AB127" s="21" t="e">
        <f t="shared" si="779"/>
        <v>#DIV/0!</v>
      </c>
      <c r="AC127" s="21" t="e">
        <f t="shared" si="779"/>
        <v>#DIV/0!</v>
      </c>
      <c r="AD127" s="21" t="e">
        <f t="shared" si="779"/>
        <v>#DIV/0!</v>
      </c>
      <c r="AE127" s="22" t="e">
        <f t="shared" si="779"/>
        <v>#DIV/0!</v>
      </c>
      <c r="AF127" s="21" t="e">
        <f t="shared" ref="AF127:AG127" si="780">AF126/AF115</f>
        <v>#DIV/0!</v>
      </c>
      <c r="AG127" s="21" t="e">
        <f t="shared" si="780"/>
        <v>#DIV/0!</v>
      </c>
      <c r="AH127" s="21" t="e">
        <f t="shared" ref="AH127:BM127" si="781">AH126/AH115</f>
        <v>#DIV/0!</v>
      </c>
      <c r="AI127" s="21" t="e">
        <f t="shared" si="781"/>
        <v>#DIV/0!</v>
      </c>
      <c r="AJ127" s="22" t="e">
        <f t="shared" si="781"/>
        <v>#DIV/0!</v>
      </c>
      <c r="AK127" s="21">
        <f t="shared" si="781"/>
        <v>0.24291349819964922</v>
      </c>
      <c r="AL127" s="21">
        <f t="shared" si="781"/>
        <v>0.1756496661599829</v>
      </c>
      <c r="AM127" s="21">
        <f t="shared" si="781"/>
        <v>4.9103532794654021E-2</v>
      </c>
      <c r="AN127" s="21">
        <f t="shared" si="781"/>
        <v>6.4773097146493871E-3</v>
      </c>
      <c r="AO127" s="22">
        <f t="shared" si="781"/>
        <v>6.4773097146493871E-3</v>
      </c>
      <c r="AP127" s="21">
        <f t="shared" si="781"/>
        <v>4.2773790679541235E-2</v>
      </c>
      <c r="AQ127" s="21">
        <f t="shared" si="781"/>
        <v>4.5024322183932083E-2</v>
      </c>
      <c r="AR127" s="21">
        <f t="shared" si="781"/>
        <v>5.6157588914177485E-2</v>
      </c>
      <c r="AS127" s="21">
        <f t="shared" si="781"/>
        <v>5.0422315011262693E-3</v>
      </c>
      <c r="AT127" s="22">
        <f t="shared" si="781"/>
        <v>5.0422315011262701E-3</v>
      </c>
      <c r="AU127" s="21">
        <f t="shared" si="781"/>
        <v>2.9959574871152146E-2</v>
      </c>
      <c r="AV127" s="21">
        <f t="shared" si="781"/>
        <v>3.8021738654632833E-2</v>
      </c>
      <c r="AW127" s="21">
        <f t="shared" si="781"/>
        <v>3.4241142115559453E-2</v>
      </c>
      <c r="AX127" s="21">
        <f t="shared" si="781"/>
        <v>9.0842393920306502E-3</v>
      </c>
      <c r="AY127" s="22">
        <f t="shared" si="781"/>
        <v>9.0842393920306502E-3</v>
      </c>
      <c r="AZ127" s="21">
        <f t="shared" si="781"/>
        <v>1.1326083740540997E-2</v>
      </c>
      <c r="BA127" s="21">
        <f t="shared" si="781"/>
        <v>8.1371935840618154E-3</v>
      </c>
      <c r="BB127" s="21">
        <f t="shared" si="781"/>
        <v>6.6601594304148172E-3</v>
      </c>
      <c r="BC127" s="21">
        <f t="shared" si="781"/>
        <v>5.7566977466113759E-3</v>
      </c>
      <c r="BD127" s="22">
        <f t="shared" si="781"/>
        <v>5.7566977466113759E-3</v>
      </c>
      <c r="BE127" s="21">
        <f t="shared" si="781"/>
        <v>4.5687359274265427E-3</v>
      </c>
      <c r="BF127" s="21">
        <f t="shared" si="781"/>
        <v>2.6629604364702374E-3</v>
      </c>
      <c r="BG127" s="21">
        <f t="shared" si="781"/>
        <v>2.7513967640933226E-3</v>
      </c>
      <c r="BH127" s="21">
        <f t="shared" si="781"/>
        <v>2.5756929435091754E-3</v>
      </c>
      <c r="BI127" s="22">
        <f t="shared" si="781"/>
        <v>2.5756929435091754E-3</v>
      </c>
      <c r="BJ127" s="21">
        <f t="shared" si="781"/>
        <v>2.4457072714151968E-3</v>
      </c>
      <c r="BK127" s="21">
        <f t="shared" si="781"/>
        <v>2.2352871671025786E-3</v>
      </c>
      <c r="BL127" s="21">
        <f t="shared" si="781"/>
        <v>1.634801451263368E-3</v>
      </c>
      <c r="BM127" s="21">
        <f t="shared" si="781"/>
        <v>2.2181042803804617E-3</v>
      </c>
      <c r="BN127" s="22">
        <f t="shared" ref="BN127:BY127" si="782">BN126/BN115</f>
        <v>2.2181042803804617E-3</v>
      </c>
      <c r="BO127" s="21">
        <f t="shared" si="782"/>
        <v>1.9661037977891259E-3</v>
      </c>
      <c r="BP127" s="21">
        <f t="shared" si="782"/>
        <v>2.4444381322972163E-3</v>
      </c>
      <c r="BQ127" s="21">
        <f t="shared" si="782"/>
        <v>1.768567443676649E-3</v>
      </c>
      <c r="BR127" s="21">
        <f t="shared" si="782"/>
        <v>3.2642128670903859E-3</v>
      </c>
      <c r="BS127" s="22">
        <f t="shared" si="782"/>
        <v>3.2642128670903859E-3</v>
      </c>
      <c r="BT127" s="21">
        <f t="shared" si="782"/>
        <v>2.1280868146851496E-3</v>
      </c>
      <c r="BU127" s="21">
        <f t="shared" si="782"/>
        <v>5.0340908625196214E-3</v>
      </c>
      <c r="BV127" s="21">
        <f t="shared" si="782"/>
        <v>1.6900138243880326E-3</v>
      </c>
      <c r="BW127" s="21">
        <f t="shared" si="782"/>
        <v>2.7640768373143154E-3</v>
      </c>
      <c r="BX127" s="22">
        <f t="shared" si="782"/>
        <v>2.764076837314315E-3</v>
      </c>
      <c r="BY127" s="21">
        <f t="shared" si="782"/>
        <v>2.2690053390560551E-3</v>
      </c>
      <c r="BZ127" s="21">
        <f t="shared" ref="BZ127:CB127" si="783">BZ126/BZ115</f>
        <v>1.1505510047796806E-3</v>
      </c>
      <c r="CA127" s="21">
        <f t="shared" si="783"/>
        <v>8.2068558686770399E-4</v>
      </c>
      <c r="CB127" s="21">
        <f t="shared" si="783"/>
        <v>1.5106624909797977E-3</v>
      </c>
      <c r="CC127" s="22">
        <f>CC126/CC115</f>
        <v>1.5106624909797977E-3</v>
      </c>
      <c r="CD127" s="21">
        <f t="shared" ref="CD127:CE127" si="784">CD126/CD115</f>
        <v>1.2898050761105714E-3</v>
      </c>
      <c r="CE127" s="21">
        <f t="shared" si="784"/>
        <v>1.1834380738097085E-3</v>
      </c>
      <c r="CF127" s="21">
        <f>CE127</f>
        <v>1.1834380738097085E-3</v>
      </c>
      <c r="CG127" s="21">
        <f>CF127</f>
        <v>1.1834380738097085E-3</v>
      </c>
      <c r="CH127" s="22">
        <f>CH126/CH115</f>
        <v>1.1834380738097085E-3</v>
      </c>
      <c r="CI127" s="21">
        <f>CG127</f>
        <v>1.1834380738097085E-3</v>
      </c>
      <c r="CJ127" s="21">
        <f>CI127</f>
        <v>1.1834380738097085E-3</v>
      </c>
      <c r="CK127" s="21">
        <f>CJ127</f>
        <v>1.1834380738097085E-3</v>
      </c>
      <c r="CL127" s="21">
        <f>CK127</f>
        <v>1.1834380738097085E-3</v>
      </c>
      <c r="CM127" s="22">
        <f>CM126/CM115</f>
        <v>1.1834380738097083E-3</v>
      </c>
      <c r="CN127" s="21">
        <f>CL127</f>
        <v>1.1834380738097085E-3</v>
      </c>
      <c r="CO127" s="21">
        <f>CN127</f>
        <v>1.1834380738097085E-3</v>
      </c>
      <c r="CP127" s="21">
        <f>CO127</f>
        <v>1.1834380738097085E-3</v>
      </c>
      <c r="CQ127" s="21">
        <f>CP127</f>
        <v>1.1834380738097085E-3</v>
      </c>
      <c r="CR127" s="22">
        <f>CR126/CR115</f>
        <v>1.1834380738097085E-3</v>
      </c>
      <c r="CS127" s="21">
        <f>CQ127</f>
        <v>1.1834380738097085E-3</v>
      </c>
      <c r="CT127" s="21">
        <f>CS127</f>
        <v>1.1834380738097085E-3</v>
      </c>
      <c r="CU127" s="21">
        <f>CT127</f>
        <v>1.1834380738097085E-3</v>
      </c>
      <c r="CV127" s="21">
        <f>CU127</f>
        <v>1.1834380738097085E-3</v>
      </c>
      <c r="CW127" s="22">
        <f>CW126/CW115</f>
        <v>1.1834380738097083E-3</v>
      </c>
      <c r="CX127" s="21">
        <f>CV127</f>
        <v>1.1834380738097085E-3</v>
      </c>
      <c r="CY127" s="21">
        <f>CX127</f>
        <v>1.1834380738097085E-3</v>
      </c>
      <c r="CZ127" s="21">
        <f>CY127</f>
        <v>1.1834380738097085E-3</v>
      </c>
      <c r="DA127" s="21">
        <f>CZ127</f>
        <v>1.1834380738097085E-3</v>
      </c>
      <c r="DB127" s="22">
        <f>DB126/DB115</f>
        <v>1.1834380738097083E-3</v>
      </c>
    </row>
    <row r="128" spans="1:106" s="56" customFormat="1" ht="11.5" customHeight="1" x14ac:dyDescent="0.35">
      <c r="A128" s="16" t="s">
        <v>171</v>
      </c>
      <c r="B128" s="46">
        <f t="shared" ref="B128:AE128" si="785">B37</f>
        <v>0</v>
      </c>
      <c r="C128" s="46">
        <f t="shared" si="785"/>
        <v>0</v>
      </c>
      <c r="D128" s="46">
        <f t="shared" si="785"/>
        <v>0</v>
      </c>
      <c r="E128" s="46">
        <f t="shared" si="785"/>
        <v>0</v>
      </c>
      <c r="F128" s="54">
        <f t="shared" si="785"/>
        <v>0</v>
      </c>
      <c r="G128" s="46">
        <f t="shared" si="785"/>
        <v>0</v>
      </c>
      <c r="H128" s="46">
        <f t="shared" si="785"/>
        <v>0</v>
      </c>
      <c r="I128" s="46">
        <f t="shared" si="785"/>
        <v>0</v>
      </c>
      <c r="J128" s="46">
        <f t="shared" si="785"/>
        <v>0</v>
      </c>
      <c r="K128" s="54">
        <f t="shared" si="785"/>
        <v>0</v>
      </c>
      <c r="L128" s="46">
        <f t="shared" si="785"/>
        <v>0</v>
      </c>
      <c r="M128" s="46">
        <f t="shared" si="785"/>
        <v>0</v>
      </c>
      <c r="N128" s="46">
        <f t="shared" si="785"/>
        <v>0</v>
      </c>
      <c r="O128" s="46">
        <f t="shared" si="785"/>
        <v>0</v>
      </c>
      <c r="P128" s="54">
        <f t="shared" si="785"/>
        <v>0</v>
      </c>
      <c r="Q128" s="46">
        <f t="shared" si="785"/>
        <v>0</v>
      </c>
      <c r="R128" s="46">
        <f t="shared" si="785"/>
        <v>0</v>
      </c>
      <c r="S128" s="46">
        <f t="shared" si="785"/>
        <v>0</v>
      </c>
      <c r="T128" s="46">
        <f t="shared" si="785"/>
        <v>0</v>
      </c>
      <c r="U128" s="54">
        <f t="shared" si="785"/>
        <v>0</v>
      </c>
      <c r="V128" s="46">
        <f t="shared" si="785"/>
        <v>0</v>
      </c>
      <c r="W128" s="46">
        <f t="shared" si="785"/>
        <v>0</v>
      </c>
      <c r="X128" s="46">
        <f t="shared" si="785"/>
        <v>0</v>
      </c>
      <c r="Y128" s="46">
        <f t="shared" si="785"/>
        <v>0</v>
      </c>
      <c r="Z128" s="54">
        <f t="shared" si="785"/>
        <v>0</v>
      </c>
      <c r="AA128" s="46">
        <f t="shared" si="785"/>
        <v>0</v>
      </c>
      <c r="AB128" s="46">
        <f t="shared" si="785"/>
        <v>0</v>
      </c>
      <c r="AC128" s="46">
        <f t="shared" si="785"/>
        <v>0</v>
      </c>
      <c r="AD128" s="46">
        <f t="shared" si="785"/>
        <v>0</v>
      </c>
      <c r="AE128" s="54">
        <f t="shared" si="785"/>
        <v>0</v>
      </c>
      <c r="AF128" s="46">
        <f t="shared" ref="AF128:AG128" si="786">AF37</f>
        <v>0</v>
      </c>
      <c r="AG128" s="46">
        <f t="shared" si="786"/>
        <v>0</v>
      </c>
      <c r="AH128" s="46">
        <f t="shared" ref="AH128:BM128" si="787">AH37</f>
        <v>0</v>
      </c>
      <c r="AI128" s="46">
        <f t="shared" si="787"/>
        <v>0</v>
      </c>
      <c r="AJ128" s="54">
        <f t="shared" si="787"/>
        <v>0</v>
      </c>
      <c r="AK128" s="46">
        <f t="shared" si="787"/>
        <v>5848</v>
      </c>
      <c r="AL128" s="46">
        <f t="shared" si="787"/>
        <v>7220</v>
      </c>
      <c r="AM128" s="46">
        <f t="shared" si="787"/>
        <v>7488</v>
      </c>
      <c r="AN128" s="46">
        <f t="shared" si="787"/>
        <v>6357</v>
      </c>
      <c r="AO128" s="54">
        <f t="shared" si="787"/>
        <v>6357</v>
      </c>
      <c r="AP128" s="46">
        <f t="shared" si="787"/>
        <v>7140</v>
      </c>
      <c r="AQ128" s="46">
        <f t="shared" si="787"/>
        <v>7668</v>
      </c>
      <c r="AR128" s="46">
        <f t="shared" si="787"/>
        <v>7777</v>
      </c>
      <c r="AS128" s="46">
        <f t="shared" si="787"/>
        <v>7193</v>
      </c>
      <c r="AT128" s="54">
        <f t="shared" si="787"/>
        <v>7193</v>
      </c>
      <c r="AU128" s="46">
        <f t="shared" si="787"/>
        <v>8462</v>
      </c>
      <c r="AV128" s="46">
        <f t="shared" si="787"/>
        <v>9059</v>
      </c>
      <c r="AW128" s="46">
        <f t="shared" si="787"/>
        <v>10123</v>
      </c>
      <c r="AX128" s="46">
        <f t="shared" si="787"/>
        <v>8810</v>
      </c>
      <c r="AY128" s="54">
        <f t="shared" si="787"/>
        <v>8810</v>
      </c>
      <c r="AZ128" s="46">
        <f t="shared" si="787"/>
        <v>8131</v>
      </c>
      <c r="BA128" s="46">
        <f t="shared" si="787"/>
        <v>6957</v>
      </c>
      <c r="BB128" s="46">
        <f t="shared" si="787"/>
        <v>9230</v>
      </c>
      <c r="BC128" s="46">
        <f t="shared" si="787"/>
        <v>9201</v>
      </c>
      <c r="BD128" s="54">
        <f t="shared" si="787"/>
        <v>9201</v>
      </c>
      <c r="BE128" s="46">
        <f t="shared" si="787"/>
        <v>9385</v>
      </c>
      <c r="BF128" s="46">
        <f t="shared" si="787"/>
        <v>8745</v>
      </c>
      <c r="BG128" s="46">
        <f t="shared" si="787"/>
        <v>9271</v>
      </c>
      <c r="BH128" s="46">
        <f t="shared" si="787"/>
        <v>8366</v>
      </c>
      <c r="BI128" s="54">
        <f t="shared" si="787"/>
        <v>8366</v>
      </c>
      <c r="BJ128" s="46">
        <f t="shared" si="787"/>
        <v>10182</v>
      </c>
      <c r="BK128" s="46">
        <f t="shared" si="787"/>
        <v>12518</v>
      </c>
      <c r="BL128" s="46">
        <f t="shared" si="787"/>
        <v>12142</v>
      </c>
      <c r="BM128" s="46">
        <f t="shared" si="787"/>
        <v>14840</v>
      </c>
      <c r="BN128" s="54">
        <f t="shared" ref="BN128:BY128" si="788">BN37</f>
        <v>14840</v>
      </c>
      <c r="BO128" s="46">
        <f t="shared" si="788"/>
        <v>14924</v>
      </c>
      <c r="BP128" s="46">
        <f t="shared" si="788"/>
        <v>14002</v>
      </c>
      <c r="BQ128" s="46">
        <f t="shared" si="788"/>
        <v>16903</v>
      </c>
      <c r="BR128" s="46">
        <f t="shared" si="788"/>
        <v>19051</v>
      </c>
      <c r="BS128" s="54">
        <f t="shared" si="788"/>
        <v>19051</v>
      </c>
      <c r="BT128" s="46">
        <f t="shared" si="788"/>
        <v>17695</v>
      </c>
      <c r="BU128" s="46">
        <f t="shared" si="788"/>
        <v>19541</v>
      </c>
      <c r="BV128" s="46">
        <f t="shared" si="788"/>
        <v>20725</v>
      </c>
      <c r="BW128" s="46">
        <f t="shared" si="788"/>
        <v>27898</v>
      </c>
      <c r="BX128" s="54">
        <f t="shared" si="788"/>
        <v>27898</v>
      </c>
      <c r="BY128" s="46">
        <f t="shared" si="788"/>
        <v>24510</v>
      </c>
      <c r="BZ128" s="46">
        <f t="shared" ref="BZ128:CB128" si="789">BZ37</f>
        <v>30682</v>
      </c>
      <c r="CA128" s="46">
        <f t="shared" si="789"/>
        <v>39048</v>
      </c>
      <c r="CB128" s="46">
        <f t="shared" si="789"/>
        <v>42103</v>
      </c>
      <c r="CC128" s="54">
        <f>CC37</f>
        <v>42103</v>
      </c>
      <c r="CD128" s="46">
        <f t="shared" ref="CD128:CE128" si="790">CD37</f>
        <v>40189</v>
      </c>
      <c r="CE128" s="46">
        <f t="shared" si="790"/>
        <v>45828</v>
      </c>
      <c r="CF128" s="94">
        <f>CF129*CF115</f>
        <v>48256.990228472852</v>
      </c>
      <c r="CG128" s="94">
        <f>CG129*CG115</f>
        <v>51521.357843056678</v>
      </c>
      <c r="CH128" s="54">
        <f>CH37</f>
        <v>51521.357843056678</v>
      </c>
      <c r="CI128" s="94">
        <f>CI129*CI115</f>
        <v>53729.41321231785</v>
      </c>
      <c r="CJ128" s="94">
        <f>CJ129*CJ115</f>
        <v>57928.214903205597</v>
      </c>
      <c r="CK128" s="94">
        <f>CK129*CK115</f>
        <v>59158.013097974952</v>
      </c>
      <c r="CL128" s="94">
        <f>CL129*CL115</f>
        <v>60377.945577519175</v>
      </c>
      <c r="CM128" s="54">
        <f>CM37</f>
        <v>60377.945577519175</v>
      </c>
      <c r="CN128" s="94">
        <f>CN129*CN115</f>
        <v>61093.730714908896</v>
      </c>
      <c r="CO128" s="94">
        <f>CO129*CO115</f>
        <v>61700.284284780959</v>
      </c>
      <c r="CP128" s="94">
        <f>CP129*CP115</f>
        <v>62222.871814781778</v>
      </c>
      <c r="CQ128" s="94">
        <f>CQ129*CQ115</f>
        <v>62782.750010414493</v>
      </c>
      <c r="CR128" s="54">
        <f>CR37</f>
        <v>62782.750010414493</v>
      </c>
      <c r="CS128" s="94">
        <f>CS129*CS115</f>
        <v>63937.696353321619</v>
      </c>
      <c r="CT128" s="94">
        <f>CT129*CT115</f>
        <v>64923.279780150151</v>
      </c>
      <c r="CU128" s="94">
        <f>CU129*CU115</f>
        <v>65717.037969709723</v>
      </c>
      <c r="CV128" s="94">
        <f>CV129*CV115</f>
        <v>66407.945436279697</v>
      </c>
      <c r="CW128" s="54">
        <f>CW37</f>
        <v>66407.945436279697</v>
      </c>
      <c r="CX128" s="94">
        <f>CX129*CX115</f>
        <v>67189.217727598763</v>
      </c>
      <c r="CY128" s="94">
        <f>CY129*CY115</f>
        <v>67947.897737294974</v>
      </c>
      <c r="CZ128" s="94">
        <f>CZ129*CZ115</f>
        <v>68604.469781442327</v>
      </c>
      <c r="DA128" s="94">
        <f>DA129*DA115</f>
        <v>69215.813032987237</v>
      </c>
      <c r="DB128" s="54">
        <f>DB37</f>
        <v>69215.813032987237</v>
      </c>
    </row>
    <row r="129" spans="1:106" ht="11.5" customHeight="1" x14ac:dyDescent="0.35">
      <c r="A129" s="204" t="s">
        <v>246</v>
      </c>
      <c r="B129" s="99" t="e">
        <f t="shared" ref="B129:AE129" si="791">B128/B115</f>
        <v>#REF!</v>
      </c>
      <c r="C129" s="99" t="e">
        <f t="shared" si="791"/>
        <v>#REF!</v>
      </c>
      <c r="D129" s="99" t="e">
        <f t="shared" si="791"/>
        <v>#REF!</v>
      </c>
      <c r="E129" s="99" t="e">
        <f t="shared" si="791"/>
        <v>#DIV/0!</v>
      </c>
      <c r="F129" s="100" t="e">
        <f t="shared" si="791"/>
        <v>#DIV/0!</v>
      </c>
      <c r="G129" s="99" t="e">
        <f t="shared" si="791"/>
        <v>#DIV/0!</v>
      </c>
      <c r="H129" s="99" t="e">
        <f t="shared" si="791"/>
        <v>#DIV/0!</v>
      </c>
      <c r="I129" s="99" t="e">
        <f t="shared" si="791"/>
        <v>#DIV/0!</v>
      </c>
      <c r="J129" s="99" t="e">
        <f t="shared" si="791"/>
        <v>#DIV/0!</v>
      </c>
      <c r="K129" s="100" t="e">
        <f t="shared" si="791"/>
        <v>#DIV/0!</v>
      </c>
      <c r="L129" s="99" t="e">
        <f t="shared" si="791"/>
        <v>#DIV/0!</v>
      </c>
      <c r="M129" s="99" t="e">
        <f t="shared" si="791"/>
        <v>#DIV/0!</v>
      </c>
      <c r="N129" s="99" t="e">
        <f t="shared" si="791"/>
        <v>#DIV/0!</v>
      </c>
      <c r="O129" s="99" t="e">
        <f t="shared" si="791"/>
        <v>#DIV/0!</v>
      </c>
      <c r="P129" s="100" t="e">
        <f t="shared" si="791"/>
        <v>#DIV/0!</v>
      </c>
      <c r="Q129" s="99" t="e">
        <f t="shared" si="791"/>
        <v>#DIV/0!</v>
      </c>
      <c r="R129" s="99" t="e">
        <f t="shared" si="791"/>
        <v>#DIV/0!</v>
      </c>
      <c r="S129" s="99" t="e">
        <f t="shared" si="791"/>
        <v>#DIV/0!</v>
      </c>
      <c r="T129" s="99" t="e">
        <f t="shared" si="791"/>
        <v>#DIV/0!</v>
      </c>
      <c r="U129" s="100" t="e">
        <f t="shared" si="791"/>
        <v>#DIV/0!</v>
      </c>
      <c r="V129" s="99" t="e">
        <f t="shared" si="791"/>
        <v>#DIV/0!</v>
      </c>
      <c r="W129" s="99" t="e">
        <f t="shared" si="791"/>
        <v>#DIV/0!</v>
      </c>
      <c r="X129" s="99" t="e">
        <f t="shared" si="791"/>
        <v>#DIV/0!</v>
      </c>
      <c r="Y129" s="99" t="e">
        <f t="shared" si="791"/>
        <v>#DIV/0!</v>
      </c>
      <c r="Z129" s="100" t="e">
        <f t="shared" si="791"/>
        <v>#DIV/0!</v>
      </c>
      <c r="AA129" s="99" t="e">
        <f t="shared" si="791"/>
        <v>#DIV/0!</v>
      </c>
      <c r="AB129" s="99" t="e">
        <f t="shared" si="791"/>
        <v>#DIV/0!</v>
      </c>
      <c r="AC129" s="99" t="e">
        <f t="shared" si="791"/>
        <v>#DIV/0!</v>
      </c>
      <c r="AD129" s="99" t="e">
        <f t="shared" si="791"/>
        <v>#DIV/0!</v>
      </c>
      <c r="AE129" s="100" t="e">
        <f t="shared" si="791"/>
        <v>#DIV/0!</v>
      </c>
      <c r="AF129" s="99" t="e">
        <f t="shared" ref="AF129:AG129" si="792">AF128/AF115</f>
        <v>#DIV/0!</v>
      </c>
      <c r="AG129" s="99" t="e">
        <f t="shared" si="792"/>
        <v>#DIV/0!</v>
      </c>
      <c r="AH129" s="99" t="e">
        <f t="shared" ref="AH129:BM129" si="793">AH128/AH115</f>
        <v>#DIV/0!</v>
      </c>
      <c r="AI129" s="99" t="e">
        <f t="shared" si="793"/>
        <v>#DIV/0!</v>
      </c>
      <c r="AJ129" s="100" t="e">
        <f t="shared" si="793"/>
        <v>#DIV/0!</v>
      </c>
      <c r="AK129" s="99">
        <f t="shared" si="793"/>
        <v>5.480548369874802E-2</v>
      </c>
      <c r="AL129" s="99">
        <f t="shared" si="793"/>
        <v>3.1689712128615821E-2</v>
      </c>
      <c r="AM129" s="99">
        <f t="shared" si="793"/>
        <v>1.7529785628909146E-2</v>
      </c>
      <c r="AN129" s="99">
        <f t="shared" si="793"/>
        <v>8.5766002616176115E-3</v>
      </c>
      <c r="AO129" s="100">
        <f t="shared" si="793"/>
        <v>8.5766002616176115E-3</v>
      </c>
      <c r="AP129" s="99">
        <f t="shared" si="793"/>
        <v>9.2780285400226158E-3</v>
      </c>
      <c r="AQ129" s="99">
        <f t="shared" si="793"/>
        <v>8.9222510015865408E-3</v>
      </c>
      <c r="AR129" s="99">
        <f t="shared" si="793"/>
        <v>8.9506408366921818E-3</v>
      </c>
      <c r="AS129" s="99">
        <f t="shared" si="793"/>
        <v>8.1120042915681628E-3</v>
      </c>
      <c r="AT129" s="100">
        <f t="shared" si="793"/>
        <v>8.1120042915681645E-3</v>
      </c>
      <c r="AU129" s="99">
        <f t="shared" si="793"/>
        <v>9.0207060404102427E-3</v>
      </c>
      <c r="AV129" s="99">
        <f t="shared" si="793"/>
        <v>9.7161898581754266E-3</v>
      </c>
      <c r="AW129" s="99">
        <f t="shared" si="793"/>
        <v>1.0280975282094271E-2</v>
      </c>
      <c r="AX129" s="99">
        <f t="shared" si="793"/>
        <v>8.9702027621374157E-3</v>
      </c>
      <c r="AY129" s="100">
        <f t="shared" si="793"/>
        <v>8.9702027621374157E-3</v>
      </c>
      <c r="AZ129" s="99">
        <f t="shared" si="793"/>
        <v>7.8590533277298896E-3</v>
      </c>
      <c r="BA129" s="99">
        <f t="shared" si="793"/>
        <v>6.2038855632129374E-3</v>
      </c>
      <c r="BB129" s="99">
        <f t="shared" si="793"/>
        <v>7.2637683496075576E-3</v>
      </c>
      <c r="BC129" s="99">
        <f t="shared" si="793"/>
        <v>6.8362643219632511E-3</v>
      </c>
      <c r="BD129" s="100">
        <f t="shared" si="793"/>
        <v>6.8362643219632511E-3</v>
      </c>
      <c r="BE129" s="99">
        <f t="shared" si="793"/>
        <v>5.5290247168147139E-3</v>
      </c>
      <c r="BF129" s="99">
        <f t="shared" si="793"/>
        <v>4.1884152908151489E-3</v>
      </c>
      <c r="BG129" s="99">
        <f t="shared" si="793"/>
        <v>2.80834519430906E-3</v>
      </c>
      <c r="BH129" s="99">
        <f t="shared" si="793"/>
        <v>3.2594535116317897E-3</v>
      </c>
      <c r="BI129" s="100">
        <f t="shared" si="793"/>
        <v>3.2594535116317897E-3</v>
      </c>
      <c r="BJ129" s="99">
        <f t="shared" si="793"/>
        <v>3.7301065664394149E-3</v>
      </c>
      <c r="BK129" s="99">
        <f t="shared" si="793"/>
        <v>4.2511888115755216E-3</v>
      </c>
      <c r="BL129" s="99">
        <f t="shared" si="793"/>
        <v>2.3792112215318007E-3</v>
      </c>
      <c r="BM129" s="99">
        <f t="shared" si="793"/>
        <v>4.5109863671160821E-3</v>
      </c>
      <c r="BN129" s="100">
        <f t="shared" ref="BN129:BY129" si="794">BN128/BN115</f>
        <v>4.5109863671160821E-3</v>
      </c>
      <c r="BO129" s="99">
        <f t="shared" si="794"/>
        <v>4.1280434831464426E-3</v>
      </c>
      <c r="BP129" s="99">
        <f t="shared" si="794"/>
        <v>3.57948365702004E-3</v>
      </c>
      <c r="BQ129" s="99">
        <f t="shared" si="794"/>
        <v>2.5864419017534519E-3</v>
      </c>
      <c r="BR129" s="99">
        <f t="shared" si="794"/>
        <v>4.590427351512434E-3</v>
      </c>
      <c r="BS129" s="100">
        <f t="shared" si="794"/>
        <v>4.590427351512434E-3</v>
      </c>
      <c r="BT129" s="99">
        <f t="shared" si="794"/>
        <v>3.8272686437497432E-3</v>
      </c>
      <c r="BU129" s="99">
        <f t="shared" si="794"/>
        <v>3.773347508419483E-3</v>
      </c>
      <c r="BV129" s="99">
        <f t="shared" si="794"/>
        <v>2.3316160638025547E-3</v>
      </c>
      <c r="BW129" s="99">
        <f t="shared" si="794"/>
        <v>4.5272245410318077E-3</v>
      </c>
      <c r="BX129" s="100">
        <f t="shared" si="794"/>
        <v>4.5272245410318069E-3</v>
      </c>
      <c r="BY129" s="99">
        <f t="shared" si="794"/>
        <v>3.6496469917485178E-3</v>
      </c>
      <c r="BZ129" s="99">
        <f t="shared" ref="BZ129:CB129" si="795">BZ128/BZ115</f>
        <v>4.2449742578944396E-3</v>
      </c>
      <c r="CA129" s="99">
        <f t="shared" si="795"/>
        <v>3.3447584590345588E-3</v>
      </c>
      <c r="CB129" s="99">
        <f t="shared" si="795"/>
        <v>5.432475474694433E-3</v>
      </c>
      <c r="CC129" s="100">
        <f>CC128/CC115</f>
        <v>5.432475474694433E-3</v>
      </c>
      <c r="CD129" s="99">
        <f t="shared" ref="CD129:CE129" si="796">CD128/CD115</f>
        <v>5.0556886963627964E-3</v>
      </c>
      <c r="CE129" s="99">
        <f t="shared" si="796"/>
        <v>5.9259833966948559E-3</v>
      </c>
      <c r="CF129" s="99">
        <f>CE129</f>
        <v>5.9259833966948559E-3</v>
      </c>
      <c r="CG129" s="99">
        <f>CF129</f>
        <v>5.9259833966948559E-3</v>
      </c>
      <c r="CH129" s="100">
        <f>CH128/CH115</f>
        <v>5.9259833966948559E-3</v>
      </c>
      <c r="CI129" s="99">
        <f>CG129</f>
        <v>5.9259833966948559E-3</v>
      </c>
      <c r="CJ129" s="99">
        <f>CI129</f>
        <v>5.9259833966948559E-3</v>
      </c>
      <c r="CK129" s="99">
        <f>CJ129</f>
        <v>5.9259833966948559E-3</v>
      </c>
      <c r="CL129" s="99">
        <f>CK129</f>
        <v>5.9259833966948559E-3</v>
      </c>
      <c r="CM129" s="100">
        <f>CM128/CM115</f>
        <v>5.925983396694855E-3</v>
      </c>
      <c r="CN129" s="99">
        <f>CL129</f>
        <v>5.9259833966948559E-3</v>
      </c>
      <c r="CO129" s="99">
        <f>CN129</f>
        <v>5.9259833966948559E-3</v>
      </c>
      <c r="CP129" s="99">
        <f>CO129</f>
        <v>5.9259833966948559E-3</v>
      </c>
      <c r="CQ129" s="99">
        <f>CP129</f>
        <v>5.9259833966948559E-3</v>
      </c>
      <c r="CR129" s="100">
        <f>CR128/CR115</f>
        <v>5.9259833966948559E-3</v>
      </c>
      <c r="CS129" s="99">
        <f>CQ129</f>
        <v>5.9259833966948559E-3</v>
      </c>
      <c r="CT129" s="99">
        <f>CS129</f>
        <v>5.9259833966948559E-3</v>
      </c>
      <c r="CU129" s="99">
        <f>CT129</f>
        <v>5.9259833966948559E-3</v>
      </c>
      <c r="CV129" s="99">
        <f>CU129</f>
        <v>5.9259833966948559E-3</v>
      </c>
      <c r="CW129" s="100">
        <f>CW128/CW115</f>
        <v>5.9259833966948542E-3</v>
      </c>
      <c r="CX129" s="99">
        <f>CV129</f>
        <v>5.9259833966948559E-3</v>
      </c>
      <c r="CY129" s="99">
        <f>CX129</f>
        <v>5.9259833966948559E-3</v>
      </c>
      <c r="CZ129" s="99">
        <f>CY129</f>
        <v>5.9259833966948559E-3</v>
      </c>
      <c r="DA129" s="99">
        <f>CZ129</f>
        <v>5.9259833966948559E-3</v>
      </c>
      <c r="DB129" s="100">
        <f>DB128/DB115</f>
        <v>5.925983396694855E-3</v>
      </c>
    </row>
    <row r="130" spans="1:106" ht="11.5" customHeight="1" x14ac:dyDescent="0.35">
      <c r="A130" s="19"/>
      <c r="F130" s="53"/>
      <c r="K130" s="53"/>
      <c r="P130" s="53"/>
      <c r="U130" s="53"/>
      <c r="Z130" s="53"/>
      <c r="AE130" s="53"/>
      <c r="AJ130" s="53"/>
      <c r="AO130" s="53"/>
      <c r="AT130" s="53"/>
      <c r="AY130" s="53"/>
      <c r="BD130" s="53"/>
      <c r="BI130" s="53"/>
      <c r="BN130" s="53"/>
      <c r="BS130" s="53"/>
      <c r="BX130" s="53"/>
      <c r="CC130" s="53"/>
      <c r="CH130" s="53"/>
      <c r="CM130" s="53"/>
      <c r="CR130" s="53"/>
      <c r="CW130" s="53"/>
      <c r="DB130" s="53"/>
    </row>
    <row r="131" spans="1:106" ht="11.5" customHeight="1" thickBot="1" x14ac:dyDescent="0.4">
      <c r="A131" s="34" t="s">
        <v>220</v>
      </c>
      <c r="B131" s="43" t="str">
        <f>Macro!B$3</f>
        <v>1Q10</v>
      </c>
      <c r="C131" s="43" t="str">
        <f>Macro!C$3</f>
        <v>2Q10</v>
      </c>
      <c r="D131" s="43" t="str">
        <f>Macro!D$3</f>
        <v>3Q10</v>
      </c>
      <c r="E131" s="44" t="str">
        <f>Macro!E$3</f>
        <v>4Q10</v>
      </c>
      <c r="F131" s="42" t="str">
        <f>Macro!F$3</f>
        <v>2010</v>
      </c>
      <c r="G131" s="43" t="str">
        <f>Macro!G$3</f>
        <v>1Q11</v>
      </c>
      <c r="H131" s="43" t="str">
        <f>Macro!H$3</f>
        <v>2Q11</v>
      </c>
      <c r="I131" s="43" t="str">
        <f>Macro!I$3</f>
        <v>3Q11</v>
      </c>
      <c r="J131" s="44" t="str">
        <f>Macro!J$3</f>
        <v>4Q11</v>
      </c>
      <c r="K131" s="42" t="str">
        <f>Macro!K$3</f>
        <v>2011</v>
      </c>
      <c r="L131" s="43" t="str">
        <f>Macro!L$3</f>
        <v>1Q12</v>
      </c>
      <c r="M131" s="43" t="str">
        <f>Macro!M$3</f>
        <v>2Q12</v>
      </c>
      <c r="N131" s="43" t="str">
        <f>Macro!N$3</f>
        <v>3Q12</v>
      </c>
      <c r="O131" s="44" t="str">
        <f>Macro!O$3</f>
        <v>4Q12</v>
      </c>
      <c r="P131" s="42" t="str">
        <f>Macro!P$3</f>
        <v>2012</v>
      </c>
      <c r="Q131" s="43" t="str">
        <f>Macro!Q$3</f>
        <v>1Q13</v>
      </c>
      <c r="R131" s="43" t="str">
        <f>Macro!R$3</f>
        <v>2Q13</v>
      </c>
      <c r="S131" s="43" t="str">
        <f>Macro!S$3</f>
        <v>3Q13</v>
      </c>
      <c r="T131" s="44" t="str">
        <f>Macro!T$3</f>
        <v>4Q13</v>
      </c>
      <c r="U131" s="42" t="str">
        <f>Macro!U$3</f>
        <v>2013</v>
      </c>
      <c r="V131" s="43" t="str">
        <f>Macro!V$3</f>
        <v>1Q14</v>
      </c>
      <c r="W131" s="43" t="str">
        <f>Macro!W$3</f>
        <v>2Q14</v>
      </c>
      <c r="X131" s="43" t="str">
        <f>Macro!X$3</f>
        <v>3Q14</v>
      </c>
      <c r="Y131" s="44" t="str">
        <f>Macro!Y$3</f>
        <v>4Q14</v>
      </c>
      <c r="Z131" s="42" t="str">
        <f>Macro!Z$3</f>
        <v>2014</v>
      </c>
      <c r="AA131" s="43" t="str">
        <f>Macro!AA$3</f>
        <v>1Q15</v>
      </c>
      <c r="AB131" s="43" t="str">
        <f>Macro!AB$3</f>
        <v>2Q15</v>
      </c>
      <c r="AC131" s="43" t="str">
        <f>Macro!AC$3</f>
        <v>3Q15</v>
      </c>
      <c r="AD131" s="44" t="str">
        <f>Macro!AD$3</f>
        <v>4Q15</v>
      </c>
      <c r="AE131" s="42" t="str">
        <f>Macro!AE$3</f>
        <v>2015</v>
      </c>
      <c r="AF131" s="43" t="str">
        <f>Macro!AF$3</f>
        <v>1Q16</v>
      </c>
      <c r="AG131" s="43" t="str">
        <f>Macro!AG$3</f>
        <v>2Q16</v>
      </c>
      <c r="AH131" s="43" t="str">
        <f>Macro!AH$3</f>
        <v>3Q16</v>
      </c>
      <c r="AI131" s="44" t="str">
        <f>Macro!AI$3</f>
        <v>4Q16</v>
      </c>
      <c r="AJ131" s="42" t="str">
        <f>Macro!AJ$3</f>
        <v>2016</v>
      </c>
      <c r="AK131" s="43" t="str">
        <f>Macro!AK$3</f>
        <v>1Q17</v>
      </c>
      <c r="AL131" s="43" t="str">
        <f>Macro!AL$3</f>
        <v>2Q17</v>
      </c>
      <c r="AM131" s="43" t="str">
        <f>Macro!AM$3</f>
        <v>3Q17</v>
      </c>
      <c r="AN131" s="44" t="str">
        <f>Macro!AN$3</f>
        <v>4Q17</v>
      </c>
      <c r="AO131" s="42" t="str">
        <f>Macro!AO$3</f>
        <v>2017</v>
      </c>
      <c r="AP131" s="43" t="str">
        <f>Macro!AP$3</f>
        <v>1Q18</v>
      </c>
      <c r="AQ131" s="43" t="str">
        <f>Macro!AQ$3</f>
        <v>2Q18</v>
      </c>
      <c r="AR131" s="43" t="str">
        <f>Macro!AR$3</f>
        <v>3Q18</v>
      </c>
      <c r="AS131" s="44" t="str">
        <f>Macro!AS$3</f>
        <v>4Q18</v>
      </c>
      <c r="AT131" s="42" t="str">
        <f>Macro!AT$3</f>
        <v>2018</v>
      </c>
      <c r="AU131" s="43" t="str">
        <f>Macro!AU$3</f>
        <v>1Q19</v>
      </c>
      <c r="AV131" s="43" t="str">
        <f>Macro!AV$3</f>
        <v>2Q19</v>
      </c>
      <c r="AW131" s="43" t="str">
        <f>Macro!AW$3</f>
        <v>3Q19</v>
      </c>
      <c r="AX131" s="44" t="str">
        <f>Macro!AX$3</f>
        <v>4Q19</v>
      </c>
      <c r="AY131" s="42" t="str">
        <f>Macro!AY$3</f>
        <v>2019</v>
      </c>
      <c r="AZ131" s="43" t="str">
        <f>Macro!AZ$3</f>
        <v>1Q20</v>
      </c>
      <c r="BA131" s="43" t="str">
        <f>Macro!BA$3</f>
        <v>2Q20</v>
      </c>
      <c r="BB131" s="43" t="str">
        <f>Macro!BB$3</f>
        <v>3Q20</v>
      </c>
      <c r="BC131" s="44" t="str">
        <f>Macro!BC$3</f>
        <v>4Q20</v>
      </c>
      <c r="BD131" s="42" t="str">
        <f>Macro!BD$3</f>
        <v>2020</v>
      </c>
      <c r="BE131" s="43" t="str">
        <f>Macro!BE$3</f>
        <v>1Q21</v>
      </c>
      <c r="BF131" s="43" t="str">
        <f>Macro!BF$3</f>
        <v>2Q21</v>
      </c>
      <c r="BG131" s="43" t="str">
        <f>Macro!BG$3</f>
        <v>3Q21</v>
      </c>
      <c r="BH131" s="44" t="str">
        <f>Macro!BH$3</f>
        <v>4Q21</v>
      </c>
      <c r="BI131" s="42" t="str">
        <f>Macro!BI$3</f>
        <v>2021</v>
      </c>
      <c r="BJ131" s="43" t="str">
        <f>Macro!BJ$3</f>
        <v>1Q22</v>
      </c>
      <c r="BK131" s="43" t="str">
        <f>Macro!BK$3</f>
        <v>2Q22</v>
      </c>
      <c r="BL131" s="43" t="str">
        <f>Macro!BL$3</f>
        <v>3Q22</v>
      </c>
      <c r="BM131" s="44" t="str">
        <f>Macro!BM$3</f>
        <v>4Q22</v>
      </c>
      <c r="BN131" s="42" t="str">
        <f>Macro!BN$3</f>
        <v>2022</v>
      </c>
      <c r="BO131" s="43" t="str">
        <f>Macro!BO$3</f>
        <v>1Q23</v>
      </c>
      <c r="BP131" s="43" t="str">
        <f>Macro!BP$3</f>
        <v>2Q23</v>
      </c>
      <c r="BQ131" s="43" t="str">
        <f>Macro!BQ$3</f>
        <v>3Q23</v>
      </c>
      <c r="BR131" s="44" t="str">
        <f>Macro!BR$3</f>
        <v>4Q23</v>
      </c>
      <c r="BS131" s="42" t="str">
        <f>Macro!BS$3</f>
        <v>2023</v>
      </c>
      <c r="BT131" s="43" t="str">
        <f>Macro!BT$3</f>
        <v>1Q24</v>
      </c>
      <c r="BU131" s="43" t="str">
        <f>Macro!BU$3</f>
        <v>2Q24</v>
      </c>
      <c r="BV131" s="43" t="str">
        <f>Macro!BV$3</f>
        <v>3Q24</v>
      </c>
      <c r="BW131" s="44" t="str">
        <f>Macro!BW$3</f>
        <v>4Q24</v>
      </c>
      <c r="BX131" s="42" t="str">
        <f>Macro!BX$3</f>
        <v>2024</v>
      </c>
      <c r="BY131" s="43" t="str">
        <f>Macro!BY$3</f>
        <v>1Q25</v>
      </c>
      <c r="BZ131" s="43" t="str">
        <f>Macro!BZ$3</f>
        <v>2Q25</v>
      </c>
      <c r="CA131" s="35" t="str">
        <f>Macro!CA$3</f>
        <v>3Q25</v>
      </c>
      <c r="CB131" s="35" t="str">
        <f>Macro!CB$3</f>
        <v>4Q25</v>
      </c>
      <c r="CC131" s="36" t="str">
        <f>Macro!CC$3</f>
        <v>2025</v>
      </c>
      <c r="CD131" s="35" t="str">
        <f>Macro!CD$3</f>
        <v>1Q26</v>
      </c>
      <c r="CE131" s="35" t="str">
        <f>Macro!CE$3</f>
        <v>2Q26E</v>
      </c>
      <c r="CF131" s="35" t="str">
        <f>Macro!CF$3</f>
        <v>3Q26E</v>
      </c>
      <c r="CG131" s="35" t="str">
        <f>Macro!CG$3</f>
        <v>4Q26E</v>
      </c>
      <c r="CH131" s="36" t="str">
        <f>Macro!CH$3</f>
        <v>2026E</v>
      </c>
      <c r="CI131" s="35" t="str">
        <f>Macro!CI$3</f>
        <v>1Q27E</v>
      </c>
      <c r="CJ131" s="35" t="str">
        <f>Macro!CJ$3</f>
        <v>2Q27E</v>
      </c>
      <c r="CK131" s="35" t="str">
        <f>Macro!CK$3</f>
        <v>3Q27E</v>
      </c>
      <c r="CL131" s="35" t="str">
        <f>Macro!CL$3</f>
        <v>4Q27E</v>
      </c>
      <c r="CM131" s="36" t="str">
        <f>Macro!CM$3</f>
        <v>2027E</v>
      </c>
      <c r="CN131" s="35" t="str">
        <f>Macro!CN$3</f>
        <v>1Q28E</v>
      </c>
      <c r="CO131" s="35" t="str">
        <f>Macro!CO$3</f>
        <v>2Q28E</v>
      </c>
      <c r="CP131" s="35" t="str">
        <f>Macro!CP$3</f>
        <v>3Q28E</v>
      </c>
      <c r="CQ131" s="35" t="str">
        <f>Macro!CQ$3</f>
        <v>4Q28E</v>
      </c>
      <c r="CR131" s="36" t="str">
        <f>Macro!CR$3</f>
        <v>2028E</v>
      </c>
      <c r="CS131" s="35" t="str">
        <f>Macro!CS$3</f>
        <v>1Q29E</v>
      </c>
      <c r="CT131" s="35" t="str">
        <f>Macro!CT$3</f>
        <v>2Q29E</v>
      </c>
      <c r="CU131" s="35" t="str">
        <f>Macro!CU$3</f>
        <v>3Q29E</v>
      </c>
      <c r="CV131" s="35" t="str">
        <f>Macro!CV$3</f>
        <v>4Q29E</v>
      </c>
      <c r="CW131" s="36" t="str">
        <f>Macro!CW$3</f>
        <v>2029E</v>
      </c>
      <c r="CX131" s="35" t="str">
        <f>Macro!CX$3</f>
        <v>1Q30E</v>
      </c>
      <c r="CY131" s="35" t="str">
        <f>Macro!CY$3</f>
        <v>2Q30E</v>
      </c>
      <c r="CZ131" s="35" t="str">
        <f>Macro!CZ$3</f>
        <v>3Q30E</v>
      </c>
      <c r="DA131" s="35" t="str">
        <f>Macro!DA$3</f>
        <v>4Q30E</v>
      </c>
      <c r="DB131" s="36" t="str">
        <f>Macro!DB$3</f>
        <v>2030E</v>
      </c>
    </row>
    <row r="132" spans="1:106" ht="11.5" customHeight="1" x14ac:dyDescent="0.35">
      <c r="A132" s="19" t="s">
        <v>213</v>
      </c>
      <c r="B132" s="92">
        <f t="shared" ref="B132:AE132" si="797">B65+B51+B58+B59</f>
        <v>0</v>
      </c>
      <c r="C132" s="92">
        <f t="shared" si="797"/>
        <v>0</v>
      </c>
      <c r="D132" s="92">
        <f t="shared" si="797"/>
        <v>0</v>
      </c>
      <c r="E132" s="92">
        <f t="shared" si="797"/>
        <v>0</v>
      </c>
      <c r="F132" s="93">
        <f t="shared" si="797"/>
        <v>0</v>
      </c>
      <c r="G132" s="92">
        <f t="shared" si="797"/>
        <v>0</v>
      </c>
      <c r="H132" s="92">
        <f t="shared" si="797"/>
        <v>0</v>
      </c>
      <c r="I132" s="92">
        <f t="shared" si="797"/>
        <v>0</v>
      </c>
      <c r="J132" s="92">
        <f t="shared" si="797"/>
        <v>0</v>
      </c>
      <c r="K132" s="93">
        <f t="shared" si="797"/>
        <v>0</v>
      </c>
      <c r="L132" s="92">
        <f t="shared" si="797"/>
        <v>0</v>
      </c>
      <c r="M132" s="92">
        <f t="shared" si="797"/>
        <v>0</v>
      </c>
      <c r="N132" s="92">
        <f t="shared" si="797"/>
        <v>0</v>
      </c>
      <c r="O132" s="92">
        <f t="shared" si="797"/>
        <v>0</v>
      </c>
      <c r="P132" s="93">
        <f t="shared" si="797"/>
        <v>0</v>
      </c>
      <c r="Q132" s="92">
        <f t="shared" si="797"/>
        <v>0</v>
      </c>
      <c r="R132" s="92">
        <f t="shared" si="797"/>
        <v>0</v>
      </c>
      <c r="S132" s="92">
        <f t="shared" si="797"/>
        <v>0</v>
      </c>
      <c r="T132" s="92">
        <f t="shared" si="797"/>
        <v>0</v>
      </c>
      <c r="U132" s="93">
        <f t="shared" si="797"/>
        <v>0</v>
      </c>
      <c r="V132" s="92">
        <f t="shared" si="797"/>
        <v>0</v>
      </c>
      <c r="W132" s="92">
        <f t="shared" si="797"/>
        <v>0</v>
      </c>
      <c r="X132" s="92">
        <f t="shared" si="797"/>
        <v>0</v>
      </c>
      <c r="Y132" s="92">
        <f t="shared" si="797"/>
        <v>0</v>
      </c>
      <c r="Z132" s="93">
        <f t="shared" si="797"/>
        <v>0</v>
      </c>
      <c r="AA132" s="92">
        <f t="shared" si="797"/>
        <v>0</v>
      </c>
      <c r="AB132" s="92">
        <f t="shared" si="797"/>
        <v>0</v>
      </c>
      <c r="AC132" s="92">
        <f t="shared" si="797"/>
        <v>0</v>
      </c>
      <c r="AD132" s="92">
        <f t="shared" si="797"/>
        <v>0</v>
      </c>
      <c r="AE132" s="93">
        <f t="shared" si="797"/>
        <v>0</v>
      </c>
      <c r="AF132" s="92">
        <f t="shared" ref="AF132:AG132" si="798">AF65+AF51+AF58+AF59</f>
        <v>0</v>
      </c>
      <c r="AG132" s="92">
        <f t="shared" si="798"/>
        <v>0</v>
      </c>
      <c r="AH132" s="92">
        <f t="shared" ref="AH132:BM132" si="799">AH65+AH51+AH58+AH59</f>
        <v>0</v>
      </c>
      <c r="AI132" s="92">
        <f t="shared" si="799"/>
        <v>0</v>
      </c>
      <c r="AJ132" s="93">
        <f t="shared" si="799"/>
        <v>0</v>
      </c>
      <c r="AK132" s="92">
        <f t="shared" si="799"/>
        <v>591567</v>
      </c>
      <c r="AL132" s="92">
        <f t="shared" si="799"/>
        <v>595540</v>
      </c>
      <c r="AM132" s="92">
        <f t="shared" si="799"/>
        <v>644543</v>
      </c>
      <c r="AN132" s="92">
        <f t="shared" si="799"/>
        <v>558024</v>
      </c>
      <c r="AO132" s="93">
        <f t="shared" si="799"/>
        <v>558024</v>
      </c>
      <c r="AP132" s="92">
        <f t="shared" si="799"/>
        <v>546298</v>
      </c>
      <c r="AQ132" s="92">
        <f t="shared" si="799"/>
        <v>559635</v>
      </c>
      <c r="AR132" s="92">
        <f t="shared" si="799"/>
        <v>725573</v>
      </c>
      <c r="AS132" s="92">
        <f t="shared" si="799"/>
        <v>640138</v>
      </c>
      <c r="AT132" s="93">
        <f t="shared" si="799"/>
        <v>640138</v>
      </c>
      <c r="AU132" s="92">
        <f t="shared" si="799"/>
        <v>632760</v>
      </c>
      <c r="AV132" s="92">
        <f t="shared" si="799"/>
        <v>694430</v>
      </c>
      <c r="AW132" s="92">
        <f t="shared" si="799"/>
        <v>734122</v>
      </c>
      <c r="AX132" s="92">
        <f t="shared" si="799"/>
        <v>683040</v>
      </c>
      <c r="AY132" s="93">
        <f t="shared" si="799"/>
        <v>683040</v>
      </c>
      <c r="AZ132" s="92">
        <f t="shared" si="799"/>
        <v>698600</v>
      </c>
      <c r="BA132" s="92">
        <f t="shared" si="799"/>
        <v>776562</v>
      </c>
      <c r="BB132" s="92">
        <f t="shared" si="799"/>
        <v>944477</v>
      </c>
      <c r="BC132" s="92">
        <f t="shared" si="799"/>
        <v>926611</v>
      </c>
      <c r="BD132" s="93">
        <f t="shared" si="799"/>
        <v>926611</v>
      </c>
      <c r="BE132" s="92">
        <f t="shared" si="799"/>
        <v>975246</v>
      </c>
      <c r="BF132" s="92">
        <f t="shared" si="799"/>
        <v>962422</v>
      </c>
      <c r="BG132" s="92">
        <f t="shared" si="799"/>
        <v>1148168</v>
      </c>
      <c r="BH132" s="92">
        <f t="shared" si="799"/>
        <v>1129556</v>
      </c>
      <c r="BI132" s="93">
        <f t="shared" si="799"/>
        <v>1129556</v>
      </c>
      <c r="BJ132" s="92">
        <f t="shared" si="799"/>
        <v>1183004</v>
      </c>
      <c r="BK132" s="92">
        <f t="shared" si="799"/>
        <v>1195218</v>
      </c>
      <c r="BL132" s="92">
        <f t="shared" si="799"/>
        <v>1328354</v>
      </c>
      <c r="BM132" s="92">
        <f t="shared" si="799"/>
        <v>1358736</v>
      </c>
      <c r="BN132" s="93">
        <f t="shared" ref="BN132:CS132" si="800">BN65+BN51+BN58+BN59</f>
        <v>1358736</v>
      </c>
      <c r="BO132" s="92">
        <f t="shared" si="800"/>
        <v>1444170</v>
      </c>
      <c r="BP132" s="92">
        <f t="shared" si="800"/>
        <v>1602094</v>
      </c>
      <c r="BQ132" s="92">
        <f t="shared" si="800"/>
        <v>1701883</v>
      </c>
      <c r="BR132" s="92">
        <f t="shared" si="800"/>
        <v>1610332</v>
      </c>
      <c r="BS132" s="93">
        <f t="shared" si="800"/>
        <v>1610332</v>
      </c>
      <c r="BT132" s="92">
        <f t="shared" si="800"/>
        <v>1760332</v>
      </c>
      <c r="BU132" s="92">
        <f t="shared" si="800"/>
        <v>2133708</v>
      </c>
      <c r="BV132" s="92">
        <f t="shared" si="800"/>
        <v>2335845</v>
      </c>
      <c r="BW132" s="92">
        <f t="shared" si="800"/>
        <v>2295921</v>
      </c>
      <c r="BX132" s="93">
        <f t="shared" si="800"/>
        <v>2295921</v>
      </c>
      <c r="BY132" s="92">
        <f t="shared" si="800"/>
        <v>2644295</v>
      </c>
      <c r="BZ132" s="92">
        <f t="shared" ref="BZ132:CA132" si="801">BZ65+BZ51+BZ58+BZ59</f>
        <v>2881406</v>
      </c>
      <c r="CA132" s="92">
        <f t="shared" si="801"/>
        <v>2965115</v>
      </c>
      <c r="CB132" s="92">
        <f t="shared" si="800"/>
        <v>3136941</v>
      </c>
      <c r="CC132" s="93">
        <f t="shared" si="800"/>
        <v>3136941</v>
      </c>
      <c r="CD132" s="92">
        <f t="shared" ref="CD132:CE132" si="802">CD65+CD51+CD58+CD59</f>
        <v>3242386</v>
      </c>
      <c r="CE132" s="92">
        <f t="shared" si="802"/>
        <v>3391996</v>
      </c>
      <c r="CF132" s="92">
        <f t="shared" ca="1" si="800"/>
        <v>3528820.2729612491</v>
      </c>
      <c r="CG132" s="92">
        <f t="shared" ca="1" si="800"/>
        <v>3665717.9192932462</v>
      </c>
      <c r="CH132" s="93">
        <f t="shared" ca="1" si="800"/>
        <v>3665717.9192932462</v>
      </c>
      <c r="CI132" s="92">
        <f t="shared" ca="1" si="800"/>
        <v>3914970.6597229745</v>
      </c>
      <c r="CJ132" s="92">
        <f t="shared" ca="1" si="800"/>
        <v>4143657.601265206</v>
      </c>
      <c r="CK132" s="92">
        <f t="shared" ca="1" si="800"/>
        <v>4317258.4267059956</v>
      </c>
      <c r="CL132" s="92">
        <f t="shared" ca="1" si="800"/>
        <v>4441718.351582027</v>
      </c>
      <c r="CM132" s="93">
        <f t="shared" ca="1" si="800"/>
        <v>4441718.351582027</v>
      </c>
      <c r="CN132" s="92">
        <f t="shared" ca="1" si="800"/>
        <v>4670836.178058763</v>
      </c>
      <c r="CO132" s="92">
        <f t="shared" ca="1" si="800"/>
        <v>4765080.1382163279</v>
      </c>
      <c r="CP132" s="92">
        <f t="shared" ca="1" si="800"/>
        <v>4829504.2876000153</v>
      </c>
      <c r="CQ132" s="92">
        <f t="shared" ca="1" si="800"/>
        <v>4903426.40538147</v>
      </c>
      <c r="CR132" s="93">
        <f t="shared" ca="1" si="800"/>
        <v>4903426.40538147</v>
      </c>
      <c r="CS132" s="92">
        <f t="shared" ca="1" si="800"/>
        <v>5092925.059606526</v>
      </c>
      <c r="CT132" s="92">
        <f t="shared" ref="CT132:DB132" ca="1" si="803">CT65+CT51+CT58+CT59</f>
        <v>5178800.3347397996</v>
      </c>
      <c r="CU132" s="92">
        <f t="shared" ca="1" si="803"/>
        <v>5234659.0701894229</v>
      </c>
      <c r="CV132" s="92">
        <f t="shared" ca="1" si="803"/>
        <v>5289888.7756921789</v>
      </c>
      <c r="CW132" s="93">
        <f t="shared" ca="1" si="803"/>
        <v>5289888.7756921789</v>
      </c>
      <c r="CX132" s="92">
        <f t="shared" ca="1" si="803"/>
        <v>5480794.9208753444</v>
      </c>
      <c r="CY132" s="92">
        <f t="shared" ca="1" si="803"/>
        <v>5555683.2434109999</v>
      </c>
      <c r="CZ132" s="92">
        <f t="shared" ca="1" si="803"/>
        <v>5599156.6714188475</v>
      </c>
      <c r="DA132" s="92">
        <f t="shared" ca="1" si="803"/>
        <v>5642251.0079326918</v>
      </c>
      <c r="DB132" s="93">
        <f t="shared" ca="1" si="803"/>
        <v>5642251.0079326918</v>
      </c>
    </row>
    <row r="133" spans="1:106" ht="11.5" customHeight="1" x14ac:dyDescent="0.35">
      <c r="A133" s="157" t="s">
        <v>25</v>
      </c>
      <c r="B133" s="464" t="e">
        <f>(IS!B63+IS!B71)/B132*4</f>
        <v>#DIV/0!</v>
      </c>
      <c r="C133" s="464" t="e">
        <f>(IS!C63+IS!C71)/C132*4</f>
        <v>#DIV/0!</v>
      </c>
      <c r="D133" s="464" t="e">
        <f>(IS!D63+IS!D71)/D132*4</f>
        <v>#DIV/0!</v>
      </c>
      <c r="E133" s="464" t="e">
        <f>(IS!E63+IS!E71)/E132*4</f>
        <v>#DIV/0!</v>
      </c>
      <c r="F133" s="465" t="e">
        <f>(IS!F63+IS!F71)/AVERAGE(B132:E132)</f>
        <v>#DIV/0!</v>
      </c>
      <c r="G133" s="464" t="e">
        <f>(IS!G63+IS!G71)/G132*4</f>
        <v>#DIV/0!</v>
      </c>
      <c r="H133" s="464" t="e">
        <f>(IS!H63+IS!H71)/H132*4</f>
        <v>#DIV/0!</v>
      </c>
      <c r="I133" s="464" t="e">
        <f>(IS!I63+IS!I71)/I132*4</f>
        <v>#DIV/0!</v>
      </c>
      <c r="J133" s="464" t="e">
        <f>(IS!J63+IS!J71)/J132*4</f>
        <v>#DIV/0!</v>
      </c>
      <c r="K133" s="465" t="e">
        <f>(IS!K63+IS!K71)/AVERAGE(G132:J132)</f>
        <v>#DIV/0!</v>
      </c>
      <c r="L133" s="464" t="e">
        <f>(IS!L63+IS!L71)/L132*4</f>
        <v>#DIV/0!</v>
      </c>
      <c r="M133" s="464" t="e">
        <f>(IS!M63+IS!M71)/M132*4</f>
        <v>#DIV/0!</v>
      </c>
      <c r="N133" s="464" t="e">
        <f>(IS!N63+IS!N71)/N132*4</f>
        <v>#DIV/0!</v>
      </c>
      <c r="O133" s="464" t="e">
        <f>(IS!O63+IS!O71)/O132*4</f>
        <v>#DIV/0!</v>
      </c>
      <c r="P133" s="465" t="e">
        <f>(IS!P63+IS!P71)/AVERAGE(L132:O132)</f>
        <v>#DIV/0!</v>
      </c>
      <c r="Q133" s="464" t="e">
        <f>(IS!Q63+IS!Q71)/Q132*4</f>
        <v>#DIV/0!</v>
      </c>
      <c r="R133" s="464" t="e">
        <f>(IS!R63+IS!R71)/R132*4</f>
        <v>#DIV/0!</v>
      </c>
      <c r="S133" s="464" t="e">
        <f>(IS!S63+IS!S71)/S132*4</f>
        <v>#DIV/0!</v>
      </c>
      <c r="T133" s="464" t="e">
        <f>(IS!T63+IS!T71)/T132*4</f>
        <v>#DIV/0!</v>
      </c>
      <c r="U133" s="465" t="e">
        <f>(IS!U63+IS!U71)/AVERAGE(Q132:T132)</f>
        <v>#DIV/0!</v>
      </c>
      <c r="V133" s="464" t="e">
        <f>(IS!V63+IS!V71)/V132*4</f>
        <v>#DIV/0!</v>
      </c>
      <c r="W133" s="464" t="e">
        <f>(IS!W63+IS!W71)/W132*4</f>
        <v>#DIV/0!</v>
      </c>
      <c r="X133" s="464" t="e">
        <f>(IS!X63+IS!X71)/X132*4</f>
        <v>#DIV/0!</v>
      </c>
      <c r="Y133" s="464" t="e">
        <f>(IS!Y63+IS!Y71)/Y132*4</f>
        <v>#DIV/0!</v>
      </c>
      <c r="Z133" s="465" t="e">
        <f>(IS!Z63+IS!Z71)/AVERAGE(V132:Y132)</f>
        <v>#DIV/0!</v>
      </c>
      <c r="AA133" s="464" t="e">
        <f>(IS!AA63+IS!AA71)/AA132*4</f>
        <v>#DIV/0!</v>
      </c>
      <c r="AB133" s="464" t="e">
        <f>(IS!AB63+IS!AB71)/AB132*4</f>
        <v>#DIV/0!</v>
      </c>
      <c r="AC133" s="464" t="e">
        <f>(IS!AC63+IS!AC71)/AC132*4</f>
        <v>#DIV/0!</v>
      </c>
      <c r="AD133" s="464" t="e">
        <f>(IS!AD63+IS!AD71)/AD132*4</f>
        <v>#DIV/0!</v>
      </c>
      <c r="AE133" s="465" t="e">
        <f>(IS!AE63+IS!AE71)/AVERAGE(AA132:AD132)</f>
        <v>#DIV/0!</v>
      </c>
      <c r="AF133" s="464" t="e">
        <f>(IS!AF63+IS!AF71)/AF132*4</f>
        <v>#DIV/0!</v>
      </c>
      <c r="AG133" s="464" t="e">
        <f>(IS!AG63+IS!AG71)/AG132*4</f>
        <v>#DIV/0!</v>
      </c>
      <c r="AH133" s="464" t="e">
        <f>(IS!AH63+IS!AH71)/AH132*4</f>
        <v>#DIV/0!</v>
      </c>
      <c r="AI133" s="464" t="e">
        <f>(IS!AI63+IS!AI71)/AI132*4</f>
        <v>#DIV/0!</v>
      </c>
      <c r="AJ133" s="465" t="e">
        <f>(IS!AJ63+IS!AJ71)/AVERAGE(AF132:AI132)</f>
        <v>#DIV/0!</v>
      </c>
      <c r="AK133" s="464">
        <f>(IS!AK63+IS!AK71)/AK132*4</f>
        <v>6.9495762948237561E-2</v>
      </c>
      <c r="AL133" s="464">
        <f>(IS!AL63+IS!AL71)/AL132*4</f>
        <v>0.10104844007119565</v>
      </c>
      <c r="AM133" s="464">
        <f>(IS!AM63+IS!AM71)/AM132*4</f>
        <v>0.25114377783949271</v>
      </c>
      <c r="AN133" s="464">
        <f>(IS!AN63+IS!AN71)/AN132*4</f>
        <v>0.33608355913007365</v>
      </c>
      <c r="AO133" s="465">
        <f>(IS!AO63+IS!AO71)/AVERAGE(AK132:AN132)</f>
        <v>0.18860540977555945</v>
      </c>
      <c r="AP133" s="464">
        <f>(IS!AP63+IS!AP71)/AP132*4</f>
        <v>0.13398753061515875</v>
      </c>
      <c r="AQ133" s="464">
        <f>(IS!AQ63+IS!AQ71)/AQ132*4</f>
        <v>0.25420527307977514</v>
      </c>
      <c r="AR133" s="464">
        <f>(IS!AR63+IS!AR71)/AR132*4</f>
        <v>0.31382845833568807</v>
      </c>
      <c r="AS133" s="464">
        <f>(IS!AS63+IS!AS71)/AS132*4</f>
        <v>0.39526559585589349</v>
      </c>
      <c r="AT133" s="465">
        <f>(IS!AT63+IS!AT71)/AVERAGE(AP132:AS132)</f>
        <v>0.28167052860363384</v>
      </c>
      <c r="AU133" s="464">
        <f>(IS!AU63+IS!AU71)/AU132*4</f>
        <v>0.16500410898286871</v>
      </c>
      <c r="AV133" s="464">
        <f>(IS!AV63+IS!AV71)/AV132*4</f>
        <v>0.43813199314545742</v>
      </c>
      <c r="AW133" s="464">
        <f>(IS!AW63+IS!AW71)/AW132*4</f>
        <v>0.24543059600447881</v>
      </c>
      <c r="AX133" s="464">
        <f>(IS!AX63+IS!AX71)/AX132*4</f>
        <v>0.42809205903021785</v>
      </c>
      <c r="AY133" s="465">
        <f>(IS!AY63+IS!AY71)/AVERAGE(AU132:AX132)</f>
        <v>0.32111041149240332</v>
      </c>
      <c r="AZ133" s="464">
        <f>(IS!AZ63+IS!AZ71)/AZ132*4</f>
        <v>0.10401946750644145</v>
      </c>
      <c r="BA133" s="464">
        <f>(IS!BA63+IS!BA71)/BA132*4</f>
        <v>0.23382550266430754</v>
      </c>
      <c r="BB133" s="464">
        <f>(IS!BB63+IS!BB71)/BB132*4</f>
        <v>0.25622222669265637</v>
      </c>
      <c r="BC133" s="464">
        <f>(IS!BC63+IS!BC71)/BC132*4</f>
        <v>0.33067597945631988</v>
      </c>
      <c r="BD133" s="465">
        <f>(IS!BD63+IS!BD71)/AVERAGE(AZ132:BC132)</f>
        <v>0.23986611878968994</v>
      </c>
      <c r="BE133" s="464">
        <f>(IS!BE63+IS!BE71)/BE132*4</f>
        <v>0.23003836980618222</v>
      </c>
      <c r="BF133" s="464">
        <f>(IS!BF63+IS!BF71)/BF132*4</f>
        <v>0.33558251993408295</v>
      </c>
      <c r="BG133" s="464">
        <f>(IS!BG63+IS!BG71)/BG132*4</f>
        <v>0.26826387776004906</v>
      </c>
      <c r="BH133" s="464">
        <f>(IS!BH63+IS!BH71)/BH132*4</f>
        <v>0.44835669944650819</v>
      </c>
      <c r="BI133" s="465">
        <f>(IS!BI63+IS!BI71)/AVERAGE(BE132:BH132)</f>
        <v>0.32304753626708976</v>
      </c>
      <c r="BJ133" s="464">
        <f>(IS!BJ63+IS!BJ71)/BJ132*4</f>
        <v>0.23112009764971209</v>
      </c>
      <c r="BK133" s="464">
        <f>(IS!BK63+IS!BK71)/BK132*4</f>
        <v>0.32882034909112817</v>
      </c>
      <c r="BL133" s="464">
        <f>(IS!BL63+IS!BL71)/BL132*4</f>
        <v>0.29829397886406789</v>
      </c>
      <c r="BM133" s="464">
        <f>(IS!BM63+IS!BM71)/BM132*4</f>
        <v>0.32416893347935138</v>
      </c>
      <c r="BN133" s="465">
        <f>(IS!BN63+IS!BN71)/AVERAGE(BJ132:BM132)</f>
        <v>0.2967493414028593</v>
      </c>
      <c r="BO133" s="464">
        <f>(IS!BO63+IS!BO71)/BO132*4</f>
        <v>0.2794934114404814</v>
      </c>
      <c r="BP133" s="464">
        <f>(IS!BP63+IS!BP71)/BP132*4</f>
        <v>0.32554893782761812</v>
      </c>
      <c r="BQ133" s="464">
        <f>(IS!BQ63+IS!BQ71)/BQ132*4</f>
        <v>0.27785928879952382</v>
      </c>
      <c r="BR133" s="464">
        <f>(IS!BR63+IS!BR71)/BR132*4</f>
        <v>0.40816179520744789</v>
      </c>
      <c r="BS133" s="465">
        <f>(IS!BS63+IS!BS71)/AVERAGE(BO132:BR132)</f>
        <v>0.32324648709227471</v>
      </c>
      <c r="BT133" s="464">
        <f>(IS!BT63+IS!BT71)/BT132*4</f>
        <v>0.36253161335475353</v>
      </c>
      <c r="BU133" s="464">
        <f>(IS!BU63+IS!BU71)/BU132*4</f>
        <v>0.33810062107842309</v>
      </c>
      <c r="BV133" s="464">
        <f>(IS!BV63+IS!BV71)/BV132*4</f>
        <v>0.31997328589867907</v>
      </c>
      <c r="BW133" s="464">
        <f>(IS!BW63+IS!BW71)/BW132*4</f>
        <v>0.35361843896196776</v>
      </c>
      <c r="BX133" s="465">
        <f>(IS!BX63+IS!BX71)/AVERAGE(BT132:BW132)</f>
        <v>0.34235730909194978</v>
      </c>
      <c r="BY133" s="464">
        <f>(IS!BY63+IS!BY71)/BY132*4</f>
        <v>0.37706382986769632</v>
      </c>
      <c r="BZ133" s="464">
        <f>(IS!BZ63+IS!BZ71)/BZ132*4</f>
        <v>0.3958498038804667</v>
      </c>
      <c r="CA133" s="464">
        <f>(IS!CA63+IS!CA71)/CA132*4</f>
        <v>0.39457626432701598</v>
      </c>
      <c r="CB133" s="464">
        <f>(IS!CB63+IS!CB71)/CB132*4</f>
        <v>0.39183523056378811</v>
      </c>
      <c r="CC133" s="465">
        <f>(IS!CC63+IS!CC71)/AVERAGE(BY132:CB132)</f>
        <v>0.39016983241049841</v>
      </c>
      <c r="CD133" s="464">
        <f>(IS!CD63+IS!CD71)/CD132*4</f>
        <v>0.44887437831276106</v>
      </c>
      <c r="CE133" s="464">
        <f>(IS!CE63+IS!CE71)/CE132*4</f>
        <v>0.39808065811398363</v>
      </c>
      <c r="CF133" s="464">
        <f ca="1">(IS!CF63+IS!CF71)/CF132*4</f>
        <v>0.39897721222805504</v>
      </c>
      <c r="CG133" s="464">
        <f ca="1">(IS!CG63+IS!CG71)/CG132*4</f>
        <v>0.41515623974819077</v>
      </c>
      <c r="CH133" s="465">
        <f ca="1">(IS!CH63+IS!CH71)/AVERAGE(CD132:CG132)</f>
        <v>0.41474507500040952</v>
      </c>
      <c r="CI133" s="464">
        <f ca="1">(IS!CI63+IS!CI71)/CI132*4</f>
        <v>0.40794108717026334</v>
      </c>
      <c r="CJ133" s="464">
        <f ca="1">(IS!CJ63+IS!CJ71)/CJ132*4</f>
        <v>0.41327134530291976</v>
      </c>
      <c r="CK133" s="464">
        <f ca="1">(IS!CK63+IS!CK71)/CK132*4</f>
        <v>0.43340036899158041</v>
      </c>
      <c r="CL133" s="464">
        <f ca="1">(IS!CL63+IS!CL71)/CL132*4</f>
        <v>0.41203511062751269</v>
      </c>
      <c r="CM133" s="465">
        <f ca="1">(IS!CM63+IS!CM71)/AVERAGE(CI132:CL132)</f>
        <v>0.41687134581173912</v>
      </c>
      <c r="CN133" s="464">
        <f ca="1">(IS!CN63+IS!CN71)/CN132*4</f>
        <v>0.42599896596310721</v>
      </c>
      <c r="CO133" s="464">
        <f ca="1">(IS!CO63+IS!CO71)/CO132*4</f>
        <v>0.40770549903963244</v>
      </c>
      <c r="CP133" s="464">
        <f ca="1">(IS!CP63+IS!CP71)/CP132*4</f>
        <v>0.42643165109386044</v>
      </c>
      <c r="CQ133" s="464">
        <f ca="1">(IS!CQ63+IS!CQ71)/CQ132*4</f>
        <v>0.42281223277518215</v>
      </c>
      <c r="CR133" s="465">
        <f ca="1">(IS!CR63+IS!CR71)/AVERAGE(CN132:CQ132)</f>
        <v>0.42074533266873315</v>
      </c>
      <c r="CS133" s="464">
        <f ca="1">(IS!CS63+IS!CS71)/CS132*4</f>
        <v>0.42165049591842529</v>
      </c>
      <c r="CT133" s="464">
        <f ca="1">(IS!CT63+IS!CT71)/CT132*4</f>
        <v>0.39873754585204085</v>
      </c>
      <c r="CU133" s="464">
        <f ca="1">(IS!CU63+IS!CU71)/CU132*4</f>
        <v>0.41417439538873552</v>
      </c>
      <c r="CV133" s="464">
        <f ca="1">(IS!CV63+IS!CV71)/CV132*4</f>
        <v>0.41023638202823709</v>
      </c>
      <c r="CW133" s="465">
        <f ca="1">(IS!CW63+IS!CW71)/AVERAGE(CS132:CV132)</f>
        <v>0.41115939391409129</v>
      </c>
      <c r="CX133" s="464">
        <f ca="1">(IS!CX63+IS!CX71)/CX132*4</f>
        <v>0.41523521174158967</v>
      </c>
      <c r="CY133" s="464">
        <f ca="1">(IS!CY63+IS!CY71)/CY132*4</f>
        <v>0.3927329385928422</v>
      </c>
      <c r="CZ133" s="464">
        <f ca="1">(IS!CZ63+IS!CZ71)/CZ132*4</f>
        <v>0.40770996673308346</v>
      </c>
      <c r="DA133" s="464">
        <f ca="1">(IS!DA63+IS!DA71)/DA132*4</f>
        <v>0.40404929069150397</v>
      </c>
      <c r="DB133" s="465">
        <f ca="1">(IS!DB63+IS!DB71)/AVERAGE(CX132:DA132)</f>
        <v>0.40489920842420801</v>
      </c>
    </row>
    <row r="134" spans="1:106" ht="11.5" customHeight="1" x14ac:dyDescent="0.35">
      <c r="A134" s="19" t="s">
        <v>251</v>
      </c>
      <c r="B134" s="92">
        <f t="shared" ref="B134:AE134" si="804">B43</f>
        <v>0</v>
      </c>
      <c r="C134" s="92">
        <f t="shared" si="804"/>
        <v>0</v>
      </c>
      <c r="D134" s="92">
        <f t="shared" si="804"/>
        <v>0</v>
      </c>
      <c r="E134" s="92">
        <f t="shared" si="804"/>
        <v>0</v>
      </c>
      <c r="F134" s="93">
        <f t="shared" si="804"/>
        <v>0</v>
      </c>
      <c r="G134" s="92">
        <f t="shared" si="804"/>
        <v>0</v>
      </c>
      <c r="H134" s="92">
        <f t="shared" si="804"/>
        <v>0</v>
      </c>
      <c r="I134" s="92">
        <f t="shared" si="804"/>
        <v>0</v>
      </c>
      <c r="J134" s="92">
        <f t="shared" si="804"/>
        <v>0</v>
      </c>
      <c r="K134" s="93">
        <f t="shared" si="804"/>
        <v>0</v>
      </c>
      <c r="L134" s="92">
        <f t="shared" si="804"/>
        <v>0</v>
      </c>
      <c r="M134" s="92">
        <f t="shared" si="804"/>
        <v>0</v>
      </c>
      <c r="N134" s="92">
        <f t="shared" si="804"/>
        <v>0</v>
      </c>
      <c r="O134" s="92">
        <f t="shared" si="804"/>
        <v>0</v>
      </c>
      <c r="P134" s="93">
        <f t="shared" si="804"/>
        <v>0</v>
      </c>
      <c r="Q134" s="92">
        <f t="shared" si="804"/>
        <v>0</v>
      </c>
      <c r="R134" s="92">
        <f t="shared" si="804"/>
        <v>0</v>
      </c>
      <c r="S134" s="92">
        <f t="shared" si="804"/>
        <v>0</v>
      </c>
      <c r="T134" s="92">
        <f t="shared" si="804"/>
        <v>0</v>
      </c>
      <c r="U134" s="93">
        <f t="shared" si="804"/>
        <v>0</v>
      </c>
      <c r="V134" s="92">
        <f t="shared" si="804"/>
        <v>0</v>
      </c>
      <c r="W134" s="92">
        <f t="shared" si="804"/>
        <v>0</v>
      </c>
      <c r="X134" s="92">
        <f t="shared" si="804"/>
        <v>0</v>
      </c>
      <c r="Y134" s="92">
        <f t="shared" si="804"/>
        <v>0</v>
      </c>
      <c r="Z134" s="93">
        <f t="shared" si="804"/>
        <v>0</v>
      </c>
      <c r="AA134" s="92">
        <f t="shared" si="804"/>
        <v>0</v>
      </c>
      <c r="AB134" s="92">
        <f t="shared" si="804"/>
        <v>0</v>
      </c>
      <c r="AC134" s="92">
        <f t="shared" si="804"/>
        <v>0</v>
      </c>
      <c r="AD134" s="92">
        <f t="shared" si="804"/>
        <v>0</v>
      </c>
      <c r="AE134" s="93">
        <f t="shared" si="804"/>
        <v>0</v>
      </c>
      <c r="AF134" s="92">
        <f t="shared" ref="AF134:AG134" si="805">AF43</f>
        <v>0</v>
      </c>
      <c r="AG134" s="92">
        <f t="shared" si="805"/>
        <v>0</v>
      </c>
      <c r="AH134" s="92">
        <f t="shared" ref="AH134:BM134" si="806">AH43</f>
        <v>0</v>
      </c>
      <c r="AI134" s="92">
        <f t="shared" si="806"/>
        <v>0</v>
      </c>
      <c r="AJ134" s="93">
        <f t="shared" si="806"/>
        <v>0</v>
      </c>
      <c r="AK134" s="92">
        <f t="shared" si="806"/>
        <v>241684</v>
      </c>
      <c r="AL134" s="92">
        <f t="shared" si="806"/>
        <v>261297</v>
      </c>
      <c r="AM134" s="92">
        <f t="shared" si="806"/>
        <v>294924</v>
      </c>
      <c r="AN134" s="92">
        <f t="shared" si="806"/>
        <v>212154</v>
      </c>
      <c r="AO134" s="93">
        <f t="shared" si="806"/>
        <v>212154</v>
      </c>
      <c r="AP134" s="92">
        <f t="shared" si="806"/>
        <v>272711</v>
      </c>
      <c r="AQ134" s="92">
        <f t="shared" si="806"/>
        <v>304266</v>
      </c>
      <c r="AR134" s="92">
        <f t="shared" si="806"/>
        <v>312852</v>
      </c>
      <c r="AS134" s="92">
        <f t="shared" si="806"/>
        <v>212883</v>
      </c>
      <c r="AT134" s="93">
        <f t="shared" si="806"/>
        <v>212883</v>
      </c>
      <c r="AU134" s="92">
        <f t="shared" si="806"/>
        <v>231260</v>
      </c>
      <c r="AV134" s="92">
        <f t="shared" si="806"/>
        <v>292333</v>
      </c>
      <c r="AW134" s="92">
        <f t="shared" si="806"/>
        <v>322641</v>
      </c>
      <c r="AX134" s="92">
        <f t="shared" si="806"/>
        <v>213615</v>
      </c>
      <c r="AY134" s="93">
        <f t="shared" si="806"/>
        <v>213615</v>
      </c>
      <c r="AZ134" s="92">
        <f t="shared" si="806"/>
        <v>220114</v>
      </c>
      <c r="BA134" s="92">
        <f t="shared" si="806"/>
        <v>257103</v>
      </c>
      <c r="BB134" s="92">
        <f t="shared" si="806"/>
        <v>459687</v>
      </c>
      <c r="BC134" s="92">
        <f t="shared" si="806"/>
        <v>489464</v>
      </c>
      <c r="BD134" s="93">
        <f t="shared" si="806"/>
        <v>489464</v>
      </c>
      <c r="BE134" s="92">
        <f t="shared" si="806"/>
        <v>539457</v>
      </c>
      <c r="BF134" s="92">
        <f t="shared" si="806"/>
        <v>541253</v>
      </c>
      <c r="BG134" s="92">
        <f t="shared" si="806"/>
        <v>608658</v>
      </c>
      <c r="BH134" s="92">
        <f t="shared" si="806"/>
        <v>591098</v>
      </c>
      <c r="BI134" s="93">
        <f t="shared" si="806"/>
        <v>591098</v>
      </c>
      <c r="BJ134" s="92">
        <f t="shared" si="806"/>
        <v>648107</v>
      </c>
      <c r="BK134" s="92">
        <f t="shared" si="806"/>
        <v>648428</v>
      </c>
      <c r="BL134" s="92">
        <f t="shared" si="806"/>
        <v>738300</v>
      </c>
      <c r="BM134" s="92">
        <f t="shared" si="806"/>
        <v>751737</v>
      </c>
      <c r="BN134" s="93">
        <f t="shared" ref="BN134:CS134" si="807">BN43</f>
        <v>751737</v>
      </c>
      <c r="BO134" s="92">
        <f t="shared" si="807"/>
        <v>843586</v>
      </c>
      <c r="BP134" s="92">
        <f t="shared" si="807"/>
        <v>964959</v>
      </c>
      <c r="BQ134" s="92">
        <f t="shared" si="807"/>
        <v>923179</v>
      </c>
      <c r="BR134" s="92">
        <f t="shared" si="807"/>
        <v>864965</v>
      </c>
      <c r="BS134" s="93">
        <f t="shared" si="807"/>
        <v>864965</v>
      </c>
      <c r="BT134" s="92">
        <f t="shared" si="807"/>
        <v>1006206</v>
      </c>
      <c r="BU134" s="92">
        <f t="shared" si="807"/>
        <v>913453</v>
      </c>
      <c r="BV134" s="92">
        <f t="shared" si="807"/>
        <v>1084024</v>
      </c>
      <c r="BW134" s="92">
        <f t="shared" si="807"/>
        <v>1095470</v>
      </c>
      <c r="BX134" s="93">
        <f t="shared" si="807"/>
        <v>1095470</v>
      </c>
      <c r="BY134" s="92">
        <f t="shared" si="807"/>
        <v>1133945</v>
      </c>
      <c r="BZ134" s="92">
        <f t="shared" ref="BZ134:CA134" si="808">BZ43</f>
        <v>1329968</v>
      </c>
      <c r="CA134" s="92">
        <f t="shared" si="808"/>
        <v>1385221</v>
      </c>
      <c r="CB134" s="92">
        <f t="shared" si="807"/>
        <v>1381706</v>
      </c>
      <c r="CC134" s="93">
        <f t="shared" si="807"/>
        <v>1381706</v>
      </c>
      <c r="CD134" s="92">
        <f t="shared" ref="CD134:CE134" si="809">CD43</f>
        <v>1544573</v>
      </c>
      <c r="CE134" s="92">
        <f t="shared" si="809"/>
        <v>1655024</v>
      </c>
      <c r="CF134" s="92">
        <f t="shared" ca="1" si="807"/>
        <v>1770570.4995798685</v>
      </c>
      <c r="CG134" s="92">
        <f t="shared" ca="1" si="807"/>
        <v>1893438.6007470032</v>
      </c>
      <c r="CH134" s="93">
        <f t="shared" ca="1" si="807"/>
        <v>1893438.6007470032</v>
      </c>
      <c r="CI134" s="92">
        <f t="shared" ca="1" si="807"/>
        <v>1987062.1568773743</v>
      </c>
      <c r="CJ134" s="92">
        <f t="shared" ca="1" si="807"/>
        <v>2103012.5172209097</v>
      </c>
      <c r="CK134" s="92">
        <f t="shared" ca="1" si="807"/>
        <v>2230633.7095744228</v>
      </c>
      <c r="CL134" s="92">
        <f t="shared" ca="1" si="807"/>
        <v>2321496.2466383036</v>
      </c>
      <c r="CM134" s="93">
        <f t="shared" ca="1" si="807"/>
        <v>2321496.2466383036</v>
      </c>
      <c r="CN134" s="92">
        <f t="shared" ca="1" si="807"/>
        <v>2413542.7590952255</v>
      </c>
      <c r="CO134" s="92">
        <f t="shared" ca="1" si="807"/>
        <v>2445352.006105958</v>
      </c>
      <c r="CP134" s="92">
        <f t="shared" ca="1" si="807"/>
        <v>2509770.1616324475</v>
      </c>
      <c r="CQ134" s="92">
        <f t="shared" ca="1" si="807"/>
        <v>2558345.5194439841</v>
      </c>
      <c r="CR134" s="93">
        <f t="shared" ca="1" si="807"/>
        <v>2558345.5194439841</v>
      </c>
      <c r="CS134" s="92">
        <f t="shared" ca="1" si="807"/>
        <v>2629992.9510074202</v>
      </c>
      <c r="CT134" s="92">
        <f t="shared" ref="CT134:DB134" ca="1" si="810">CT43</f>
        <v>2656618.2300176565</v>
      </c>
      <c r="CU134" s="92">
        <f t="shared" ca="1" si="810"/>
        <v>2718789.5904628532</v>
      </c>
      <c r="CV134" s="92">
        <f t="shared" ca="1" si="810"/>
        <v>2766734.3594792788</v>
      </c>
      <c r="CW134" s="93">
        <f t="shared" ca="1" si="810"/>
        <v>2766734.3594792788</v>
      </c>
      <c r="CX134" s="92">
        <f t="shared" ca="1" si="810"/>
        <v>2849577.5918736695</v>
      </c>
      <c r="CY134" s="92">
        <f t="shared" ca="1" si="810"/>
        <v>2876792.2840146632</v>
      </c>
      <c r="CZ134" s="92">
        <f t="shared" ca="1" si="810"/>
        <v>2940865.5348038715</v>
      </c>
      <c r="DA134" s="92">
        <f t="shared" ca="1" si="810"/>
        <v>2990495.797535602</v>
      </c>
      <c r="DB134" s="93">
        <f t="shared" ca="1" si="810"/>
        <v>2990495.797535602</v>
      </c>
    </row>
    <row r="135" spans="1:106" ht="11.5" customHeight="1" x14ac:dyDescent="0.35">
      <c r="A135" s="149" t="s">
        <v>293</v>
      </c>
      <c r="B135" s="466" t="e">
        <f>B134/IS!B48</f>
        <v>#DIV/0!</v>
      </c>
      <c r="C135" s="466" t="e">
        <f>C134/IS!C48</f>
        <v>#DIV/0!</v>
      </c>
      <c r="D135" s="466" t="e">
        <f>D134/IS!D48</f>
        <v>#DIV/0!</v>
      </c>
      <c r="E135" s="466" t="e">
        <f>E134/IS!E48</f>
        <v>#DIV/0!</v>
      </c>
      <c r="F135" s="467" t="e">
        <f>F134/IS!F48</f>
        <v>#DIV/0!</v>
      </c>
      <c r="G135" s="466" t="e">
        <f>G134/IS!G48</f>
        <v>#DIV/0!</v>
      </c>
      <c r="H135" s="466" t="e">
        <f>H134/IS!H48</f>
        <v>#DIV/0!</v>
      </c>
      <c r="I135" s="466" t="e">
        <f>I134/IS!I48</f>
        <v>#DIV/0!</v>
      </c>
      <c r="J135" s="466" t="e">
        <f>J134/IS!J48</f>
        <v>#DIV/0!</v>
      </c>
      <c r="K135" s="467" t="e">
        <f>K134/IS!K48</f>
        <v>#DIV/0!</v>
      </c>
      <c r="L135" s="466" t="e">
        <f>L134/IS!L48</f>
        <v>#DIV/0!</v>
      </c>
      <c r="M135" s="466" t="e">
        <f>M134/IS!M48</f>
        <v>#DIV/0!</v>
      </c>
      <c r="N135" s="466" t="e">
        <f>N134/IS!N48</f>
        <v>#DIV/0!</v>
      </c>
      <c r="O135" s="466" t="e">
        <f>O134/IS!O48</f>
        <v>#DIV/0!</v>
      </c>
      <c r="P135" s="467" t="e">
        <f>P134/IS!P48</f>
        <v>#DIV/0!</v>
      </c>
      <c r="Q135" s="466" t="e">
        <f>Q134/IS!Q48</f>
        <v>#DIV/0!</v>
      </c>
      <c r="R135" s="466" t="e">
        <f>R134/IS!R48</f>
        <v>#DIV/0!</v>
      </c>
      <c r="S135" s="466" t="e">
        <f>S134/IS!S48</f>
        <v>#DIV/0!</v>
      </c>
      <c r="T135" s="466" t="e">
        <f>T134/IS!T48</f>
        <v>#DIV/0!</v>
      </c>
      <c r="U135" s="467" t="e">
        <f>U134/IS!U48</f>
        <v>#DIV/0!</v>
      </c>
      <c r="V135" s="466" t="e">
        <f>V134/IS!V48</f>
        <v>#DIV/0!</v>
      </c>
      <c r="W135" s="466" t="e">
        <f>W134/IS!W48</f>
        <v>#DIV/0!</v>
      </c>
      <c r="X135" s="466" t="e">
        <f>X134/IS!X48</f>
        <v>#DIV/0!</v>
      </c>
      <c r="Y135" s="466" t="e">
        <f>Y134/IS!Y48</f>
        <v>#DIV/0!</v>
      </c>
      <c r="Z135" s="467" t="e">
        <f>Z134/IS!Z48</f>
        <v>#DIV/0!</v>
      </c>
      <c r="AA135" s="466" t="e">
        <f>AA134/IS!AA48</f>
        <v>#DIV/0!</v>
      </c>
      <c r="AB135" s="466" t="e">
        <f>AB134/IS!AB48</f>
        <v>#DIV/0!</v>
      </c>
      <c r="AC135" s="466" t="e">
        <f>AC134/IS!AC48</f>
        <v>#DIV/0!</v>
      </c>
      <c r="AD135" s="466" t="e">
        <f>AD134/IS!AD48</f>
        <v>#DIV/0!</v>
      </c>
      <c r="AE135" s="467" t="e">
        <f>AE134/IS!AE48</f>
        <v>#DIV/0!</v>
      </c>
      <c r="AF135" s="466" t="e">
        <f>AF134/IS!AF48</f>
        <v>#DIV/0!</v>
      </c>
      <c r="AG135" s="466" t="e">
        <f>AG134/IS!AG48</f>
        <v>#DIV/0!</v>
      </c>
      <c r="AH135" s="466" t="e">
        <f>AH134/IS!AH48</f>
        <v>#DIV/0!</v>
      </c>
      <c r="AI135" s="466" t="e">
        <f>AI134/IS!AI48</f>
        <v>#DIV/0!</v>
      </c>
      <c r="AJ135" s="467" t="e">
        <f>AJ134/IS!AJ48</f>
        <v>#DIV/0!</v>
      </c>
      <c r="AK135" s="466">
        <f>AK134/IS!AK48</f>
        <v>0.88304692329482559</v>
      </c>
      <c r="AL135" s="466">
        <f>AL134/IS!AL48</f>
        <v>0.95470743580943729</v>
      </c>
      <c r="AM135" s="466">
        <f>AM134/IS!AM48</f>
        <v>1.0775712533961832</v>
      </c>
      <c r="AN135" s="466">
        <f>AN134/IS!AN48</f>
        <v>0.77515241788736711</v>
      </c>
      <c r="AO135" s="467">
        <f>AO134/IS!AO48</f>
        <v>0.77515241788736711</v>
      </c>
      <c r="AP135" s="466">
        <f>AP134/IS!AP48</f>
        <v>0.99641105533943153</v>
      </c>
      <c r="AQ135" s="466">
        <f>AQ134/IS!AQ48</f>
        <v>1.1117043542941336</v>
      </c>
      <c r="AR135" s="466">
        <f>AR134/IS!AR48</f>
        <v>1.1430752389344465</v>
      </c>
      <c r="AS135" s="466">
        <f>AS134/IS!AS48</f>
        <v>0.77781598356437476</v>
      </c>
      <c r="AT135" s="467">
        <f>AT134/IS!AT48</f>
        <v>0.77781598356437476</v>
      </c>
      <c r="AU135" s="466">
        <f>AU134/IS!AU48</f>
        <v>0.84496049172126153</v>
      </c>
      <c r="AV135" s="466">
        <f>AV134/IS!AV48</f>
        <v>1.0681044513809199</v>
      </c>
      <c r="AW135" s="466">
        <f>AW134/IS!AW48</f>
        <v>1.1788415550006033</v>
      </c>
      <c r="AX135" s="466">
        <f>AX134/IS!AX48</f>
        <v>0.78049051041700801</v>
      </c>
      <c r="AY135" s="467">
        <f>AY134/IS!AY48</f>
        <v>0.78049051041700801</v>
      </c>
      <c r="AZ135" s="466">
        <f>AZ134/IS!AZ48</f>
        <v>0.8042360705471493</v>
      </c>
      <c r="BA135" s="466">
        <f>BA134/IS!BA48</f>
        <v>0.9393837122849239</v>
      </c>
      <c r="BB135" s="466">
        <f>BB134/IS!BB48</f>
        <v>1.5749442789033095</v>
      </c>
      <c r="BC135" s="466">
        <f>BC134/IS!BC48</f>
        <v>1.6769639483586212</v>
      </c>
      <c r="BD135" s="467">
        <f>BD134/IS!BD48</f>
        <v>1.6769639483586212</v>
      </c>
      <c r="BE135" s="466">
        <f>BE134/IS!BE48</f>
        <v>1.8482461236979568</v>
      </c>
      <c r="BF135" s="466">
        <f>BF134/IS!BF48</f>
        <v>1.854399440900554</v>
      </c>
      <c r="BG135" s="466">
        <f>BG134/IS!BG48</f>
        <v>2.0853372727719743</v>
      </c>
      <c r="BH135" s="466">
        <f>BH134/IS!BH48</f>
        <v>2.0259283513053767</v>
      </c>
      <c r="BI135" s="467">
        <f>BI134/IS!BI48</f>
        <v>2.0259283513053767</v>
      </c>
      <c r="BJ135" s="466">
        <f>BJ134/IS!BJ48</f>
        <v>2.2204944054697808</v>
      </c>
      <c r="BK135" s="466">
        <f>BK134/IS!BK48</f>
        <v>2.2368511397209634</v>
      </c>
      <c r="BL135" s="466">
        <f>BL134/IS!BL48</f>
        <v>2.5468782909682917</v>
      </c>
      <c r="BM135" s="466">
        <f>BM134/IS!BM48</f>
        <v>2.5932312688847765</v>
      </c>
      <c r="BN135" s="467">
        <f>BN134/IS!BN48</f>
        <v>2.5932312688847765</v>
      </c>
      <c r="BO135" s="466">
        <f>BO134/IS!BO48</f>
        <v>2.910078382723523</v>
      </c>
      <c r="BP135" s="466">
        <f>BP134/IS!BP48</f>
        <v>3.3287730309826244</v>
      </c>
      <c r="BQ135" s="466">
        <f>BQ134/IS!BQ48</f>
        <v>3.1846465580086907</v>
      </c>
      <c r="BR135" s="466">
        <f>BR134/IS!BR48</f>
        <v>2.9838284991837845</v>
      </c>
      <c r="BS135" s="467">
        <f>BS134/IS!BS48</f>
        <v>2.9838284991837845</v>
      </c>
      <c r="BT135" s="466">
        <f>BT134/IS!BT48</f>
        <v>3.4710608392821896</v>
      </c>
      <c r="BU135" s="466">
        <f>BU134/IS!BU48</f>
        <v>3.1510952397668412</v>
      </c>
      <c r="BV135" s="466">
        <f>BV134/IS!BV48</f>
        <v>3.7395058817399582</v>
      </c>
      <c r="BW135" s="466">
        <f>BW134/IS!BW48</f>
        <v>3.7789906019328652</v>
      </c>
      <c r="BX135" s="467">
        <f>BX134/IS!BX48</f>
        <v>3.7789906019328652</v>
      </c>
      <c r="BY135" s="466">
        <f>BY134/IS!BY48</f>
        <v>3.9117159740647964</v>
      </c>
      <c r="BZ135" s="466">
        <f>BZ134/IS!BZ48</f>
        <v>4.55663417221822</v>
      </c>
      <c r="CA135" s="466">
        <f>CA134/IS!CA48</f>
        <v>4.7459377554003517</v>
      </c>
      <c r="CB135" s="466">
        <f>CB134/IS!CB48</f>
        <v>4.4853653361110171</v>
      </c>
      <c r="CC135" s="467">
        <f>CC134/IS!CC48</f>
        <v>4.4853653361110171</v>
      </c>
      <c r="CD135" s="466">
        <f>CD134/IS!CD48</f>
        <v>5.0140725981453373</v>
      </c>
      <c r="CE135" s="466">
        <f>CE134/IS!CE48</f>
        <v>5.3726243354460355</v>
      </c>
      <c r="CF135" s="466">
        <f ca="1">CF134/IS!CF48</f>
        <v>5.7477173464950635</v>
      </c>
      <c r="CG135" s="466">
        <f ca="1">CG134/IS!CG48</f>
        <v>6.146578118532565</v>
      </c>
      <c r="CH135" s="467">
        <f ca="1">CH134/IS!CH48</f>
        <v>6.146578118532565</v>
      </c>
      <c r="CI135" s="466">
        <f ca="1">CI134/IS!CI48</f>
        <v>6.4505037389689024</v>
      </c>
      <c r="CJ135" s="466">
        <f ca="1">CJ134/IS!CJ48</f>
        <v>6.8269077836748497</v>
      </c>
      <c r="CK135" s="466">
        <f ca="1">CK134/IS!CK48</f>
        <v>7.2411982856597898</v>
      </c>
      <c r="CL135" s="466">
        <f ca="1">CL134/IS!CL48</f>
        <v>7.5361609434881798</v>
      </c>
      <c r="CM135" s="467">
        <f ca="1">CM134/IS!CM48</f>
        <v>7.5361609434881798</v>
      </c>
      <c r="CN135" s="466">
        <f ca="1">CN134/IS!CN48</f>
        <v>7.8349670833501968</v>
      </c>
      <c r="CO135" s="466">
        <f ca="1">CO134/IS!CO48</f>
        <v>7.9382279028803522</v>
      </c>
      <c r="CP135" s="466">
        <f ca="1">CP134/IS!CP48</f>
        <v>8.1473454443940501</v>
      </c>
      <c r="CQ135" s="466">
        <f ca="1">CQ134/IS!CQ48</f>
        <v>8.3050332782147436</v>
      </c>
      <c r="CR135" s="467">
        <f ca="1">CR134/IS!CR48</f>
        <v>8.3050332782147436</v>
      </c>
      <c r="CS135" s="466">
        <f ca="1">CS134/IS!CS48</f>
        <v>8.5376188687499379</v>
      </c>
      <c r="CT135" s="466">
        <f ca="1">CT134/IS!CT48</f>
        <v>8.6240512237782863</v>
      </c>
      <c r="CU135" s="466">
        <f ca="1">CU134/IS!CU48</f>
        <v>8.825875103127256</v>
      </c>
      <c r="CV135" s="466">
        <f ca="1">CV134/IS!CV48</f>
        <v>8.9815158870524368</v>
      </c>
      <c r="CW135" s="467">
        <f ca="1">CW134/IS!CW48</f>
        <v>8.9815158870524368</v>
      </c>
      <c r="CX135" s="466">
        <f ca="1">CX134/IS!CX48</f>
        <v>9.2504458641338054</v>
      </c>
      <c r="CY135" s="466">
        <f ca="1">CY134/IS!CY48</f>
        <v>9.3387916024906961</v>
      </c>
      <c r="CZ135" s="466">
        <f ca="1">CZ134/IS!CZ48</f>
        <v>9.5467894964434343</v>
      </c>
      <c r="DA135" s="466">
        <f ca="1">DA134/IS!DA48</f>
        <v>9.7079018170666256</v>
      </c>
      <c r="DB135" s="467">
        <f ca="1">DB134/IS!DB48</f>
        <v>9.7079018170666256</v>
      </c>
    </row>
    <row r="136" spans="1:106" ht="11.5" customHeight="1" x14ac:dyDescent="0.35">
      <c r="A136" s="19" t="s">
        <v>10</v>
      </c>
      <c r="B136" s="466" t="e">
        <f>IS!B52</f>
        <v>#REF!</v>
      </c>
      <c r="C136" s="466" t="e">
        <f>IS!C52</f>
        <v>#DIV/0!</v>
      </c>
      <c r="D136" s="466" t="e">
        <f>IS!D52</f>
        <v>#DIV/0!</v>
      </c>
      <c r="E136" s="466" t="e">
        <f>IS!E52</f>
        <v>#DIV/0!</v>
      </c>
      <c r="F136" s="467" t="e">
        <f>IS!F52</f>
        <v>#DIV/0!</v>
      </c>
      <c r="G136" s="466" t="e">
        <f>IS!G52</f>
        <v>#DIV/0!</v>
      </c>
      <c r="H136" s="466" t="e">
        <f>IS!H52</f>
        <v>#DIV/0!</v>
      </c>
      <c r="I136" s="466" t="e">
        <f>IS!I52</f>
        <v>#DIV/0!</v>
      </c>
      <c r="J136" s="466" t="e">
        <f>IS!J52</f>
        <v>#DIV/0!</v>
      </c>
      <c r="K136" s="467" t="e">
        <f>IS!K52</f>
        <v>#DIV/0!</v>
      </c>
      <c r="L136" s="466" t="e">
        <f>IS!L52</f>
        <v>#DIV/0!</v>
      </c>
      <c r="M136" s="466" t="e">
        <f>IS!M52</f>
        <v>#DIV/0!</v>
      </c>
      <c r="N136" s="466" t="e">
        <f>IS!N52</f>
        <v>#DIV/0!</v>
      </c>
      <c r="O136" s="466" t="e">
        <f>IS!O52</f>
        <v>#DIV/0!</v>
      </c>
      <c r="P136" s="467" t="e">
        <f>IS!P52</f>
        <v>#DIV/0!</v>
      </c>
      <c r="Q136" s="466" t="e">
        <f>IS!Q52</f>
        <v>#DIV/0!</v>
      </c>
      <c r="R136" s="466" t="e">
        <f>IS!R52</f>
        <v>#DIV/0!</v>
      </c>
      <c r="S136" s="466" t="e">
        <f>IS!S52</f>
        <v>#DIV/0!</v>
      </c>
      <c r="T136" s="466" t="e">
        <f>IS!T52</f>
        <v>#DIV/0!</v>
      </c>
      <c r="U136" s="467" t="e">
        <f>IS!U52</f>
        <v>#DIV/0!</v>
      </c>
      <c r="V136" s="466" t="e">
        <f>IS!V52</f>
        <v>#DIV/0!</v>
      </c>
      <c r="W136" s="466" t="e">
        <f>IS!W52</f>
        <v>#DIV/0!</v>
      </c>
      <c r="X136" s="466" t="e">
        <f>IS!X52</f>
        <v>#DIV/0!</v>
      </c>
      <c r="Y136" s="466" t="e">
        <f>IS!Y52</f>
        <v>#DIV/0!</v>
      </c>
      <c r="Z136" s="467" t="e">
        <f>IS!Z52</f>
        <v>#DIV/0!</v>
      </c>
      <c r="AA136" s="466" t="e">
        <f>IS!AA52</f>
        <v>#DIV/0!</v>
      </c>
      <c r="AB136" s="466" t="e">
        <f>IS!AB52</f>
        <v>#DIV/0!</v>
      </c>
      <c r="AC136" s="466" t="e">
        <f>IS!AC52</f>
        <v>#DIV/0!</v>
      </c>
      <c r="AD136" s="466" t="e">
        <f>IS!AD52</f>
        <v>#DIV/0!</v>
      </c>
      <c r="AE136" s="467" t="e">
        <f>IS!AE52</f>
        <v>#DIV/0!</v>
      </c>
      <c r="AF136" s="466" t="e">
        <f>IS!AF52</f>
        <v>#DIV/0!</v>
      </c>
      <c r="AG136" s="466" t="e">
        <f>IS!AG52</f>
        <v>#DIV/0!</v>
      </c>
      <c r="AH136" s="466" t="e">
        <f>IS!AH52</f>
        <v>#DIV/0!</v>
      </c>
      <c r="AI136" s="466" t="e">
        <f>IS!AI52</f>
        <v>#DIV/0!</v>
      </c>
      <c r="AJ136" s="467" t="e">
        <f>IS!AJ52</f>
        <v>#DIV/0!</v>
      </c>
      <c r="AK136" s="466">
        <f>IS!AK52</f>
        <v>4.620050028997795E-2</v>
      </c>
      <c r="AL136" s="466">
        <f>IS!AL52</f>
        <v>7.1662887435997094E-2</v>
      </c>
      <c r="AM136" s="466">
        <f>IS!AM52</f>
        <v>0.12286215879550136</v>
      </c>
      <c r="AN136" s="466">
        <f>IS!AN52</f>
        <v>0.17153952305805714</v>
      </c>
      <c r="AO136" s="467">
        <f>IS!AO52</f>
        <v>0.41226506957953352</v>
      </c>
      <c r="AP136" s="466">
        <f>IS!AP52</f>
        <v>7.3467564620788808E-2</v>
      </c>
      <c r="AQ136" s="466">
        <f>IS!AQ52</f>
        <v>0.11529422334717981</v>
      </c>
      <c r="AR136" s="466">
        <f>IS!AR52</f>
        <v>0.13232784642457612</v>
      </c>
      <c r="AS136" s="466">
        <f>IS!AS52</f>
        <v>0.15754640221880492</v>
      </c>
      <c r="AT136" s="467">
        <f>IS!AT52</f>
        <v>0.47863603661134968</v>
      </c>
      <c r="AU136" s="466">
        <f>IS!AU52</f>
        <v>6.7140854431678207E-2</v>
      </c>
      <c r="AV136" s="466">
        <f>IS!AV52</f>
        <v>0.22314395965965841</v>
      </c>
      <c r="AW136" s="466">
        <f>IS!AW52</f>
        <v>0.11073710361968345</v>
      </c>
      <c r="AX136" s="466">
        <f>IS!AX52</f>
        <v>0.18404179247812705</v>
      </c>
      <c r="AY136" s="467">
        <f>IS!AY52</f>
        <v>0.58506371018914716</v>
      </c>
      <c r="AZ136" s="466">
        <f>IS!AZ52</f>
        <v>2.374921385534982E-2</v>
      </c>
      <c r="BA136" s="466">
        <f>IS!BA52</f>
        <v>0.13514764173777455</v>
      </c>
      <c r="BB136" s="466">
        <f>IS!BB52</f>
        <v>0.17452885863179779</v>
      </c>
      <c r="BC136" s="466">
        <f>IS!BC52</f>
        <v>0.23287016533593302</v>
      </c>
      <c r="BD136" s="467">
        <f>IS!BD52</f>
        <v>0.56867396389951508</v>
      </c>
      <c r="BE136" s="466">
        <f>IS!BE52</f>
        <v>0.17128217533933557</v>
      </c>
      <c r="BF136" s="466">
        <f>IS!BF52</f>
        <v>0.26930355906222458</v>
      </c>
      <c r="BG136" s="466">
        <f>IS!BG52</f>
        <v>0.23093783187142028</v>
      </c>
      <c r="BH136" s="466">
        <f>IS!BH52</f>
        <v>0.35551956634425919</v>
      </c>
      <c r="BI136" s="467">
        <f>IS!BI52</f>
        <v>1.0270725298048877</v>
      </c>
      <c r="BJ136" s="466">
        <f>IS!BJ52</f>
        <v>0.2121267659656926</v>
      </c>
      <c r="BK136" s="466">
        <f>IS!BK52</f>
        <v>0.296827593332395</v>
      </c>
      <c r="BL136" s="466">
        <f>IS!BL52</f>
        <v>0.30896622798907847</v>
      </c>
      <c r="BM136" s="466">
        <f>IS!BM52</f>
        <v>0.31662633609173052</v>
      </c>
      <c r="BN136" s="467">
        <f>IS!BN52</f>
        <v>1.136038093382018</v>
      </c>
      <c r="BO136" s="466">
        <f>IS!BO52</f>
        <v>0.31684711383874659</v>
      </c>
      <c r="BP136" s="466">
        <f>IS!BP52</f>
        <v>0.41869464825910124</v>
      </c>
      <c r="BQ136" s="466">
        <f>IS!BQ52</f>
        <v>0.37332137159500001</v>
      </c>
      <c r="BR136" s="466">
        <f>IS!BR52</f>
        <v>0.55305860523216765</v>
      </c>
      <c r="BS136" s="467">
        <f>IS!BS52</f>
        <v>1.6619217389250154</v>
      </c>
      <c r="BT136" s="466">
        <f>IS!BT52</f>
        <v>0.48723234009840505</v>
      </c>
      <c r="BU136" s="466">
        <f>IS!BU52</f>
        <v>0.59419225922310082</v>
      </c>
      <c r="BV136" s="466">
        <f>IS!BV52</f>
        <v>0.58841064197311721</v>
      </c>
      <c r="BW136" s="466">
        <f>IS!BW52</f>
        <v>0.57189715642677397</v>
      </c>
      <c r="BX136" s="467">
        <f>IS!BX52</f>
        <v>2.241732397721397</v>
      </c>
      <c r="BY136" s="466">
        <f>IS!BY52</f>
        <v>0.73641452412902075</v>
      </c>
      <c r="BZ136" s="466">
        <f>IS!BZ52</f>
        <v>0.81384506985582306</v>
      </c>
      <c r="CA136" s="466">
        <f>IS!CA52</f>
        <v>0.87452821598806685</v>
      </c>
      <c r="CB136" s="466">
        <f>IS!CB52</f>
        <v>0.90037269169296053</v>
      </c>
      <c r="CC136" s="467">
        <f>IS!CC52</f>
        <v>3.3021945061977069</v>
      </c>
      <c r="CD136" s="466">
        <f>IS!CD52</f>
        <v>0.98318248835275768</v>
      </c>
      <c r="CE136" s="466">
        <f>IS!CE52</f>
        <v>0.87795199595034012</v>
      </c>
      <c r="CF136" s="466">
        <f ca="1">IS!CF52</f>
        <v>0.99188081819547835</v>
      </c>
      <c r="CG136" s="466">
        <f ca="1">IS!CG52</f>
        <v>1.0931773447743363</v>
      </c>
      <c r="CH136" s="467">
        <f ca="1">IS!CH52</f>
        <v>3.946192647272913</v>
      </c>
      <c r="CI136" s="466">
        <f ca="1">IS!CI52</f>
        <v>1.1238086290170901</v>
      </c>
      <c r="CJ136" s="466">
        <f ca="1">IS!CJ52</f>
        <v>1.2192605164687644</v>
      </c>
      <c r="CK136" s="466">
        <f ca="1">IS!CK52</f>
        <v>1.3287358893365138</v>
      </c>
      <c r="CL136" s="466">
        <f ca="1">IS!CL52</f>
        <v>1.2915145748307739</v>
      </c>
      <c r="CM136" s="467">
        <f ca="1">IS!CM52</f>
        <v>4.9633196096531425</v>
      </c>
      <c r="CN136" s="466">
        <f ca="1">IS!CN52</f>
        <v>1.4611692572097148</v>
      </c>
      <c r="CO136" s="466">
        <f ca="1">IS!CO52</f>
        <v>1.4183131510188984</v>
      </c>
      <c r="CP136" s="466">
        <f ca="1">IS!CP52</f>
        <v>1.4855993774307064</v>
      </c>
      <c r="CQ136" s="466">
        <f ca="1">IS!CQ52</f>
        <v>1.4947272735083301</v>
      </c>
      <c r="CR136" s="467">
        <f ca="1">IS!CR52</f>
        <v>5.8598090591676488</v>
      </c>
      <c r="CS136" s="466">
        <f ca="1">IS!CS52</f>
        <v>1.5778401366926924</v>
      </c>
      <c r="CT136" s="466">
        <f ca="1">IS!CT52</f>
        <v>1.5064884780517704</v>
      </c>
      <c r="CU136" s="466">
        <f ca="1">IS!CU52</f>
        <v>1.5576635095955633</v>
      </c>
      <c r="CV136" s="466">
        <f ca="1">IS!CV52</f>
        <v>1.5575379425611868</v>
      </c>
      <c r="CW136" s="467">
        <f ca="1">IS!CW52</f>
        <v>6.1995300669012137</v>
      </c>
      <c r="CX136" s="466">
        <f ca="1">IS!CX52</f>
        <v>1.6707141253864364</v>
      </c>
      <c r="CY136" s="466">
        <f ca="1">IS!CY52</f>
        <v>1.5919884512046829</v>
      </c>
      <c r="CZ136" s="466">
        <f ca="1">IS!CZ52</f>
        <v>1.6407875000369532</v>
      </c>
      <c r="DA136" s="466">
        <f ca="1">IS!DA52</f>
        <v>1.6378210706564478</v>
      </c>
      <c r="DB136" s="467">
        <f ca="1">IS!DB52</f>
        <v>6.54131114728452</v>
      </c>
    </row>
    <row r="137" spans="1:106" ht="11.5" customHeight="1" x14ac:dyDescent="0.35">
      <c r="A137" s="16" t="s">
        <v>217</v>
      </c>
      <c r="B137" s="209" t="e">
        <f t="shared" ref="B137:E137" si="811">B136/AVERAGE(A135:B135)*4</f>
        <v>#REF!</v>
      </c>
      <c r="C137" s="209" t="e">
        <f t="shared" si="811"/>
        <v>#DIV/0!</v>
      </c>
      <c r="D137" s="209" t="e">
        <f t="shared" si="811"/>
        <v>#DIV/0!</v>
      </c>
      <c r="E137" s="209" t="e">
        <f t="shared" si="811"/>
        <v>#DIV/0!</v>
      </c>
      <c r="F137" s="210" t="e">
        <f t="shared" ref="F137" si="812">F136/AVERAGE(B135:E135)</f>
        <v>#DIV/0!</v>
      </c>
      <c r="G137" s="209" t="e">
        <f t="shared" ref="G137:J137" si="813">G136/AVERAGE(F135:G135)*4</f>
        <v>#DIV/0!</v>
      </c>
      <c r="H137" s="209" t="e">
        <f t="shared" si="813"/>
        <v>#DIV/0!</v>
      </c>
      <c r="I137" s="209" t="e">
        <f t="shared" si="813"/>
        <v>#DIV/0!</v>
      </c>
      <c r="J137" s="209" t="e">
        <f t="shared" si="813"/>
        <v>#DIV/0!</v>
      </c>
      <c r="K137" s="210" t="e">
        <f t="shared" ref="K137" si="814">K136/AVERAGE(G135:J135)</f>
        <v>#DIV/0!</v>
      </c>
      <c r="L137" s="209" t="e">
        <f t="shared" ref="L137:O137" si="815">L136/AVERAGE(K135:L135)*4</f>
        <v>#DIV/0!</v>
      </c>
      <c r="M137" s="209" t="e">
        <f t="shared" si="815"/>
        <v>#DIV/0!</v>
      </c>
      <c r="N137" s="209" t="e">
        <f t="shared" si="815"/>
        <v>#DIV/0!</v>
      </c>
      <c r="O137" s="209" t="e">
        <f t="shared" si="815"/>
        <v>#DIV/0!</v>
      </c>
      <c r="P137" s="210" t="e">
        <f t="shared" ref="P137" si="816">P136/AVERAGE(L135:O135)</f>
        <v>#DIV/0!</v>
      </c>
      <c r="Q137" s="209" t="e">
        <f t="shared" ref="Q137:T137" si="817">Q136/AVERAGE(P135:Q135)*4</f>
        <v>#DIV/0!</v>
      </c>
      <c r="R137" s="209" t="e">
        <f t="shared" si="817"/>
        <v>#DIV/0!</v>
      </c>
      <c r="S137" s="209" t="e">
        <f t="shared" si="817"/>
        <v>#DIV/0!</v>
      </c>
      <c r="T137" s="209" t="e">
        <f t="shared" si="817"/>
        <v>#DIV/0!</v>
      </c>
      <c r="U137" s="210" t="e">
        <f t="shared" ref="U137" si="818">U136/AVERAGE(Q135:T135)</f>
        <v>#DIV/0!</v>
      </c>
      <c r="V137" s="209" t="e">
        <f t="shared" ref="V137:Y137" si="819">V136/AVERAGE(U135:V135)*4</f>
        <v>#DIV/0!</v>
      </c>
      <c r="W137" s="209" t="e">
        <f t="shared" si="819"/>
        <v>#DIV/0!</v>
      </c>
      <c r="X137" s="209" t="e">
        <f t="shared" si="819"/>
        <v>#DIV/0!</v>
      </c>
      <c r="Y137" s="209" t="e">
        <f t="shared" si="819"/>
        <v>#DIV/0!</v>
      </c>
      <c r="Z137" s="210" t="e">
        <f t="shared" ref="Z137" si="820">Z136/AVERAGE(V135:Y135)</f>
        <v>#DIV/0!</v>
      </c>
      <c r="AA137" s="209" t="e">
        <f t="shared" ref="AA137:AD137" si="821">AA136/AVERAGE(Z135:AA135)*4</f>
        <v>#DIV/0!</v>
      </c>
      <c r="AB137" s="209" t="e">
        <f t="shared" si="821"/>
        <v>#DIV/0!</v>
      </c>
      <c r="AC137" s="209" t="e">
        <f t="shared" si="821"/>
        <v>#DIV/0!</v>
      </c>
      <c r="AD137" s="209" t="e">
        <f t="shared" si="821"/>
        <v>#DIV/0!</v>
      </c>
      <c r="AE137" s="210" t="e">
        <f t="shared" ref="AE137" si="822">AE136/AVERAGE(AA135:AD135)</f>
        <v>#DIV/0!</v>
      </c>
      <c r="AF137" s="209" t="e">
        <f>AF136/AVERAGE(AE135:AF135)*4</f>
        <v>#DIV/0!</v>
      </c>
      <c r="AG137" s="209" t="e">
        <f>AG136/AVERAGE(AF135:AG135)*4</f>
        <v>#DIV/0!</v>
      </c>
      <c r="AH137" s="209" t="e">
        <f>AH136/AVERAGE(AG135:AH135)*4</f>
        <v>#DIV/0!</v>
      </c>
      <c r="AI137" s="209" t="e">
        <f>AI136/AVERAGE(AH135:AI135)*4</f>
        <v>#DIV/0!</v>
      </c>
      <c r="AJ137" s="210" t="e">
        <f>AJ136/AVERAGE(AF135:AI135)</f>
        <v>#DIV/0!</v>
      </c>
      <c r="AK137" s="209" t="e">
        <f>AK136/AVERAGE(AJ135:AK135)*4</f>
        <v>#DIV/0!</v>
      </c>
      <c r="AL137" s="209">
        <f>AL136/AVERAGE(AK135:AL135)*4</f>
        <v>0.31195850340271242</v>
      </c>
      <c r="AM137" s="209">
        <f>AM136/AVERAGE(AL135:AM135)*4</f>
        <v>0.48364295486865877</v>
      </c>
      <c r="AN137" s="209">
        <f>AN136/AVERAGE(AM135:AN135)*4</f>
        <v>0.74070203006243718</v>
      </c>
      <c r="AO137" s="210">
        <f>AO136/AVERAGE(AK135:AN135)</f>
        <v>0.44684191715533472</v>
      </c>
      <c r="AP137" s="209">
        <f>AP136/AVERAGE(AO135:AP135)*4</f>
        <v>0.33176373629773237</v>
      </c>
      <c r="AQ137" s="209">
        <f>AQ136/AVERAGE(AP135:AQ135)*4</f>
        <v>0.43752528090374476</v>
      </c>
      <c r="AR137" s="209">
        <f>AR136/AVERAGE(AQ135:AR135)*4</f>
        <v>0.4695016641874008</v>
      </c>
      <c r="AS137" s="209">
        <f>AS136/AVERAGE(AR135:AS135)*4</f>
        <v>0.65613877714057423</v>
      </c>
      <c r="AT137" s="210">
        <f>AT136/AVERAGE(AP135:AS135)</f>
        <v>0.47519012035780883</v>
      </c>
      <c r="AU137" s="209">
        <f>AU136/AVERAGE(AT135:AU135)*4</f>
        <v>0.33099249566018157</v>
      </c>
      <c r="AV137" s="209">
        <f>AV136/AVERAGE(AU135:AV135)*4</f>
        <v>0.93313699762983837</v>
      </c>
      <c r="AW137" s="209">
        <f>AW136/AVERAGE(AV135:AW135)*4</f>
        <v>0.39426707470559735</v>
      </c>
      <c r="AX137" s="209">
        <f>AX136/AVERAGE(AW135:AX135)*4</f>
        <v>0.75144707005609268</v>
      </c>
      <c r="AY137" s="210">
        <f>AY136/AVERAGE(AU135:AX135)</f>
        <v>0.60434269410076347</v>
      </c>
      <c r="AZ137" s="209">
        <f>AZ136/AVERAGE(AY135:AZ135)*4</f>
        <v>0.11989053072310128</v>
      </c>
      <c r="BA137" s="209">
        <f>BA136/AVERAGE(AZ135:BA135)*4</f>
        <v>0.62007849678448168</v>
      </c>
      <c r="BB137" s="209">
        <f>BB136/AVERAGE(BA135:BB135)*4</f>
        <v>0.55530975829233187</v>
      </c>
      <c r="BC137" s="209">
        <f>BC136/AVERAGE(BB135:BC135)*4</f>
        <v>0.57288250236263782</v>
      </c>
      <c r="BD137" s="210">
        <f>BD136/AVERAGE(AZ135:BC135)</f>
        <v>0.45534643204918313</v>
      </c>
      <c r="BE137" s="209">
        <f>BE136/AVERAGE(BD135:BE135)*4</f>
        <v>0.38870233963540446</v>
      </c>
      <c r="BF137" s="209">
        <f>BF136/AVERAGE(BE135:BF135)*4</f>
        <v>0.58186192410544924</v>
      </c>
      <c r="BG137" s="209">
        <f>BG136/AVERAGE(BF135:BG135)*4</f>
        <v>0.46894063975385925</v>
      </c>
      <c r="BH137" s="209">
        <f>BH136/AVERAGE(BG135:BH135)*4</f>
        <v>0.69179585821394307</v>
      </c>
      <c r="BI137" s="210">
        <f>BI136/AVERAGE(BE135:BH135)</f>
        <v>0.52576616498705531</v>
      </c>
      <c r="BJ137" s="209">
        <f>BJ136/AVERAGE(BI135:BJ135)*4</f>
        <v>0.39963381531383302</v>
      </c>
      <c r="BK137" s="209">
        <f>BK136/AVERAGE(BJ135:BK135)*4</f>
        <v>0.53274324877532964</v>
      </c>
      <c r="BL137" s="209">
        <f>BL136/AVERAGE(BK135:BL135)*4</f>
        <v>0.51669515588729542</v>
      </c>
      <c r="BM137" s="209">
        <f>BM136/AVERAGE(BL135:BM135)*4</f>
        <v>0.4927931319826287</v>
      </c>
      <c r="BN137" s="210">
        <f>BN136/AVERAGE(BJ135:BM135)</f>
        <v>0.47347472051627049</v>
      </c>
      <c r="BO137" s="209">
        <f>BO136/AVERAGE(BN135:BO135)*4</f>
        <v>0.46059136613713964</v>
      </c>
      <c r="BP137" s="209">
        <f>BP136/AVERAGE(BO135:BP135)*4</f>
        <v>0.53688683444426322</v>
      </c>
      <c r="BQ137" s="209">
        <f>BQ136/AVERAGE(BP135:BQ135)*4</f>
        <v>0.45852580690606298</v>
      </c>
      <c r="BR137" s="209">
        <f>BR136/AVERAGE(BQ135:BR135)*4</f>
        <v>0.71727109226102592</v>
      </c>
      <c r="BS137" s="210">
        <f>BS136/AVERAGE(BO135:BR135)</f>
        <v>0.53578721985692945</v>
      </c>
      <c r="BT137" s="209">
        <f>BT136/AVERAGE(BS135:BT135)*4</f>
        <v>0.60386143222613009</v>
      </c>
      <c r="BU137" s="209">
        <f>BU136/AVERAGE(BT135:BU135)*4</f>
        <v>0.717823321746206</v>
      </c>
      <c r="BV137" s="209">
        <f>BV136/AVERAGE(BU135:BV135)*4</f>
        <v>0.68314578841208184</v>
      </c>
      <c r="BW137" s="209">
        <f>BW136/AVERAGE(BV135:BW135)*4</f>
        <v>0.60852289568129114</v>
      </c>
      <c r="BX137" s="210">
        <f>BX136/AVERAGE(BT135:BW135)</f>
        <v>0.63412417150567446</v>
      </c>
      <c r="BY137" s="209">
        <f>BY136/AVERAGE(BX135:BY135)*4</f>
        <v>0.7660305506152959</v>
      </c>
      <c r="BZ137" s="209">
        <f>BZ136/AVERAGE(BY135:BZ135)*4</f>
        <v>0.76883459545001565</v>
      </c>
      <c r="CA137" s="209">
        <f>CA136/AVERAGE(BZ135:CA135)*4</f>
        <v>0.75207434915212157</v>
      </c>
      <c r="CB137" s="209">
        <f>CB136/AVERAGE(CA135:CB135)*4</f>
        <v>0.78027787216380928</v>
      </c>
      <c r="CC137" s="210">
        <f>CC136/AVERAGE(BY135:CB135)</f>
        <v>0.74627326577143827</v>
      </c>
      <c r="CD137" s="209">
        <f>CD136/AVERAGE(CC135:CD135)*4</f>
        <v>0.82799213608818578</v>
      </c>
      <c r="CE137" s="209">
        <f>CE136/AVERAGE(CD135:CE135)*4</f>
        <v>0.67621266053193574</v>
      </c>
      <c r="CF137" s="209">
        <f ca="1">CF136/AVERAGE(CE135:CF135)*4</f>
        <v>0.71356139698926346</v>
      </c>
      <c r="CG137" s="209">
        <f ca="1">CG136/AVERAGE(CF135:CG135)*4</f>
        <v>0.73526160367451199</v>
      </c>
      <c r="CH137" s="210">
        <f ca="1">CH136/AVERAGE(CD135:CG135)</f>
        <v>0.70844109215126361</v>
      </c>
      <c r="CI137" s="209">
        <f ca="1">CI136/AVERAGE(CH135:CI135)*4</f>
        <v>0.7136945789379755</v>
      </c>
      <c r="CJ137" s="209">
        <f ca="1">CJ136/AVERAGE(CI135:CJ135)*4</f>
        <v>0.73463747923419909</v>
      </c>
      <c r="CK137" s="209">
        <f ca="1">CK136/AVERAGE(CJ135:CK135)*4</f>
        <v>0.75560186014398301</v>
      </c>
      <c r="CL137" s="209">
        <f ca="1">CL136/AVERAGE(CK135:CL135)*4</f>
        <v>0.69918558779205631</v>
      </c>
      <c r="CM137" s="210">
        <f ca="1">CM136/AVERAGE(CI135:CL135)</f>
        <v>0.70766140326934002</v>
      </c>
      <c r="CN137" s="209">
        <f ca="1">CN136/AVERAGE(CM135:CN135)*4</f>
        <v>0.76047470538712647</v>
      </c>
      <c r="CO137" s="209">
        <f ca="1">CO136/AVERAGE(CN135:CO135)*4</f>
        <v>0.7193536387558952</v>
      </c>
      <c r="CP137" s="209">
        <f ca="1">CP136/AVERAGE(CO135:CP135)*4</f>
        <v>0.73884808224504195</v>
      </c>
      <c r="CQ137" s="209">
        <f ca="1">CQ136/AVERAGE(CP135:CQ135)*4</f>
        <v>0.72681393916821624</v>
      </c>
      <c r="CR137" s="210">
        <f ca="1">CR136/AVERAGE(CN135:CQ135)</f>
        <v>0.72734892009824204</v>
      </c>
      <c r="CS137" s="209">
        <f ca="1">CS136/AVERAGE(CR135:CS135)*4</f>
        <v>0.74944972937746968</v>
      </c>
      <c r="CT137" s="209">
        <f ca="1">CT136/AVERAGE(CS135:CT135)*4</f>
        <v>0.70225728378622498</v>
      </c>
      <c r="CU137" s="209">
        <f ca="1">CU136/AVERAGE(CT135:CU135)*4</f>
        <v>0.71411809100596446</v>
      </c>
      <c r="CV137" s="209">
        <f ca="1">CV136/AVERAGE(CU135:CV135)*4</f>
        <v>0.69972650947918336</v>
      </c>
      <c r="CW137" s="210">
        <f ca="1">CW136/AVERAGE(CS135:CV135)</f>
        <v>0.70914458380661072</v>
      </c>
      <c r="CX137" s="209">
        <f ca="1">CX136/AVERAGE(CW135:CX135)*4</f>
        <v>0.73309242227989357</v>
      </c>
      <c r="CY137" s="209">
        <f ca="1">CY136/AVERAGE(CX135:CY135)*4</f>
        <v>0.68512264865644823</v>
      </c>
      <c r="CZ137" s="209">
        <f ca="1">CZ136/AVERAGE(CY135:CZ135)*4</f>
        <v>0.69504347954834445</v>
      </c>
      <c r="DA137" s="209">
        <f ca="1">DA136/AVERAGE(CZ135:DA135)*4</f>
        <v>0.68048707465168046</v>
      </c>
      <c r="DB137" s="210">
        <f ca="1">DB136/AVERAGE(CX135:DA135)</f>
        <v>0.69139873772495364</v>
      </c>
    </row>
    <row r="138" spans="1:106" ht="11.5" customHeight="1" outlineLevel="1" x14ac:dyDescent="0.35">
      <c r="A138" s="150" t="s">
        <v>214</v>
      </c>
      <c r="B138" s="443" t="e">
        <f>IS!B83</f>
        <v>#DIV/0!</v>
      </c>
      <c r="C138" s="443" t="e">
        <f>IS!C83</f>
        <v>#DIV/0!</v>
      </c>
      <c r="D138" s="443" t="e">
        <f>IS!D83</f>
        <v>#DIV/0!</v>
      </c>
      <c r="E138" s="443" t="e">
        <f>IS!E83</f>
        <v>#DIV/0!</v>
      </c>
      <c r="F138" s="468" t="e">
        <f>IS!F83</f>
        <v>#DIV/0!</v>
      </c>
      <c r="G138" s="443" t="e">
        <f>IS!G83</f>
        <v>#DIV/0!</v>
      </c>
      <c r="H138" s="443" t="e">
        <f>IS!H83</f>
        <v>#DIV/0!</v>
      </c>
      <c r="I138" s="443" t="e">
        <f>IS!I83</f>
        <v>#DIV/0!</v>
      </c>
      <c r="J138" s="443" t="e">
        <f>IS!J83</f>
        <v>#DIV/0!</v>
      </c>
      <c r="K138" s="468" t="e">
        <f>IS!K83</f>
        <v>#DIV/0!</v>
      </c>
      <c r="L138" s="443" t="e">
        <f>IS!L83</f>
        <v>#DIV/0!</v>
      </c>
      <c r="M138" s="443" t="e">
        <f>IS!M83</f>
        <v>#DIV/0!</v>
      </c>
      <c r="N138" s="443" t="e">
        <f>IS!N83</f>
        <v>#DIV/0!</v>
      </c>
      <c r="O138" s="443" t="e">
        <f>IS!O83</f>
        <v>#DIV/0!</v>
      </c>
      <c r="P138" s="468" t="e">
        <f>IS!P83</f>
        <v>#DIV/0!</v>
      </c>
      <c r="Q138" s="443" t="e">
        <f>IS!Q83</f>
        <v>#DIV/0!</v>
      </c>
      <c r="R138" s="443" t="e">
        <f>IS!R83</f>
        <v>#DIV/0!</v>
      </c>
      <c r="S138" s="443" t="e">
        <f>IS!S83</f>
        <v>#DIV/0!</v>
      </c>
      <c r="T138" s="443" t="e">
        <f>IS!T83</f>
        <v>#DIV/0!</v>
      </c>
      <c r="U138" s="468" t="e">
        <f>IS!U83</f>
        <v>#DIV/0!</v>
      </c>
      <c r="V138" s="443" t="e">
        <f>IS!V83</f>
        <v>#DIV/0!</v>
      </c>
      <c r="W138" s="443" t="e">
        <f>IS!W83</f>
        <v>#DIV/0!</v>
      </c>
      <c r="X138" s="443" t="e">
        <f>IS!X83</f>
        <v>#DIV/0!</v>
      </c>
      <c r="Y138" s="443" t="e">
        <f>IS!Y83</f>
        <v>#DIV/0!</v>
      </c>
      <c r="Z138" s="468" t="e">
        <f>IS!Z83</f>
        <v>#DIV/0!</v>
      </c>
      <c r="AA138" s="443" t="e">
        <f>IS!AA83</f>
        <v>#DIV/0!</v>
      </c>
      <c r="AB138" s="443" t="e">
        <f>IS!AB83</f>
        <v>#DIV/0!</v>
      </c>
      <c r="AC138" s="443" t="e">
        <f>IS!AC83</f>
        <v>#DIV/0!</v>
      </c>
      <c r="AD138" s="443" t="e">
        <f>IS!AD83</f>
        <v>#DIV/0!</v>
      </c>
      <c r="AE138" s="468" t="e">
        <f>IS!AE83</f>
        <v>#DIV/0!</v>
      </c>
      <c r="AF138" s="443" t="e">
        <f>IS!AF83</f>
        <v>#DIV/0!</v>
      </c>
      <c r="AG138" s="443" t="e">
        <f>IS!AG83</f>
        <v>#DIV/0!</v>
      </c>
      <c r="AH138" s="443" t="e">
        <f>IS!AH83</f>
        <v>#DIV/0!</v>
      </c>
      <c r="AI138" s="443" t="e">
        <f>IS!AI83</f>
        <v>#DIV/0!</v>
      </c>
      <c r="AJ138" s="468" t="e">
        <f>IS!AJ83</f>
        <v>#DIV/0!</v>
      </c>
      <c r="AK138" s="443">
        <f>IS!AK83</f>
        <v>7.6041142477217979E-2</v>
      </c>
      <c r="AL138" s="443">
        <f>IS!AL83</f>
        <v>9.4224430322110531E-2</v>
      </c>
      <c r="AM138" s="443">
        <f>IS!AM83</f>
        <v>0.15507545929290803</v>
      </c>
      <c r="AN138" s="443">
        <f>IS!AN83</f>
        <v>0.21044279475046943</v>
      </c>
      <c r="AO138" s="468">
        <f>IS!AO83</f>
        <v>0.13855147609556129</v>
      </c>
      <c r="AP138" s="443">
        <f>IS!AP83</f>
        <v>0.13552613396768554</v>
      </c>
      <c r="AQ138" s="443">
        <f>IS!AQ83</f>
        <v>0.13603262342663017</v>
      </c>
      <c r="AR138" s="443">
        <f>IS!AR83</f>
        <v>0.13754666560590961</v>
      </c>
      <c r="AS138" s="443">
        <f>IS!AS83</f>
        <v>0.15588532886958964</v>
      </c>
      <c r="AT138" s="468">
        <f>IS!AT83</f>
        <v>0.14235149615775003</v>
      </c>
      <c r="AU138" s="443">
        <f>IS!AU83</f>
        <v>9.7552688857036676E-2</v>
      </c>
      <c r="AV138" s="443">
        <f>IS!AV83</f>
        <v>0.22811158878434859</v>
      </c>
      <c r="AW138" s="443">
        <f>IS!AW83</f>
        <v>0.11588993744359982</v>
      </c>
      <c r="AX138" s="443">
        <f>IS!AX83</f>
        <v>0.16698491629371789</v>
      </c>
      <c r="AY138" s="468">
        <f>IS!AY83</f>
        <v>0.15709959118080757</v>
      </c>
      <c r="AZ138" s="443">
        <f>IS!AZ83</f>
        <v>2.8593926649979545E-2</v>
      </c>
      <c r="BA138" s="443">
        <f>IS!BA83</f>
        <v>0.15023720167015969</v>
      </c>
      <c r="BB138" s="443">
        <f>IS!BB83</f>
        <v>0.15144048579766001</v>
      </c>
      <c r="BC138" s="443">
        <f>IS!BC83</f>
        <v>0.1968632335051845</v>
      </c>
      <c r="BD138" s="468">
        <f>IS!BD83</f>
        <v>0.14048617869417007</v>
      </c>
      <c r="BE138" s="443">
        <f>IS!BE83</f>
        <v>0.14734766539143968</v>
      </c>
      <c r="BF138" s="443">
        <f>IS!BF83</f>
        <v>0.17415589681324598</v>
      </c>
      <c r="BG138" s="443">
        <f>IS!BG83</f>
        <v>0.14767257678294837</v>
      </c>
      <c r="BH138" s="443">
        <f>IS!BH83</f>
        <v>0.2112034656357703</v>
      </c>
      <c r="BI138" s="468">
        <f>IS!BI83</f>
        <v>0.17243851014931297</v>
      </c>
      <c r="BJ138" s="443">
        <f>IS!BJ83</f>
        <v>0.13836968621332488</v>
      </c>
      <c r="BK138" s="443">
        <f>IS!BK83</f>
        <v>0.14321074084703783</v>
      </c>
      <c r="BL138" s="443">
        <f>IS!BL83</f>
        <v>0.14341452049679332</v>
      </c>
      <c r="BM138" s="443">
        <f>IS!BM83</f>
        <v>0.15811968756783204</v>
      </c>
      <c r="BN138" s="468">
        <f>IS!BN83</f>
        <v>0.14614179632781552</v>
      </c>
      <c r="BO138" s="443">
        <f>IS!BO83</f>
        <v>0.15437948352483208</v>
      </c>
      <c r="BP138" s="443">
        <f>IS!BP83</f>
        <v>0.16677934334231997</v>
      </c>
      <c r="BQ138" s="443">
        <f>IS!BQ83</f>
        <v>0.14393369101737791</v>
      </c>
      <c r="BR138" s="443">
        <f>IS!BR83</f>
        <v>0.19754040187482441</v>
      </c>
      <c r="BS138" s="468">
        <f>IS!BS83</f>
        <v>0.16692179121687828</v>
      </c>
      <c r="BT138" s="443">
        <f>IS!BT83</f>
        <v>0.16866973495967194</v>
      </c>
      <c r="BU138" s="443">
        <f>IS!BU83</f>
        <v>0.17257748588547067</v>
      </c>
      <c r="BV138" s="443">
        <f>IS!BV83</f>
        <v>0.16154514941204995</v>
      </c>
      <c r="BW138" s="443">
        <f>IS!BW83</f>
        <v>0.16018226597653462</v>
      </c>
      <c r="BX138" s="468">
        <f>IS!BX83</f>
        <v>0.16550985530943813</v>
      </c>
      <c r="BY138" s="443">
        <f>IS!BY83</f>
        <v>0.17552853844484059</v>
      </c>
      <c r="BZ138" s="443">
        <f>IS!BZ83</f>
        <v>0.17579918000830239</v>
      </c>
      <c r="CA138" s="443">
        <f>IS!CA83</f>
        <v>0.180145610991682</v>
      </c>
      <c r="CB138" s="443">
        <f>IS!CB83</f>
        <v>0.19023325103982136</v>
      </c>
      <c r="CC138" s="468">
        <f>IS!CC83</f>
        <v>0.18067408671739801</v>
      </c>
      <c r="CD138" s="443">
        <f>IS!CD83</f>
        <v>0.18781622638631104</v>
      </c>
      <c r="CE138" s="443">
        <f>IS!CE83</f>
        <v>0.15997394998444334</v>
      </c>
      <c r="CF138" s="443">
        <f ca="1">IS!CF83</f>
        <v>0.17448299991950036</v>
      </c>
      <c r="CG138" s="443">
        <f ca="1">IS!CG83</f>
        <v>0.18919236263188036</v>
      </c>
      <c r="CH138" s="468">
        <f ca="1">IS!CH83</f>
        <v>0.17787087599059531</v>
      </c>
      <c r="CI138" s="443">
        <f ca="1">IS!CI83</f>
        <v>0.18389383407780982</v>
      </c>
      <c r="CJ138" s="443">
        <f ca="1">IS!CJ83</f>
        <v>0.17532630947853731</v>
      </c>
      <c r="CK138" s="443">
        <f ca="1">IS!CK83</f>
        <v>0.18891076916334418</v>
      </c>
      <c r="CL138" s="443">
        <f ca="1">IS!CL83</f>
        <v>0.19328884816566486</v>
      </c>
      <c r="CM138" s="468">
        <f ca="1">IS!CM83</f>
        <v>0.18533076793513781</v>
      </c>
      <c r="CN138" s="443">
        <f ca="1">IS!CN83</f>
        <v>0.20807505764897397</v>
      </c>
      <c r="CO138" s="443">
        <f ca="1">IS!CO83</f>
        <v>0.18719001170300256</v>
      </c>
      <c r="CP138" s="443">
        <f ca="1">IS!CP83</f>
        <v>0.19417991832095269</v>
      </c>
      <c r="CQ138" s="443">
        <f ca="1">IS!CQ83</f>
        <v>0.20007054945954625</v>
      </c>
      <c r="CR138" s="468">
        <f ca="1">IS!CR83</f>
        <v>0.19716178236658552</v>
      </c>
      <c r="CS138" s="443">
        <f ca="1">IS!CS83</f>
        <v>0.20410692569938679</v>
      </c>
      <c r="CT138" s="443">
        <f ca="1">IS!CT83</f>
        <v>0.18296487393949529</v>
      </c>
      <c r="CU138" s="443">
        <f ca="1">IS!CU83</f>
        <v>0.18869863426852948</v>
      </c>
      <c r="CV138" s="443">
        <f ca="1">IS!CV83</f>
        <v>0.19409855099868903</v>
      </c>
      <c r="CW138" s="468">
        <f ca="1">IS!CW83</f>
        <v>0.19227251412257024</v>
      </c>
      <c r="CX138" s="443">
        <f ca="1">IS!CX83</f>
        <v>0.20228557794330732</v>
      </c>
      <c r="CY138" s="443">
        <f ca="1">IS!CY83</f>
        <v>0.18186618988840753</v>
      </c>
      <c r="CZ138" s="443">
        <f ca="1">IS!CZ83</f>
        <v>0.18748831007046166</v>
      </c>
      <c r="DA138" s="443">
        <f ca="1">IS!DA83</f>
        <v>0.19287596998386658</v>
      </c>
      <c r="DB138" s="468">
        <f ca="1">IS!DB83</f>
        <v>0.19095485228906456</v>
      </c>
    </row>
    <row r="139" spans="1:106" ht="11.5" customHeight="1" outlineLevel="1" x14ac:dyDescent="0.35">
      <c r="A139" s="150" t="s">
        <v>215</v>
      </c>
      <c r="B139" s="469" t="e">
        <f>IS!B59/'BS &amp; FCF'!B4*4</f>
        <v>#DIV/0!</v>
      </c>
      <c r="C139" s="469" t="e">
        <f>IS!C59/'BS &amp; FCF'!C4*4</f>
        <v>#DIV/0!</v>
      </c>
      <c r="D139" s="469" t="e">
        <f>IS!D59/'BS &amp; FCF'!D4*4</f>
        <v>#DIV/0!</v>
      </c>
      <c r="E139" s="469" t="e">
        <f>IS!E59/'BS &amp; FCF'!E4*4</f>
        <v>#DIV/0!</v>
      </c>
      <c r="F139" s="470" t="e">
        <f>IS!F59/'BS &amp; FCF'!F4</f>
        <v>#DIV/0!</v>
      </c>
      <c r="G139" s="469" t="e">
        <f>IS!G59/'BS &amp; FCF'!G4*4</f>
        <v>#DIV/0!</v>
      </c>
      <c r="H139" s="469" t="e">
        <f>IS!H59/'BS &amp; FCF'!H4*4</f>
        <v>#DIV/0!</v>
      </c>
      <c r="I139" s="469" t="e">
        <f>IS!I59/'BS &amp; FCF'!I4*4</f>
        <v>#DIV/0!</v>
      </c>
      <c r="J139" s="469" t="e">
        <f>IS!J59/'BS &amp; FCF'!J4*4</f>
        <v>#DIV/0!</v>
      </c>
      <c r="K139" s="470" t="e">
        <f>IS!K59/'BS &amp; FCF'!K4</f>
        <v>#DIV/0!</v>
      </c>
      <c r="L139" s="469" t="e">
        <f>IS!L59/'BS &amp; FCF'!L4*4</f>
        <v>#DIV/0!</v>
      </c>
      <c r="M139" s="469" t="e">
        <f>IS!M59/'BS &amp; FCF'!M4*4</f>
        <v>#DIV/0!</v>
      </c>
      <c r="N139" s="469" t="e">
        <f>IS!N59/'BS &amp; FCF'!N4*4</f>
        <v>#DIV/0!</v>
      </c>
      <c r="O139" s="469" t="e">
        <f>IS!O59/'BS &amp; FCF'!O4*4</f>
        <v>#DIV/0!</v>
      </c>
      <c r="P139" s="470" t="e">
        <f>IS!P59/'BS &amp; FCF'!P4</f>
        <v>#DIV/0!</v>
      </c>
      <c r="Q139" s="469" t="e">
        <f>IS!Q59/'BS &amp; FCF'!Q4*4</f>
        <v>#DIV/0!</v>
      </c>
      <c r="R139" s="469" t="e">
        <f>IS!R59/'BS &amp; FCF'!R4*4</f>
        <v>#DIV/0!</v>
      </c>
      <c r="S139" s="469" t="e">
        <f>IS!S59/'BS &amp; FCF'!S4*4</f>
        <v>#DIV/0!</v>
      </c>
      <c r="T139" s="469" t="e">
        <f>IS!T59/'BS &amp; FCF'!T4*4</f>
        <v>#DIV/0!</v>
      </c>
      <c r="U139" s="470" t="e">
        <f>IS!U59/'BS &amp; FCF'!U4</f>
        <v>#DIV/0!</v>
      </c>
      <c r="V139" s="469" t="e">
        <f>IS!V59/'BS &amp; FCF'!V4*4</f>
        <v>#DIV/0!</v>
      </c>
      <c r="W139" s="469" t="e">
        <f>IS!W59/'BS &amp; FCF'!W4*4</f>
        <v>#DIV/0!</v>
      </c>
      <c r="X139" s="469" t="e">
        <f>IS!X59/'BS &amp; FCF'!X4*4</f>
        <v>#DIV/0!</v>
      </c>
      <c r="Y139" s="469" t="e">
        <f>IS!Y59/'BS &amp; FCF'!Y4*4</f>
        <v>#DIV/0!</v>
      </c>
      <c r="Z139" s="470" t="e">
        <f>IS!Z59/'BS &amp; FCF'!Z4</f>
        <v>#DIV/0!</v>
      </c>
      <c r="AA139" s="469" t="e">
        <f>IS!AA59/'BS &amp; FCF'!AA4*4</f>
        <v>#DIV/0!</v>
      </c>
      <c r="AB139" s="469" t="e">
        <f>IS!AB59/'BS &amp; FCF'!AB4*4</f>
        <v>#DIV/0!</v>
      </c>
      <c r="AC139" s="469" t="e">
        <f>IS!AC59/'BS &amp; FCF'!AC4*4</f>
        <v>#DIV/0!</v>
      </c>
      <c r="AD139" s="469" t="e">
        <f>IS!AD59/'BS &amp; FCF'!AD4*4</f>
        <v>#DIV/0!</v>
      </c>
      <c r="AE139" s="470" t="e">
        <f>IS!AE59/'BS &amp; FCF'!AE4</f>
        <v>#DIV/0!</v>
      </c>
      <c r="AF139" s="469" t="e">
        <f>IS!AF59/'BS &amp; FCF'!AF4*4</f>
        <v>#DIV/0!</v>
      </c>
      <c r="AG139" s="469" t="e">
        <f>IS!AG59/'BS &amp; FCF'!AG4*4</f>
        <v>#DIV/0!</v>
      </c>
      <c r="AH139" s="469" t="e">
        <f>IS!AH59/'BS &amp; FCF'!AH4*4</f>
        <v>#DIV/0!</v>
      </c>
      <c r="AI139" s="469" t="e">
        <f>IS!AI59/'BS &amp; FCF'!AI4*4</f>
        <v>#DIV/0!</v>
      </c>
      <c r="AJ139" s="470" t="e">
        <f>IS!AJ59/'BS &amp; FCF'!AJ4</f>
        <v>#DIV/0!</v>
      </c>
      <c r="AK139" s="469">
        <f>IS!AK59/AK4*4</f>
        <v>0.5402449626708079</v>
      </c>
      <c r="AL139" s="469">
        <f>IS!AL59/AL4*4</f>
        <v>0.67692892548814287</v>
      </c>
      <c r="AM139" s="469">
        <f>IS!AM59/AM4*4</f>
        <v>0.65726137322046552</v>
      </c>
      <c r="AN139" s="469">
        <f>IS!AN59/AN4*4</f>
        <v>0.69953114221570034</v>
      </c>
      <c r="AO139" s="470">
        <f>IS!AO59/AO4</f>
        <v>0.63838446071791399</v>
      </c>
      <c r="AP139" s="469">
        <f>IS!AP59/AP4*4</f>
        <v>0.52397730571595058</v>
      </c>
      <c r="AQ139" s="469">
        <f>IS!AQ59/AQ4*4</f>
        <v>0.78276294055418427</v>
      </c>
      <c r="AR139" s="469">
        <f>IS!AR59/AR4*4</f>
        <v>0.79929742179750951</v>
      </c>
      <c r="AS139" s="469">
        <f>IS!AS59/AS4*4</f>
        <v>0.97956798879521068</v>
      </c>
      <c r="AT139" s="470">
        <f>IS!AT59/AT4</f>
        <v>0.81473186857745394</v>
      </c>
      <c r="AU139" s="469">
        <f>IS!AU59/AU4*4</f>
        <v>0.69695229056883357</v>
      </c>
      <c r="AV139" s="469">
        <f>IS!AV59/AV4*4</f>
        <v>0.91785176481276265</v>
      </c>
      <c r="AW139" s="469">
        <f>IS!AW59/AW4*4</f>
        <v>0.79021253708974659</v>
      </c>
      <c r="AX139" s="469">
        <f>IS!AX59/AX4*4</f>
        <v>0.93680269689859763</v>
      </c>
      <c r="AY139" s="470">
        <f>IS!AY59/AY4</f>
        <v>0.79136535926298024</v>
      </c>
      <c r="AZ139" s="469">
        <f>IS!AZ59/AZ4*4</f>
        <v>0.71944140045495009</v>
      </c>
      <c r="BA139" s="469">
        <f>IS!BA59/BA4*4</f>
        <v>0.68860210031415914</v>
      </c>
      <c r="BB139" s="469">
        <f>IS!BB59/BB4*4</f>
        <v>0.72613901712981943</v>
      </c>
      <c r="BC139" s="469">
        <f>IS!BC59/BC4*4</f>
        <v>0.8396850026022793</v>
      </c>
      <c r="BD139" s="470">
        <f>IS!BD59/BD4</f>
        <v>0.69597716803914611</v>
      </c>
      <c r="BE139" s="469">
        <f>IS!BE59/BE4*4</f>
        <v>0.70747334745349655</v>
      </c>
      <c r="BF139" s="469">
        <f>IS!BF59/BF4*4</f>
        <v>0.88820950815962063</v>
      </c>
      <c r="BG139" s="469">
        <f>IS!BG59/BG4*4</f>
        <v>0.83859396264303276</v>
      </c>
      <c r="BH139" s="469">
        <f>IS!BH59/BH4*4</f>
        <v>0.75633217625471438</v>
      </c>
      <c r="BI139" s="470">
        <f>IS!BI59/BI4</f>
        <v>0.66910977311866948</v>
      </c>
      <c r="BJ139" s="469">
        <f>IS!BJ59/BJ4*4</f>
        <v>0.60993575465360372</v>
      </c>
      <c r="BK139" s="469">
        <f>IS!BK59/BK4*4</f>
        <v>0.82640059692264034</v>
      </c>
      <c r="BL139" s="469">
        <f>IS!BL59/BL4*4</f>
        <v>0.90009634260767091</v>
      </c>
      <c r="BM139" s="469">
        <f>IS!BM59/BM4*4</f>
        <v>0.82971922480847304</v>
      </c>
      <c r="BN139" s="470">
        <f>IS!BN59/BN4</f>
        <v>0.80662842857301109</v>
      </c>
      <c r="BO139" s="469">
        <f>IS!BO59/BO4*4</f>
        <v>0.8705072286706298</v>
      </c>
      <c r="BP139" s="469">
        <f>IS!BP59/BP4*4</f>
        <v>1.026204854317593</v>
      </c>
      <c r="BQ139" s="469">
        <f>IS!BQ59/BQ4*4</f>
        <v>0.95457517460099817</v>
      </c>
      <c r="BR139" s="469">
        <f>IS!BR59/BR4*4</f>
        <v>1.0499223324017966</v>
      </c>
      <c r="BS139" s="470">
        <f>IS!BS59/BS4</f>
        <v>0.93342513946371031</v>
      </c>
      <c r="BT139" s="469">
        <f>IS!BT59/BT4*4</f>
        <v>0.9815532822638805</v>
      </c>
      <c r="BU139" s="469">
        <f>IS!BU59/BU4*4</f>
        <v>1.0021761335210664</v>
      </c>
      <c r="BV139" s="469">
        <f>IS!BV59/BV4*4</f>
        <v>1.0672672120227671</v>
      </c>
      <c r="BW139" s="469">
        <f>IS!BW59/BW4*4</f>
        <v>0.95404529998536625</v>
      </c>
      <c r="BX139" s="470">
        <f>IS!BX59/BX4</f>
        <v>0.90482670572062973</v>
      </c>
      <c r="BY139" s="469">
        <f>IS!BY59/BY4*4</f>
        <v>0.99872058284924059</v>
      </c>
      <c r="BZ139" s="469">
        <f>IS!BZ59/BZ4*4</f>
        <v>1.0390496538942013</v>
      </c>
      <c r="CA139" s="469">
        <f>IS!CA59/CA4*4</f>
        <v>1.006340024683962</v>
      </c>
      <c r="CB139" s="469">
        <f>IS!CB59/CB4*4</f>
        <v>1.0043267228412589</v>
      </c>
      <c r="CC139" s="470">
        <f>IS!CC59/CC4</f>
        <v>0.95490746578546426</v>
      </c>
      <c r="CD139" s="469">
        <f>IS!CD59/CD4*4</f>
        <v>1.0411262262353225</v>
      </c>
      <c r="CE139" s="469">
        <f>IS!CE59/CE4*4</f>
        <v>1.0770671826702805</v>
      </c>
      <c r="CF139" s="469">
        <f ca="1">IS!CF59/CF4*4</f>
        <v>1.0856806388636924</v>
      </c>
      <c r="CG139" s="469">
        <f ca="1">IS!CG59/CG4*4</f>
        <v>1.0752924370716896</v>
      </c>
      <c r="CH139" s="470">
        <f ca="1">IS!CH59/CH4</f>
        <v>1.0321742421177826</v>
      </c>
      <c r="CI139" s="469">
        <f ca="1">IS!CI59/CI4*4</f>
        <v>1.0277586796792801</v>
      </c>
      <c r="CJ139" s="469">
        <f ca="1">IS!CJ59/CJ4*4</f>
        <v>1.1561204287314604</v>
      </c>
      <c r="CK139" s="469">
        <f ca="1">IS!CK59/CK4*4</f>
        <v>1.1480740388386355</v>
      </c>
      <c r="CL139" s="469">
        <f ca="1">IS!CL59/CL4*4</f>
        <v>1.0741319085674159</v>
      </c>
      <c r="CM139" s="470">
        <f ca="1">IS!CM59/CM4</f>
        <v>1.07629130100019</v>
      </c>
      <c r="CN139" s="469">
        <f ca="1">IS!CN59/CN4*4</f>
        <v>1.0245264155793494</v>
      </c>
      <c r="CO139" s="469">
        <f ca="1">IS!CO59/CO4*4</f>
        <v>1.1318772025859707</v>
      </c>
      <c r="CP139" s="469">
        <f ca="1">IS!CP59/CP4*4</f>
        <v>1.1414264619083643</v>
      </c>
      <c r="CQ139" s="469">
        <f ca="1">IS!CQ59/CQ4*4</f>
        <v>1.1065449458217913</v>
      </c>
      <c r="CR139" s="470">
        <f ca="1">IS!CR59/CR4</f>
        <v>1.1005024220718274</v>
      </c>
      <c r="CS139" s="469">
        <f ca="1">IS!CS59/CS4*4</f>
        <v>1.0466641637821317</v>
      </c>
      <c r="CT139" s="469">
        <f ca="1">IS!CT59/CT4*4</f>
        <v>1.1490131953267337</v>
      </c>
      <c r="CU139" s="469">
        <f ca="1">IS!CU59/CU4*4</f>
        <v>1.1531369966575344</v>
      </c>
      <c r="CV139" s="469">
        <f ca="1">IS!CV59/CV4*4</f>
        <v>1.1172738959252908</v>
      </c>
      <c r="CW139" s="470">
        <f ca="1">IS!CW59/CW4</f>
        <v>1.1223411446792479</v>
      </c>
      <c r="CX139" s="469">
        <f ca="1">IS!CX59/CX4*4</f>
        <v>1.0551810985073178</v>
      </c>
      <c r="CY139" s="469">
        <f ca="1">IS!CY59/CY4*4</f>
        <v>1.1596149302783199</v>
      </c>
      <c r="CZ139" s="469">
        <f ca="1">IS!CZ59/CZ4*4</f>
        <v>1.1719865495652249</v>
      </c>
      <c r="DA139" s="469">
        <f ca="1">IS!DA59/DA4*4</f>
        <v>1.1474353089619809</v>
      </c>
      <c r="DB139" s="470">
        <f ca="1">IS!DB59/DB4</f>
        <v>1.1572148460543885</v>
      </c>
    </row>
    <row r="140" spans="1:106" ht="11.5" customHeight="1" outlineLevel="1" x14ac:dyDescent="0.35">
      <c r="A140" s="150" t="s">
        <v>216</v>
      </c>
      <c r="B140" s="212" t="e">
        <f t="shared" ref="B140:AE140" si="823">B4/B43</f>
        <v>#DIV/0!</v>
      </c>
      <c r="C140" s="212" t="e">
        <f t="shared" si="823"/>
        <v>#DIV/0!</v>
      </c>
      <c r="D140" s="212" t="e">
        <f t="shared" si="823"/>
        <v>#DIV/0!</v>
      </c>
      <c r="E140" s="212" t="e">
        <f t="shared" si="823"/>
        <v>#DIV/0!</v>
      </c>
      <c r="F140" s="211" t="e">
        <f t="shared" si="823"/>
        <v>#DIV/0!</v>
      </c>
      <c r="G140" s="212" t="e">
        <f t="shared" si="823"/>
        <v>#DIV/0!</v>
      </c>
      <c r="H140" s="212" t="e">
        <f t="shared" si="823"/>
        <v>#DIV/0!</v>
      </c>
      <c r="I140" s="212" t="e">
        <f t="shared" si="823"/>
        <v>#DIV/0!</v>
      </c>
      <c r="J140" s="212" t="e">
        <f t="shared" si="823"/>
        <v>#DIV/0!</v>
      </c>
      <c r="K140" s="211" t="e">
        <f t="shared" si="823"/>
        <v>#DIV/0!</v>
      </c>
      <c r="L140" s="212" t="e">
        <f t="shared" si="823"/>
        <v>#DIV/0!</v>
      </c>
      <c r="M140" s="212" t="e">
        <f t="shared" si="823"/>
        <v>#DIV/0!</v>
      </c>
      <c r="N140" s="212" t="e">
        <f t="shared" si="823"/>
        <v>#DIV/0!</v>
      </c>
      <c r="O140" s="212" t="e">
        <f t="shared" si="823"/>
        <v>#DIV/0!</v>
      </c>
      <c r="P140" s="211" t="e">
        <f t="shared" si="823"/>
        <v>#DIV/0!</v>
      </c>
      <c r="Q140" s="212" t="e">
        <f t="shared" si="823"/>
        <v>#DIV/0!</v>
      </c>
      <c r="R140" s="212" t="e">
        <f t="shared" si="823"/>
        <v>#DIV/0!</v>
      </c>
      <c r="S140" s="212" t="e">
        <f t="shared" si="823"/>
        <v>#DIV/0!</v>
      </c>
      <c r="T140" s="212" t="e">
        <f t="shared" si="823"/>
        <v>#DIV/0!</v>
      </c>
      <c r="U140" s="211" t="e">
        <f t="shared" si="823"/>
        <v>#DIV/0!</v>
      </c>
      <c r="V140" s="212" t="e">
        <f t="shared" si="823"/>
        <v>#DIV/0!</v>
      </c>
      <c r="W140" s="212" t="e">
        <f t="shared" si="823"/>
        <v>#DIV/0!</v>
      </c>
      <c r="X140" s="212" t="e">
        <f t="shared" si="823"/>
        <v>#DIV/0!</v>
      </c>
      <c r="Y140" s="212" t="e">
        <f t="shared" si="823"/>
        <v>#DIV/0!</v>
      </c>
      <c r="Z140" s="211" t="e">
        <f t="shared" si="823"/>
        <v>#DIV/0!</v>
      </c>
      <c r="AA140" s="212" t="e">
        <f t="shared" si="823"/>
        <v>#DIV/0!</v>
      </c>
      <c r="AB140" s="212" t="e">
        <f t="shared" si="823"/>
        <v>#DIV/0!</v>
      </c>
      <c r="AC140" s="212" t="e">
        <f t="shared" si="823"/>
        <v>#DIV/0!</v>
      </c>
      <c r="AD140" s="212" t="e">
        <f t="shared" si="823"/>
        <v>#DIV/0!</v>
      </c>
      <c r="AE140" s="211" t="e">
        <f t="shared" si="823"/>
        <v>#DIV/0!</v>
      </c>
      <c r="AF140" s="212" t="e">
        <f t="shared" ref="AF140:AG140" si="824">AF4/AF43</f>
        <v>#DIV/0!</v>
      </c>
      <c r="AG140" s="212" t="e">
        <f t="shared" si="824"/>
        <v>#DIV/0!</v>
      </c>
      <c r="AH140" s="212" t="e">
        <f t="shared" ref="AH140:BM140" si="825">AH4/AH43</f>
        <v>#DIV/0!</v>
      </c>
      <c r="AI140" s="212" t="e">
        <f t="shared" si="825"/>
        <v>#DIV/0!</v>
      </c>
      <c r="AJ140" s="211" t="e">
        <f t="shared" si="825"/>
        <v>#DIV/0!</v>
      </c>
      <c r="AK140" s="212">
        <f t="shared" si="825"/>
        <v>5.0942884096588932</v>
      </c>
      <c r="AL140" s="212">
        <f t="shared" si="825"/>
        <v>4.7073598242612809</v>
      </c>
      <c r="AM140" s="212">
        <f t="shared" si="825"/>
        <v>4.4745663289525437</v>
      </c>
      <c r="AN140" s="212">
        <f t="shared" si="825"/>
        <v>6.0130659803727484</v>
      </c>
      <c r="AO140" s="211">
        <f t="shared" si="825"/>
        <v>6.0130659803727484</v>
      </c>
      <c r="AP140" s="212">
        <f t="shared" si="825"/>
        <v>4.1531878068724764</v>
      </c>
      <c r="AQ140" s="212">
        <f t="shared" si="825"/>
        <v>3.8958740049824825</v>
      </c>
      <c r="AR140" s="212">
        <f t="shared" si="825"/>
        <v>4.2118989170598242</v>
      </c>
      <c r="AS140" s="212">
        <f t="shared" si="825"/>
        <v>5.3058111732735824</v>
      </c>
      <c r="AT140" s="211">
        <f t="shared" si="825"/>
        <v>5.3058111732735824</v>
      </c>
      <c r="AU140" s="212">
        <f t="shared" si="825"/>
        <v>4.6748551413992905</v>
      </c>
      <c r="AV140" s="212">
        <f t="shared" si="825"/>
        <v>3.9912736502550175</v>
      </c>
      <c r="AW140" s="212">
        <f t="shared" si="825"/>
        <v>4.1030619171153075</v>
      </c>
      <c r="AX140" s="212">
        <f t="shared" si="825"/>
        <v>6.0295297614867867</v>
      </c>
      <c r="AY140" s="211">
        <f t="shared" si="825"/>
        <v>6.0295297614867867</v>
      </c>
      <c r="AZ140" s="212">
        <f t="shared" si="825"/>
        <v>5.7419110097494936</v>
      </c>
      <c r="BA140" s="212">
        <f t="shared" si="825"/>
        <v>5.5626227620836781</v>
      </c>
      <c r="BB140" s="212">
        <f t="shared" si="825"/>
        <v>3.9053355870407471</v>
      </c>
      <c r="BC140" s="212">
        <f t="shared" si="825"/>
        <v>3.3602307830606541</v>
      </c>
      <c r="BD140" s="211">
        <f t="shared" si="825"/>
        <v>3.3602307830606541</v>
      </c>
      <c r="BE140" s="212">
        <f t="shared" si="825"/>
        <v>3.5559775848677466</v>
      </c>
      <c r="BF140" s="212">
        <f t="shared" si="825"/>
        <v>3.7553048204813644</v>
      </c>
      <c r="BG140" s="212">
        <f t="shared" si="825"/>
        <v>3.5770679100578651</v>
      </c>
      <c r="BH140" s="212">
        <f t="shared" si="825"/>
        <v>4.3950783118873691</v>
      </c>
      <c r="BI140" s="211">
        <f t="shared" si="825"/>
        <v>4.3950783118873691</v>
      </c>
      <c r="BJ140" s="212">
        <f t="shared" si="825"/>
        <v>4.5268898499784758</v>
      </c>
      <c r="BK140" s="212">
        <f t="shared" si="825"/>
        <v>4.4995450535757247</v>
      </c>
      <c r="BL140" s="212">
        <f t="shared" si="825"/>
        <v>3.7719802248408505</v>
      </c>
      <c r="BM140" s="212">
        <f t="shared" si="825"/>
        <v>3.7226197460015937</v>
      </c>
      <c r="BN140" s="211">
        <f t="shared" ref="BN140:CS140" si="826">BN4/BN43</f>
        <v>3.7226197460015937</v>
      </c>
      <c r="BO140" s="212">
        <f t="shared" si="826"/>
        <v>3.2407318281716386</v>
      </c>
      <c r="BP140" s="212">
        <f t="shared" si="826"/>
        <v>2.9396585761674849</v>
      </c>
      <c r="BQ140" s="212">
        <f t="shared" si="826"/>
        <v>3.4127856027920913</v>
      </c>
      <c r="BR140" s="212">
        <f t="shared" si="826"/>
        <v>3.5747377061499597</v>
      </c>
      <c r="BS140" s="211">
        <f t="shared" si="826"/>
        <v>3.5747377061499597</v>
      </c>
      <c r="BT140" s="212">
        <f t="shared" si="826"/>
        <v>3.39142978674347</v>
      </c>
      <c r="BU140" s="212">
        <f t="shared" si="826"/>
        <v>4.3611121754485449</v>
      </c>
      <c r="BV140" s="212">
        <f t="shared" si="826"/>
        <v>3.6505575522313158</v>
      </c>
      <c r="BW140" s="212">
        <f t="shared" si="826"/>
        <v>3.9611262745670808</v>
      </c>
      <c r="BX140" s="211">
        <f t="shared" si="826"/>
        <v>3.9611262745670808</v>
      </c>
      <c r="BY140" s="212">
        <f t="shared" si="826"/>
        <v>4.2955945835115461</v>
      </c>
      <c r="BZ140" s="212">
        <f t="shared" ref="BZ140:CA140" si="827">BZ4/BZ43</f>
        <v>3.8978110751536881</v>
      </c>
      <c r="CA140" s="212">
        <f t="shared" si="827"/>
        <v>4.0657750640511514</v>
      </c>
      <c r="CB140" s="212">
        <f t="shared" si="826"/>
        <v>4.0923286140466928</v>
      </c>
      <c r="CC140" s="211">
        <f t="shared" si="826"/>
        <v>4.0923286140466928</v>
      </c>
      <c r="CD140" s="212">
        <f t="shared" ref="CD140:CE140" si="828">CD4/CD43</f>
        <v>4.0111325265947286</v>
      </c>
      <c r="CE140" s="212">
        <f t="shared" si="828"/>
        <v>3.793606014172604</v>
      </c>
      <c r="CF140" s="212">
        <f t="shared" ca="1" si="826"/>
        <v>3.6439202832721476</v>
      </c>
      <c r="CG140" s="212">
        <f t="shared" ca="1" si="826"/>
        <v>3.4969306250881029</v>
      </c>
      <c r="CH140" s="211">
        <f t="shared" ca="1" si="826"/>
        <v>3.4969306250881029</v>
      </c>
      <c r="CI140" s="212">
        <f t="shared" ca="1" si="826"/>
        <v>3.6872314684978726</v>
      </c>
      <c r="CJ140" s="212">
        <f t="shared" ca="1" si="826"/>
        <v>3.5243765137629883</v>
      </c>
      <c r="CK140" s="212">
        <f t="shared" ca="1" si="826"/>
        <v>3.3842435057521176</v>
      </c>
      <c r="CL140" s="212">
        <f t="shared" ca="1" si="826"/>
        <v>3.301754071188709</v>
      </c>
      <c r="CM140" s="211">
        <f t="shared" ca="1" si="826"/>
        <v>3.301754071188709</v>
      </c>
      <c r="CN140" s="212">
        <f t="shared" ca="1" si="826"/>
        <v>3.4992917851119416</v>
      </c>
      <c r="CO140" s="212">
        <f t="shared" ca="1" si="826"/>
        <v>3.3730794735958676</v>
      </c>
      <c r="CP140" s="212">
        <f t="shared" ca="1" si="826"/>
        <v>3.2907380941735394</v>
      </c>
      <c r="CQ140" s="212">
        <f t="shared" ca="1" si="826"/>
        <v>3.2518338649713767</v>
      </c>
      <c r="CR140" s="211">
        <f t="shared" ca="1" si="826"/>
        <v>3.2518338649713767</v>
      </c>
      <c r="CS140" s="212">
        <f t="shared" ca="1" si="826"/>
        <v>3.4603587886782972</v>
      </c>
      <c r="CT140" s="212">
        <f t="shared" ref="CT140:DB140" ca="1" si="829">CT4/CT43</f>
        <v>3.3236994208433037</v>
      </c>
      <c r="CU140" s="212">
        <f t="shared" ca="1" si="829"/>
        <v>3.2443387750014332</v>
      </c>
      <c r="CV140" s="212">
        <f t="shared" ca="1" si="829"/>
        <v>3.1986523353897089</v>
      </c>
      <c r="CW140" s="211">
        <f t="shared" ca="1" si="829"/>
        <v>3.1986523353897089</v>
      </c>
      <c r="CX140" s="212">
        <f t="shared" ca="1" si="829"/>
        <v>3.3846015281409549</v>
      </c>
      <c r="CY140" s="212">
        <f t="shared" ca="1" si="829"/>
        <v>3.2332810237185989</v>
      </c>
      <c r="CZ140" s="212">
        <f t="shared" ca="1" si="829"/>
        <v>3.1286584994761539</v>
      </c>
      <c r="DA140" s="212">
        <f t="shared" ca="1" si="829"/>
        <v>3.049261967314048</v>
      </c>
      <c r="DB140" s="211">
        <f t="shared" ca="1" si="829"/>
        <v>3.049261967314048</v>
      </c>
    </row>
    <row r="141" spans="1:106" ht="11.5" customHeight="1" outlineLevel="1" x14ac:dyDescent="0.35">
      <c r="A141" s="157" t="s">
        <v>219</v>
      </c>
      <c r="B141" s="213" t="e">
        <f t="shared" ref="B141:E141" si="830">B138*AVERAGE(A139:B139)*AVERAGE(A140:B140)</f>
        <v>#DIV/0!</v>
      </c>
      <c r="C141" s="213" t="e">
        <f t="shared" si="830"/>
        <v>#DIV/0!</v>
      </c>
      <c r="D141" s="213" t="e">
        <f t="shared" si="830"/>
        <v>#DIV/0!</v>
      </c>
      <c r="E141" s="213" t="e">
        <f t="shared" si="830"/>
        <v>#DIV/0!</v>
      </c>
      <c r="F141" s="214" t="e">
        <f t="shared" ref="F141" si="831">F138*AVERAGE(B139:E139)*AVERAGE(B140:E140)</f>
        <v>#DIV/0!</v>
      </c>
      <c r="G141" s="213" t="e">
        <f t="shared" ref="G141:J141" si="832">G138*AVERAGE(F139:G139)*AVERAGE(F140:G140)</f>
        <v>#DIV/0!</v>
      </c>
      <c r="H141" s="213" t="e">
        <f t="shared" si="832"/>
        <v>#DIV/0!</v>
      </c>
      <c r="I141" s="213" t="e">
        <f t="shared" si="832"/>
        <v>#DIV/0!</v>
      </c>
      <c r="J141" s="213" t="e">
        <f t="shared" si="832"/>
        <v>#DIV/0!</v>
      </c>
      <c r="K141" s="214" t="e">
        <f t="shared" ref="K141" si="833">K138*AVERAGE(G139:J139)*AVERAGE(G140:J140)</f>
        <v>#DIV/0!</v>
      </c>
      <c r="L141" s="213" t="e">
        <f t="shared" ref="L141:O141" si="834">L138*AVERAGE(K139:L139)*AVERAGE(K140:L140)</f>
        <v>#DIV/0!</v>
      </c>
      <c r="M141" s="213" t="e">
        <f t="shared" si="834"/>
        <v>#DIV/0!</v>
      </c>
      <c r="N141" s="213" t="e">
        <f t="shared" si="834"/>
        <v>#DIV/0!</v>
      </c>
      <c r="O141" s="213" t="e">
        <f t="shared" si="834"/>
        <v>#DIV/0!</v>
      </c>
      <c r="P141" s="214" t="e">
        <f t="shared" ref="P141" si="835">P138*AVERAGE(L139:O139)*AVERAGE(L140:O140)</f>
        <v>#DIV/0!</v>
      </c>
      <c r="Q141" s="213" t="e">
        <f t="shared" ref="Q141:T141" si="836">Q138*AVERAGE(P139:Q139)*AVERAGE(P140:Q140)</f>
        <v>#DIV/0!</v>
      </c>
      <c r="R141" s="213" t="e">
        <f t="shared" si="836"/>
        <v>#DIV/0!</v>
      </c>
      <c r="S141" s="213" t="e">
        <f t="shared" si="836"/>
        <v>#DIV/0!</v>
      </c>
      <c r="T141" s="213" t="e">
        <f t="shared" si="836"/>
        <v>#DIV/0!</v>
      </c>
      <c r="U141" s="214" t="e">
        <f t="shared" ref="U141" si="837">U138*AVERAGE(Q139:T139)*AVERAGE(Q140:T140)</f>
        <v>#DIV/0!</v>
      </c>
      <c r="V141" s="213" t="e">
        <f t="shared" ref="V141:Y141" si="838">V138*AVERAGE(U139:V139)*AVERAGE(U140:V140)</f>
        <v>#DIV/0!</v>
      </c>
      <c r="W141" s="213" t="e">
        <f t="shared" si="838"/>
        <v>#DIV/0!</v>
      </c>
      <c r="X141" s="213" t="e">
        <f t="shared" si="838"/>
        <v>#DIV/0!</v>
      </c>
      <c r="Y141" s="213" t="e">
        <f t="shared" si="838"/>
        <v>#DIV/0!</v>
      </c>
      <c r="Z141" s="214" t="e">
        <f t="shared" ref="Z141" si="839">Z138*AVERAGE(V139:Y139)*AVERAGE(V140:Y140)</f>
        <v>#DIV/0!</v>
      </c>
      <c r="AA141" s="213" t="e">
        <f t="shared" ref="AA141:AD141" si="840">AA138*AVERAGE(Z139:AA139)*AVERAGE(Z140:AA140)</f>
        <v>#DIV/0!</v>
      </c>
      <c r="AB141" s="213" t="e">
        <f t="shared" si="840"/>
        <v>#DIV/0!</v>
      </c>
      <c r="AC141" s="213" t="e">
        <f t="shared" si="840"/>
        <v>#DIV/0!</v>
      </c>
      <c r="AD141" s="213" t="e">
        <f t="shared" si="840"/>
        <v>#DIV/0!</v>
      </c>
      <c r="AE141" s="214" t="e">
        <f t="shared" ref="AE141" si="841">AE138*AVERAGE(AA139:AD139)*AVERAGE(AA140:AD140)</f>
        <v>#DIV/0!</v>
      </c>
      <c r="AF141" s="213" t="e">
        <f>AF138*AVERAGE(AE139:AF139)*AVERAGE(AE140:AF140)</f>
        <v>#DIV/0!</v>
      </c>
      <c r="AG141" s="213" t="e">
        <f>AG138*AVERAGE(AF139:AG139)*AVERAGE(AF140:AG140)</f>
        <v>#DIV/0!</v>
      </c>
      <c r="AH141" s="213" t="e">
        <f>AH138*AVERAGE(AG139:AH139)*AVERAGE(AG140:AH140)</f>
        <v>#DIV/0!</v>
      </c>
      <c r="AI141" s="213" t="e">
        <f>AI138*AVERAGE(AH139:AI139)*AVERAGE(AH140:AI140)</f>
        <v>#DIV/0!</v>
      </c>
      <c r="AJ141" s="214" t="e">
        <f>AJ138*AVERAGE(AF139:AI139)*AVERAGE(AF140:AI140)</f>
        <v>#DIV/0!</v>
      </c>
      <c r="AK141" s="213" t="e">
        <f>AK138*AVERAGE(AJ139:AK139)*AVERAGE(AJ140:AK140)</f>
        <v>#DIV/0!</v>
      </c>
      <c r="AL141" s="213">
        <f>AL138*AVERAGE(AK139:AL139)*AVERAGE(AK140:AL140)</f>
        <v>0.28103167268968865</v>
      </c>
      <c r="AM141" s="213">
        <f>AM138*AVERAGE(AL139:AM139)*AVERAGE(AL140:AM140)</f>
        <v>0.47493552821135404</v>
      </c>
      <c r="AN141" s="213">
        <f>AN138*AVERAGE(AM139:AN139)*AVERAGE(AM140:AN140)</f>
        <v>0.7486260951683269</v>
      </c>
      <c r="AO141" s="214">
        <f>AO138*AVERAGE(AK139:AN139)*AVERAGE(AK140:AN140)</f>
        <v>0.45223138125766688</v>
      </c>
      <c r="AP141" s="213">
        <f>AP138*AVERAGE(AO139:AP139)*AVERAGE(AO140:AP140)</f>
        <v>0.40037349744669926</v>
      </c>
      <c r="AQ141" s="213">
        <f>AQ138*AVERAGE(AP139:AQ139)*AVERAGE(AP140:AQ140)</f>
        <v>0.35769890605465782</v>
      </c>
      <c r="AR141" s="213">
        <f>AR138*AVERAGE(AQ139:AR139)*AVERAGE(AQ140:AR140)</f>
        <v>0.44107729425795117</v>
      </c>
      <c r="AS141" s="213">
        <f>AS138*AVERAGE(AR139:AS139)*AVERAGE(AR140:AS140)</f>
        <v>0.65981291909071316</v>
      </c>
      <c r="AT141" s="214">
        <f>AT138*AVERAGE(AP139:AS139)*AVERAGE(AP140:AS140)</f>
        <v>0.4822524444245232</v>
      </c>
      <c r="AU141" s="213">
        <f>AU138*AVERAGE(AT139:AU139)*AVERAGE(AT140:AU140)</f>
        <v>0.36795935696150989</v>
      </c>
      <c r="AV141" s="213">
        <f>AV138*AVERAGE(AU139:AV139)*AVERAGE(AU140:AV140)</f>
        <v>0.79805409143114148</v>
      </c>
      <c r="AW141" s="213">
        <f>AW138*AVERAGE(AV139:AW139)*AVERAGE(AV140:AW140)</f>
        <v>0.40056330180161942</v>
      </c>
      <c r="AX141" s="213">
        <f>AX138*AVERAGE(AW139:AX139)*AVERAGE(AW140:AX140)</f>
        <v>0.73052311490675104</v>
      </c>
      <c r="AY141" s="214">
        <f>AY138*AVERAGE(AU139:AX139)*AVERAGE(AU140:AX140)</f>
        <v>0.61683118744289134</v>
      </c>
      <c r="AZ141" s="213">
        <f>AZ138*AVERAGE(AY139:AZ139)*AVERAGE(AY140:AZ140)</f>
        <v>0.12713125918549059</v>
      </c>
      <c r="BA141" s="213">
        <f>BA138*AVERAGE(AZ139:BA139)*AVERAGE(AZ140:BA140)</f>
        <v>0.59784172507133004</v>
      </c>
      <c r="BB141" s="213">
        <f>BB138*AVERAGE(BA139:BB139)*AVERAGE(BA140:BB140)</f>
        <v>0.50712534642385187</v>
      </c>
      <c r="BC141" s="213">
        <f>BC138*AVERAGE(BB139:BC139)*AVERAGE(BB140:BC140)</f>
        <v>0.55990848383923342</v>
      </c>
      <c r="BD141" s="214">
        <f>BD138*AVERAGE(AZ139:BC139)*AVERAGE(AZ140:BC140)</f>
        <v>0.48489698125070285</v>
      </c>
      <c r="BE141" s="213">
        <f>BE138*AVERAGE(BD139:BE139)*AVERAGE(BD140:BE140)</f>
        <v>0.35755959873660248</v>
      </c>
      <c r="BF141" s="213">
        <f>BF138*AVERAGE(BE139:BF139)*AVERAGE(BE140:BF140)</f>
        <v>0.5079469194988484</v>
      </c>
      <c r="BG141" s="213">
        <f>BG138*AVERAGE(BF139:BG139)*AVERAGE(BF140:BG140)</f>
        <v>0.46744154444776764</v>
      </c>
      <c r="BH141" s="213">
        <f>BH138*AVERAGE(BG139:BH139)*AVERAGE(BG140:BH140)</f>
        <v>0.67136219229993821</v>
      </c>
      <c r="BI141" s="214">
        <f>BI138*AVERAGE(BE139:BH139)*AVERAGE(BE140:BH140)</f>
        <v>0.52554348617851476</v>
      </c>
      <c r="BJ141" s="213">
        <f>BJ138*AVERAGE(BI139:BJ139)*AVERAGE(BI140:BJ140)</f>
        <v>0.39475499805374376</v>
      </c>
      <c r="BK141" s="213">
        <f>BK138*AVERAGE(BJ139:BK139)*AVERAGE(BJ140:BK140)</f>
        <v>0.46418169122186209</v>
      </c>
      <c r="BL141" s="213">
        <f>BL138*AVERAGE(BK139:BL139)*AVERAGE(BK140:BL140)</f>
        <v>0.51201719730547424</v>
      </c>
      <c r="BM141" s="213">
        <f>BM138*AVERAGE(BL139:BM139)*AVERAGE(BL140:BM140)</f>
        <v>0.51247680585107636</v>
      </c>
      <c r="BN141" s="214">
        <f>BN138*AVERAGE(BJ139:BM139)*AVERAGE(BJ140:BM140)</f>
        <v>0.47777503831222978</v>
      </c>
      <c r="BO141" s="213">
        <f>BO138*AVERAGE(BN139:BO139)*AVERAGE(BN140:BO140)</f>
        <v>0.45072962911422676</v>
      </c>
      <c r="BP141" s="213">
        <f>BP138*AVERAGE(BO139:BP139)*AVERAGE(BO140:BP140)</f>
        <v>0.48876442575726209</v>
      </c>
      <c r="BQ141" s="213">
        <f>BQ138*AVERAGE(BP139:BQ139)*AVERAGE(BP140:BQ140)</f>
        <v>0.45277201624558955</v>
      </c>
      <c r="BR141" s="213">
        <f>BR138*AVERAGE(BQ139:BR139)*AVERAGE(BQ140:BR140)</f>
        <v>0.69171107892960526</v>
      </c>
      <c r="BS141" s="214">
        <f>BS138*AVERAGE(BO139:BR139)*AVERAGE(BO140:BR140)</f>
        <v>0.53593153081780898</v>
      </c>
      <c r="BT141" s="213">
        <f>BT138*AVERAGE(BS139:BT139)*AVERAGE(BS140:BT140)</f>
        <v>0.56251611431200588</v>
      </c>
      <c r="BU141" s="213">
        <f>BU138*AVERAGE(BT139:BU139)*AVERAGE(BT140:BU140)</f>
        <v>0.66351493910815351</v>
      </c>
      <c r="BV141" s="213">
        <f>BV138*AVERAGE(BU139:BV139)*AVERAGE(BU140:BV140)</f>
        <v>0.66959239130083981</v>
      </c>
      <c r="BW141" s="213">
        <f>BW138*AVERAGE(BV139:BW139)*AVERAGE(BV140:BW140)</f>
        <v>0.61612473773881982</v>
      </c>
      <c r="BX141" s="214">
        <f>BX138*AVERAGE(BT139:BW139)*AVERAGE(BT140:BW140)</f>
        <v>0.63653402640760104</v>
      </c>
      <c r="BY141" s="213">
        <f>BY138*AVERAGE(BX139:BY139)*AVERAGE(BX140:BY140)</f>
        <v>0.68969808125970722</v>
      </c>
      <c r="BZ141" s="213">
        <f>BZ138*AVERAGE(BY139:BZ139)*AVERAGE(BY140:BZ140)</f>
        <v>0.73379800369509207</v>
      </c>
      <c r="CA141" s="213">
        <f>CA138*AVERAGE(BZ139:CA139)*AVERAGE(BZ140:CA140)</f>
        <v>0.73358161135470279</v>
      </c>
      <c r="CB141" s="213">
        <f>CB138*AVERAGE(CA139:CB139)*AVERAGE(CA140:CB140)</f>
        <v>0.78010983743420903</v>
      </c>
      <c r="CC141" s="214">
        <f>CC138*AVERAGE(BY139:CB139)*AVERAGE(BY140:CB140)</f>
        <v>0.74751707226590225</v>
      </c>
      <c r="CD141" s="213">
        <f>CD138*AVERAGE(CC139:CD139)*AVERAGE(CC140:CD140)</f>
        <v>0.75947160404914538</v>
      </c>
      <c r="CE141" s="213">
        <f>CE138*AVERAGE(CD139:CE139)*AVERAGE(CD140:CE140)</f>
        <v>0.66117016505049941</v>
      </c>
      <c r="CF141" s="213">
        <f ca="1">CF138*AVERAGE(CE139:CF139)*AVERAGE(CE140:CF140)</f>
        <v>0.70166130323922882</v>
      </c>
      <c r="CG141" s="213">
        <f ca="1">CG138*AVERAGE(CF139:CG139)*AVERAGE(CF140:CG140)</f>
        <v>0.7298656605076701</v>
      </c>
      <c r="CH141" s="214">
        <f ca="1">CH138*AVERAGE(CD139:CG139)*AVERAGE(CD140:CG140)</f>
        <v>0.71097952314268387</v>
      </c>
      <c r="CI141" s="213">
        <f ca="1">CI138*AVERAGE(CH139:CI139)*AVERAGE(CH140:CI140)</f>
        <v>0.68035624805233141</v>
      </c>
      <c r="CJ141" s="213">
        <f ca="1">CJ138*AVERAGE(CI139:CJ139)*AVERAGE(CI140:CJ140)</f>
        <v>0.69031578529660043</v>
      </c>
      <c r="CK141" s="213">
        <f ca="1">CK138*AVERAGE(CJ139:CK139)*AVERAGE(CJ140:CK140)</f>
        <v>0.75180837824939761</v>
      </c>
      <c r="CL141" s="213">
        <f ca="1">CL138*AVERAGE(CK139:CL139)*AVERAGE(CK140:CL140)</f>
        <v>0.71795516994410613</v>
      </c>
      <c r="CM141" s="214">
        <f ca="1">CM138*AVERAGE(CI139:CL139)*AVERAGE(CI140:CL140)</f>
        <v>0.70928438781851144</v>
      </c>
      <c r="CN141" s="213">
        <f ca="1">CN138*AVERAGE(CM139:CN139)*AVERAGE(CM140:CN140)</f>
        <v>0.74323149793581889</v>
      </c>
      <c r="CO141" s="213">
        <f ca="1">CO138*AVERAGE(CN139:CO139)*AVERAGE(CN140:CO140)</f>
        <v>0.69352056673300777</v>
      </c>
      <c r="CP141" s="213">
        <f ca="1">CP138*AVERAGE(CO139:CP139)*AVERAGE(CO140:CP140)</f>
        <v>0.73540211377589304</v>
      </c>
      <c r="CQ141" s="213">
        <f ca="1">CQ138*AVERAGE(CP139:CQ139)*AVERAGE(CP140:CQ140)</f>
        <v>0.73563513666203051</v>
      </c>
      <c r="CR141" s="214">
        <f ca="1">CR138*AVERAGE(CN139:CQ139)*AVERAGE(CN140:CQ140)</f>
        <v>0.72807460465813079</v>
      </c>
      <c r="CS141" s="213">
        <f ca="1">CS138*AVERAGE(CR139:CS139)*AVERAGE(CR140:CS140)</f>
        <v>0.73540724349874942</v>
      </c>
      <c r="CT141" s="213">
        <f ca="1">CT138*AVERAGE(CS139:CT139)*AVERAGE(CS140:CT140)</f>
        <v>0.68134303190550982</v>
      </c>
      <c r="CU141" s="213">
        <f ca="1">CU138*AVERAGE(CT139:CU139)*AVERAGE(CT140:CU140)</f>
        <v>0.71330963264112623</v>
      </c>
      <c r="CV141" s="213">
        <f ca="1">CV138*AVERAGE(CU139:CV139)*AVERAGE(CU140:CV140)</f>
        <v>0.70982991094177561</v>
      </c>
      <c r="CW141" s="214">
        <f ca="1">CW138*AVERAGE(CS139:CV139)*AVERAGE(CS140:CV140)</f>
        <v>0.70988417692734485</v>
      </c>
      <c r="CX141" s="213">
        <f ca="1">CX138*AVERAGE(CW139:CX139)*AVERAGE(CW140:CX140)</f>
        <v>0.72495012980744755</v>
      </c>
      <c r="CY141" s="213">
        <f ca="1">CY138*AVERAGE(CX139:CY139)*AVERAGE(CX140:CY140)</f>
        <v>0.66641500736580073</v>
      </c>
      <c r="CZ141" s="213">
        <f ca="1">CZ138*AVERAGE(CY139:CZ139)*AVERAGE(CY140:CZ140)</f>
        <v>0.69527731841138041</v>
      </c>
      <c r="DA141" s="213">
        <f ca="1">DA138*AVERAGE(CZ139:DA139)*AVERAGE(CZ140:DA140)</f>
        <v>0.69093976910296562</v>
      </c>
      <c r="DB141" s="214">
        <f ca="1">DB138*AVERAGE(CX139:DA139)*AVERAGE(CX140:DA140)</f>
        <v>0.69243760827405665</v>
      </c>
    </row>
    <row r="142" spans="1:106" s="80" customFormat="1" ht="11.5" customHeight="1" thickBot="1" x14ac:dyDescent="0.4">
      <c r="A142" s="34" t="s">
        <v>221</v>
      </c>
      <c r="B142" s="43" t="str">
        <f>Macro!B$3</f>
        <v>1Q10</v>
      </c>
      <c r="C142" s="43" t="str">
        <f>Macro!C$3</f>
        <v>2Q10</v>
      </c>
      <c r="D142" s="43" t="str">
        <f>Macro!D$3</f>
        <v>3Q10</v>
      </c>
      <c r="E142" s="44" t="str">
        <f>Macro!E$3</f>
        <v>4Q10</v>
      </c>
      <c r="F142" s="42" t="str">
        <f>Macro!F$3</f>
        <v>2010</v>
      </c>
      <c r="G142" s="43" t="str">
        <f>Macro!G$3</f>
        <v>1Q11</v>
      </c>
      <c r="H142" s="43" t="str">
        <f>Macro!H$3</f>
        <v>2Q11</v>
      </c>
      <c r="I142" s="43" t="str">
        <f>Macro!I$3</f>
        <v>3Q11</v>
      </c>
      <c r="J142" s="44" t="str">
        <f>Macro!J$3</f>
        <v>4Q11</v>
      </c>
      <c r="K142" s="42" t="str">
        <f>Macro!K$3</f>
        <v>2011</v>
      </c>
      <c r="L142" s="43" t="str">
        <f>Macro!L$3</f>
        <v>1Q12</v>
      </c>
      <c r="M142" s="43" t="str">
        <f>Macro!M$3</f>
        <v>2Q12</v>
      </c>
      <c r="N142" s="43" t="str">
        <f>Macro!N$3</f>
        <v>3Q12</v>
      </c>
      <c r="O142" s="44" t="str">
        <f>Macro!O$3</f>
        <v>4Q12</v>
      </c>
      <c r="P142" s="42" t="str">
        <f>Macro!P$3</f>
        <v>2012</v>
      </c>
      <c r="Q142" s="43" t="str">
        <f>Macro!Q$3</f>
        <v>1Q13</v>
      </c>
      <c r="R142" s="43" t="str">
        <f>Macro!R$3</f>
        <v>2Q13</v>
      </c>
      <c r="S142" s="43" t="str">
        <f>Macro!S$3</f>
        <v>3Q13</v>
      </c>
      <c r="T142" s="44" t="str">
        <f>Macro!T$3</f>
        <v>4Q13</v>
      </c>
      <c r="U142" s="42" t="str">
        <f>Macro!U$3</f>
        <v>2013</v>
      </c>
      <c r="V142" s="43" t="str">
        <f>Macro!V$3</f>
        <v>1Q14</v>
      </c>
      <c r="W142" s="43" t="str">
        <f>Macro!W$3</f>
        <v>2Q14</v>
      </c>
      <c r="X142" s="43" t="str">
        <f>Macro!X$3</f>
        <v>3Q14</v>
      </c>
      <c r="Y142" s="44" t="str">
        <f>Macro!Y$3</f>
        <v>4Q14</v>
      </c>
      <c r="Z142" s="42" t="str">
        <f>Macro!Z$3</f>
        <v>2014</v>
      </c>
      <c r="AA142" s="43" t="str">
        <f>Macro!AA$3</f>
        <v>1Q15</v>
      </c>
      <c r="AB142" s="43" t="str">
        <f>Macro!AB$3</f>
        <v>2Q15</v>
      </c>
      <c r="AC142" s="43" t="str">
        <f>Macro!AC$3</f>
        <v>3Q15</v>
      </c>
      <c r="AD142" s="44" t="str">
        <f>Macro!AD$3</f>
        <v>4Q15</v>
      </c>
      <c r="AE142" s="42" t="str">
        <f>Macro!AE$3</f>
        <v>2015</v>
      </c>
      <c r="AF142" s="43" t="str">
        <f>Macro!AF$3</f>
        <v>1Q16</v>
      </c>
      <c r="AG142" s="43" t="str">
        <f>Macro!AG$3</f>
        <v>2Q16</v>
      </c>
      <c r="AH142" s="43" t="str">
        <f>Macro!AH$3</f>
        <v>3Q16</v>
      </c>
      <c r="AI142" s="44" t="str">
        <f>Macro!AI$3</f>
        <v>4Q16</v>
      </c>
      <c r="AJ142" s="42" t="str">
        <f>Macro!AJ$3</f>
        <v>2016</v>
      </c>
      <c r="AK142" s="43" t="str">
        <f>Macro!AK$3</f>
        <v>1Q17</v>
      </c>
      <c r="AL142" s="43" t="str">
        <f>Macro!AL$3</f>
        <v>2Q17</v>
      </c>
      <c r="AM142" s="43" t="str">
        <f>Macro!AM$3</f>
        <v>3Q17</v>
      </c>
      <c r="AN142" s="44" t="str">
        <f>Macro!AN$3</f>
        <v>4Q17</v>
      </c>
      <c r="AO142" s="42" t="str">
        <f>Macro!AO$3</f>
        <v>2017</v>
      </c>
      <c r="AP142" s="43" t="str">
        <f>Macro!AP$3</f>
        <v>1Q18</v>
      </c>
      <c r="AQ142" s="43" t="str">
        <f>Macro!AQ$3</f>
        <v>2Q18</v>
      </c>
      <c r="AR142" s="43" t="str">
        <f>Macro!AR$3</f>
        <v>3Q18</v>
      </c>
      <c r="AS142" s="44" t="str">
        <f>Macro!AS$3</f>
        <v>4Q18</v>
      </c>
      <c r="AT142" s="42" t="str">
        <f>Macro!AT$3</f>
        <v>2018</v>
      </c>
      <c r="AU142" s="43" t="str">
        <f>Macro!AU$3</f>
        <v>1Q19</v>
      </c>
      <c r="AV142" s="43" t="str">
        <f>Macro!AV$3</f>
        <v>2Q19</v>
      </c>
      <c r="AW142" s="43" t="str">
        <f>Macro!AW$3</f>
        <v>3Q19</v>
      </c>
      <c r="AX142" s="44" t="str">
        <f>Macro!AX$3</f>
        <v>4Q19</v>
      </c>
      <c r="AY142" s="42" t="str">
        <f>Macro!AY$3</f>
        <v>2019</v>
      </c>
      <c r="AZ142" s="43" t="str">
        <f>Macro!AZ$3</f>
        <v>1Q20</v>
      </c>
      <c r="BA142" s="43" t="str">
        <f>Macro!BA$3</f>
        <v>2Q20</v>
      </c>
      <c r="BB142" s="43" t="str">
        <f>Macro!BB$3</f>
        <v>3Q20</v>
      </c>
      <c r="BC142" s="44" t="str">
        <f>Macro!BC$3</f>
        <v>4Q20</v>
      </c>
      <c r="BD142" s="42" t="str">
        <f>Macro!BD$3</f>
        <v>2020</v>
      </c>
      <c r="BE142" s="43" t="str">
        <f>Macro!BE$3</f>
        <v>1Q21</v>
      </c>
      <c r="BF142" s="43" t="str">
        <f>Macro!BF$3</f>
        <v>2Q21</v>
      </c>
      <c r="BG142" s="43" t="str">
        <f>Macro!BG$3</f>
        <v>3Q21</v>
      </c>
      <c r="BH142" s="44" t="str">
        <f>Macro!BH$3</f>
        <v>4Q21</v>
      </c>
      <c r="BI142" s="42" t="str">
        <f>Macro!BI$3</f>
        <v>2021</v>
      </c>
      <c r="BJ142" s="43" t="str">
        <f>Macro!BJ$3</f>
        <v>1Q22</v>
      </c>
      <c r="BK142" s="43" t="str">
        <f>Macro!BK$3</f>
        <v>2Q22</v>
      </c>
      <c r="BL142" s="43" t="str">
        <f>Macro!BL$3</f>
        <v>3Q22</v>
      </c>
      <c r="BM142" s="44" t="str">
        <f>Macro!BM$3</f>
        <v>4Q22</v>
      </c>
      <c r="BN142" s="42" t="str">
        <f>Macro!BN$3</f>
        <v>2022</v>
      </c>
      <c r="BO142" s="43" t="str">
        <f>Macro!BO$3</f>
        <v>1Q23</v>
      </c>
      <c r="BP142" s="43" t="str">
        <f>Macro!BP$3</f>
        <v>2Q23</v>
      </c>
      <c r="BQ142" s="43" t="str">
        <f>Macro!BQ$3</f>
        <v>3Q23</v>
      </c>
      <c r="BR142" s="44" t="str">
        <f>Macro!BR$3</f>
        <v>4Q23</v>
      </c>
      <c r="BS142" s="42" t="str">
        <f>Macro!BS$3</f>
        <v>2023</v>
      </c>
      <c r="BT142" s="43" t="str">
        <f>Macro!BT$3</f>
        <v>1Q24</v>
      </c>
      <c r="BU142" s="43" t="str">
        <f>Macro!BU$3</f>
        <v>2Q24</v>
      </c>
      <c r="BV142" s="43" t="str">
        <f>Macro!BV$3</f>
        <v>3Q24</v>
      </c>
      <c r="BW142" s="44" t="str">
        <f>Macro!BW$3</f>
        <v>4Q24</v>
      </c>
      <c r="BX142" s="42" t="str">
        <f>Macro!BX$3</f>
        <v>2024</v>
      </c>
      <c r="BY142" s="43" t="str">
        <f>Macro!BY$3</f>
        <v>1Q25</v>
      </c>
      <c r="BZ142" s="43" t="str">
        <f>Macro!BZ$3</f>
        <v>2Q25</v>
      </c>
      <c r="CA142" s="35" t="str">
        <f>Macro!CA$3</f>
        <v>3Q25</v>
      </c>
      <c r="CB142" s="35" t="str">
        <f>Macro!CB$3</f>
        <v>4Q25</v>
      </c>
      <c r="CC142" s="36" t="str">
        <f>Macro!CC$3</f>
        <v>2025</v>
      </c>
      <c r="CD142" s="43" t="str">
        <f>Macro!CD$3</f>
        <v>1Q26</v>
      </c>
      <c r="CE142" s="43" t="str">
        <f>Macro!CE$3</f>
        <v>2Q26E</v>
      </c>
      <c r="CF142" s="35" t="str">
        <f>Macro!CF$3</f>
        <v>3Q26E</v>
      </c>
      <c r="CG142" s="35" t="str">
        <f>Macro!CG$3</f>
        <v>4Q26E</v>
      </c>
      <c r="CH142" s="36" t="str">
        <f>Macro!CH$3</f>
        <v>2026E</v>
      </c>
      <c r="CI142" s="35" t="str">
        <f>Macro!CI$3</f>
        <v>1Q27E</v>
      </c>
      <c r="CJ142" s="35" t="str">
        <f>Macro!CJ$3</f>
        <v>2Q27E</v>
      </c>
      <c r="CK142" s="35" t="str">
        <f>Macro!CK$3</f>
        <v>3Q27E</v>
      </c>
      <c r="CL142" s="35" t="str">
        <f>Macro!CL$3</f>
        <v>4Q27E</v>
      </c>
      <c r="CM142" s="36" t="str">
        <f>Macro!CM$3</f>
        <v>2027E</v>
      </c>
      <c r="CN142" s="35" t="str">
        <f>Macro!CN$3</f>
        <v>1Q28E</v>
      </c>
      <c r="CO142" s="35" t="str">
        <f>Macro!CO$3</f>
        <v>2Q28E</v>
      </c>
      <c r="CP142" s="35" t="str">
        <f>Macro!CP$3</f>
        <v>3Q28E</v>
      </c>
      <c r="CQ142" s="35" t="str">
        <f>Macro!CQ$3</f>
        <v>4Q28E</v>
      </c>
      <c r="CR142" s="36" t="str">
        <f>Macro!CR$3</f>
        <v>2028E</v>
      </c>
      <c r="CS142" s="35" t="str">
        <f>Macro!CS$3</f>
        <v>1Q29E</v>
      </c>
      <c r="CT142" s="35" t="str">
        <f>Macro!CT$3</f>
        <v>2Q29E</v>
      </c>
      <c r="CU142" s="35" t="str">
        <f>Macro!CU$3</f>
        <v>3Q29E</v>
      </c>
      <c r="CV142" s="35" t="str">
        <f>Macro!CV$3</f>
        <v>4Q29E</v>
      </c>
      <c r="CW142" s="36" t="str">
        <f>Macro!CW$3</f>
        <v>2029E</v>
      </c>
      <c r="CX142" s="35" t="str">
        <f>Macro!CX$3</f>
        <v>1Q30E</v>
      </c>
      <c r="CY142" s="35" t="str">
        <f>Macro!CY$3</f>
        <v>2Q30E</v>
      </c>
      <c r="CZ142" s="35" t="str">
        <f>Macro!CZ$3</f>
        <v>3Q30E</v>
      </c>
      <c r="DA142" s="35" t="str">
        <f>Macro!DA$3</f>
        <v>4Q30E</v>
      </c>
      <c r="DB142" s="36" t="str">
        <f>Macro!DB$3</f>
        <v>2030E</v>
      </c>
    </row>
    <row r="143" spans="1:106" ht="11.5" customHeight="1" x14ac:dyDescent="0.35">
      <c r="A143" s="19" t="s">
        <v>26</v>
      </c>
      <c r="B143" s="403"/>
      <c r="C143" s="403"/>
      <c r="D143" s="403"/>
      <c r="E143" s="403"/>
      <c r="F143" s="55">
        <f t="shared" ref="F143" si="842">E143</f>
        <v>0</v>
      </c>
      <c r="G143" s="403"/>
      <c r="H143" s="403"/>
      <c r="I143" s="403"/>
      <c r="J143" s="403"/>
      <c r="K143" s="55">
        <f t="shared" ref="K143" si="843">J143</f>
        <v>0</v>
      </c>
      <c r="L143" s="403"/>
      <c r="M143" s="403"/>
      <c r="N143" s="403"/>
      <c r="O143" s="403"/>
      <c r="P143" s="55">
        <f t="shared" ref="P143" si="844">O143</f>
        <v>0</v>
      </c>
      <c r="Q143" s="403"/>
      <c r="R143" s="403"/>
      <c r="S143" s="403"/>
      <c r="T143" s="403"/>
      <c r="U143" s="55">
        <f t="shared" ref="U143" si="845">T143</f>
        <v>0</v>
      </c>
      <c r="V143" s="403"/>
      <c r="W143" s="403"/>
      <c r="X143" s="403"/>
      <c r="Y143" s="403"/>
      <c r="Z143" s="55">
        <f t="shared" ref="Z143" si="846">Y143</f>
        <v>0</v>
      </c>
      <c r="AA143" s="403"/>
      <c r="AB143" s="403"/>
      <c r="AC143" s="403"/>
      <c r="AD143" s="403"/>
      <c r="AE143" s="55">
        <f t="shared" ref="AE143" si="847">AD143</f>
        <v>0</v>
      </c>
      <c r="AF143" s="403"/>
      <c r="AG143" s="403"/>
      <c r="AH143" s="403"/>
      <c r="AI143" s="403"/>
      <c r="AJ143" s="55">
        <f>AI143</f>
        <v>0</v>
      </c>
      <c r="AK143" s="403">
        <v>0</v>
      </c>
      <c r="AL143" s="403">
        <v>0</v>
      </c>
      <c r="AM143" s="403">
        <v>0</v>
      </c>
      <c r="AN143" s="403">
        <v>0</v>
      </c>
      <c r="AO143" s="55">
        <f>AN143</f>
        <v>0</v>
      </c>
      <c r="AP143" s="403">
        <v>0</v>
      </c>
      <c r="AQ143" s="403">
        <v>0</v>
      </c>
      <c r="AR143" s="403">
        <v>0</v>
      </c>
      <c r="AS143" s="403">
        <v>0</v>
      </c>
      <c r="AT143" s="55">
        <f>AS143</f>
        <v>0</v>
      </c>
      <c r="AU143" s="403">
        <v>0</v>
      </c>
      <c r="AV143" s="403">
        <v>0</v>
      </c>
      <c r="AW143" s="403">
        <v>0</v>
      </c>
      <c r="AX143" s="403">
        <v>0</v>
      </c>
      <c r="AY143" s="55">
        <f t="shared" ref="AY143" si="848">AX143</f>
        <v>0</v>
      </c>
      <c r="AZ143" s="415">
        <v>0</v>
      </c>
      <c r="BA143" s="415">
        <v>0</v>
      </c>
      <c r="BB143" s="403">
        <v>0</v>
      </c>
      <c r="BC143" s="403">
        <v>0</v>
      </c>
      <c r="BD143" s="55">
        <f t="shared" ref="BD143" si="849">BC143</f>
        <v>0</v>
      </c>
      <c r="BE143" s="415">
        <v>0</v>
      </c>
      <c r="BF143" s="415">
        <v>0</v>
      </c>
      <c r="BG143" s="403">
        <v>0</v>
      </c>
      <c r="BH143" s="403">
        <v>0</v>
      </c>
      <c r="BI143" s="55">
        <f t="shared" ref="BI143" si="850">BH143</f>
        <v>0</v>
      </c>
      <c r="BJ143" s="415">
        <v>0</v>
      </c>
      <c r="BK143" s="415">
        <v>0</v>
      </c>
      <c r="BL143" s="403">
        <v>0</v>
      </c>
      <c r="BM143" s="403">
        <v>0</v>
      </c>
      <c r="BN143" s="55">
        <f t="shared" ref="BN143" si="851">BM143</f>
        <v>0</v>
      </c>
      <c r="BO143" s="415">
        <v>0</v>
      </c>
      <c r="BP143" s="415">
        <v>0</v>
      </c>
      <c r="BQ143" s="403">
        <v>0</v>
      </c>
      <c r="BR143" s="403">
        <v>0</v>
      </c>
      <c r="BS143" s="55">
        <f t="shared" ref="BS143" si="852">BR143</f>
        <v>0</v>
      </c>
      <c r="BT143" s="415">
        <v>0</v>
      </c>
      <c r="BU143" s="415">
        <v>0</v>
      </c>
      <c r="BV143" s="403">
        <v>0</v>
      </c>
      <c r="BW143" s="403">
        <v>0</v>
      </c>
      <c r="BX143" s="55">
        <f t="shared" ref="BX143" si="853">BW143</f>
        <v>0</v>
      </c>
      <c r="BY143" s="415">
        <v>0</v>
      </c>
      <c r="BZ143" s="415">
        <v>0</v>
      </c>
      <c r="CA143" s="415">
        <v>0</v>
      </c>
      <c r="CB143" s="403">
        <v>0</v>
      </c>
      <c r="CC143" s="55">
        <f>CB143</f>
        <v>0</v>
      </c>
      <c r="CD143" s="415">
        <v>0</v>
      </c>
      <c r="CE143" s="415">
        <v>0</v>
      </c>
      <c r="CF143" s="23">
        <f>CE143</f>
        <v>0</v>
      </c>
      <c r="CG143" s="23">
        <f>CF143</f>
        <v>0</v>
      </c>
      <c r="CH143" s="55">
        <f>CG143</f>
        <v>0</v>
      </c>
      <c r="CI143" s="23">
        <f>CG143</f>
        <v>0</v>
      </c>
      <c r="CJ143" s="23">
        <f>CI143</f>
        <v>0</v>
      </c>
      <c r="CK143" s="23">
        <f>CJ143</f>
        <v>0</v>
      </c>
      <c r="CL143" s="23">
        <f>CK143</f>
        <v>0</v>
      </c>
      <c r="CM143" s="55">
        <f>CL143</f>
        <v>0</v>
      </c>
      <c r="CN143" s="23">
        <f>CL143</f>
        <v>0</v>
      </c>
      <c r="CO143" s="23">
        <f>CN143</f>
        <v>0</v>
      </c>
      <c r="CP143" s="23">
        <f>CO143</f>
        <v>0</v>
      </c>
      <c r="CQ143" s="23">
        <f>CP143</f>
        <v>0</v>
      </c>
      <c r="CR143" s="55">
        <f>CQ143</f>
        <v>0</v>
      </c>
      <c r="CS143" s="23">
        <f>CQ143</f>
        <v>0</v>
      </c>
      <c r="CT143" s="23">
        <f>CS143</f>
        <v>0</v>
      </c>
      <c r="CU143" s="23">
        <f>CT143</f>
        <v>0</v>
      </c>
      <c r="CV143" s="23">
        <f>CU143</f>
        <v>0</v>
      </c>
      <c r="CW143" s="55">
        <f>CV143</f>
        <v>0</v>
      </c>
      <c r="CX143" s="23">
        <f>CV143</f>
        <v>0</v>
      </c>
      <c r="CY143" s="23">
        <f>CX143</f>
        <v>0</v>
      </c>
      <c r="CZ143" s="23">
        <f>CY143</f>
        <v>0</v>
      </c>
      <c r="DA143" s="23">
        <f>CZ143</f>
        <v>0</v>
      </c>
      <c r="DB143" s="55">
        <f>DA143</f>
        <v>0</v>
      </c>
    </row>
    <row r="144" spans="1:106" ht="11.5" customHeight="1" x14ac:dyDescent="0.35">
      <c r="A144" s="19" t="s">
        <v>27</v>
      </c>
      <c r="B144" s="403"/>
      <c r="C144" s="403"/>
      <c r="D144" s="403"/>
      <c r="E144" s="403"/>
      <c r="F144" s="55">
        <f t="shared" ref="F144" si="854">E144</f>
        <v>0</v>
      </c>
      <c r="G144" s="403"/>
      <c r="H144" s="403"/>
      <c r="I144" s="403"/>
      <c r="J144" s="403"/>
      <c r="K144" s="55">
        <f t="shared" ref="K144" si="855">J144</f>
        <v>0</v>
      </c>
      <c r="L144" s="403"/>
      <c r="M144" s="403"/>
      <c r="N144" s="403"/>
      <c r="O144" s="403"/>
      <c r="P144" s="55">
        <f t="shared" ref="P144" si="856">O144</f>
        <v>0</v>
      </c>
      <c r="Q144" s="403"/>
      <c r="R144" s="403"/>
      <c r="S144" s="403"/>
      <c r="T144" s="403"/>
      <c r="U144" s="55">
        <f t="shared" ref="U144" si="857">T144</f>
        <v>0</v>
      </c>
      <c r="V144" s="403"/>
      <c r="W144" s="403"/>
      <c r="X144" s="403"/>
      <c r="Y144" s="403"/>
      <c r="Z144" s="55">
        <f t="shared" ref="Z144" si="858">Y144</f>
        <v>0</v>
      </c>
      <c r="AA144" s="403"/>
      <c r="AB144" s="403"/>
      <c r="AC144" s="403"/>
      <c r="AD144" s="403"/>
      <c r="AE144" s="55">
        <f t="shared" ref="AE144" si="859">AD144</f>
        <v>0</v>
      </c>
      <c r="AF144" s="403"/>
      <c r="AG144" s="403"/>
      <c r="AH144" s="403"/>
      <c r="AI144" s="403"/>
      <c r="AJ144" s="55">
        <f>AI144</f>
        <v>0</v>
      </c>
      <c r="AK144" s="403">
        <v>0</v>
      </c>
      <c r="AL144" s="403">
        <v>0</v>
      </c>
      <c r="AM144" s="403">
        <v>0</v>
      </c>
      <c r="AN144" s="403">
        <v>0</v>
      </c>
      <c r="AO144" s="55">
        <f>AN144</f>
        <v>0</v>
      </c>
      <c r="AP144" s="403">
        <v>0</v>
      </c>
      <c r="AQ144" s="403">
        <v>0</v>
      </c>
      <c r="AR144" s="403">
        <v>0</v>
      </c>
      <c r="AS144" s="403">
        <v>0</v>
      </c>
      <c r="AT144" s="55">
        <f>AS144</f>
        <v>0</v>
      </c>
      <c r="AU144" s="403">
        <v>0</v>
      </c>
      <c r="AV144" s="403">
        <v>0</v>
      </c>
      <c r="AW144" s="403">
        <v>0</v>
      </c>
      <c r="AX144" s="403">
        <v>0</v>
      </c>
      <c r="AY144" s="55">
        <f t="shared" ref="AY144" si="860">AX144</f>
        <v>0</v>
      </c>
      <c r="AZ144" s="415">
        <v>0</v>
      </c>
      <c r="BA144" s="415">
        <v>0</v>
      </c>
      <c r="BB144" s="403">
        <v>0</v>
      </c>
      <c r="BC144" s="403">
        <v>0</v>
      </c>
      <c r="BD144" s="55">
        <f t="shared" ref="BD144" si="861">BC144</f>
        <v>0</v>
      </c>
      <c r="BE144" s="415">
        <v>0</v>
      </c>
      <c r="BF144" s="415">
        <v>0</v>
      </c>
      <c r="BG144" s="403">
        <v>0</v>
      </c>
      <c r="BH144" s="403">
        <v>0</v>
      </c>
      <c r="BI144" s="55">
        <f t="shared" ref="BI144" si="862">BH144</f>
        <v>0</v>
      </c>
      <c r="BJ144" s="415">
        <v>0</v>
      </c>
      <c r="BK144" s="415">
        <v>0</v>
      </c>
      <c r="BL144" s="403">
        <v>0</v>
      </c>
      <c r="BM144" s="403">
        <v>0</v>
      </c>
      <c r="BN144" s="55">
        <f t="shared" ref="BN144" si="863">BM144</f>
        <v>0</v>
      </c>
      <c r="BO144" s="415">
        <v>0</v>
      </c>
      <c r="BP144" s="415">
        <v>0</v>
      </c>
      <c r="BQ144" s="403">
        <v>0</v>
      </c>
      <c r="BR144" s="403">
        <v>0</v>
      </c>
      <c r="BS144" s="55">
        <f t="shared" ref="BS144" si="864">BR144</f>
        <v>0</v>
      </c>
      <c r="BT144" s="415">
        <v>0</v>
      </c>
      <c r="BU144" s="415">
        <v>0</v>
      </c>
      <c r="BV144" s="403">
        <v>0</v>
      </c>
      <c r="BW144" s="403">
        <v>0</v>
      </c>
      <c r="BX144" s="55">
        <f t="shared" ref="BX144" si="865">BW144</f>
        <v>0</v>
      </c>
      <c r="BY144" s="415">
        <v>0</v>
      </c>
      <c r="BZ144" s="415">
        <v>0</v>
      </c>
      <c r="CA144" s="415">
        <v>0</v>
      </c>
      <c r="CB144" s="403">
        <v>0</v>
      </c>
      <c r="CC144" s="55">
        <f>CB144</f>
        <v>0</v>
      </c>
      <c r="CD144" s="415">
        <v>0</v>
      </c>
      <c r="CE144" s="415">
        <v>0</v>
      </c>
      <c r="CF144" s="409">
        <f>CE144+IS!CF13+IS!CF94</f>
        <v>-1324.6909500000002</v>
      </c>
      <c r="CG144" s="409">
        <f>CF144+IS!CG13+IS!CG94</f>
        <v>-2102.340802534578</v>
      </c>
      <c r="CH144" s="55">
        <f>CG144</f>
        <v>-2102.340802534578</v>
      </c>
      <c r="CI144" s="409">
        <f>CG144+IS!CI13+IS!CI94</f>
        <v>-11156.122027709853</v>
      </c>
      <c r="CJ144" s="409">
        <f>CI144+IS!CJ13+IS!CJ94</f>
        <v>-15614.252405081588</v>
      </c>
      <c r="CK144" s="409">
        <f>CJ144+IS!CK13+IS!CK94</f>
        <v>-19901.850130189327</v>
      </c>
      <c r="CL144" s="409">
        <f>CK144+IS!CL13+IS!CL94</f>
        <v>-23897.173402394867</v>
      </c>
      <c r="CM144" s="55">
        <f>CL144</f>
        <v>-23897.173402394867</v>
      </c>
      <c r="CN144" s="409">
        <f>CL144+IS!CN13+IS!CN94</f>
        <v>-25971.488565325675</v>
      </c>
      <c r="CO144" s="409">
        <f>CN144+IS!CO13+IS!CO94</f>
        <v>-26549.308764386093</v>
      </c>
      <c r="CP144" s="409">
        <f>CO144+IS!CP13+IS!CP94</f>
        <v>-29739.777175844138</v>
      </c>
      <c r="CQ144" s="409">
        <f>CP144+IS!CQ13+IS!CQ94</f>
        <v>-32987.873600101688</v>
      </c>
      <c r="CR144" s="55">
        <f>CQ144</f>
        <v>-32987.873600101688</v>
      </c>
      <c r="CS144" s="409">
        <f>CQ144+IS!CS13+IS!CS94</f>
        <v>-33166.043674801796</v>
      </c>
      <c r="CT144" s="409">
        <f>CS144+IS!CT13+IS!CT94</f>
        <v>-32159.069898256792</v>
      </c>
      <c r="CU144" s="409">
        <f>CT144+IS!CU13+IS!CU94</f>
        <v>-34635.617370651773</v>
      </c>
      <c r="CV144" s="409">
        <f>CU144+IS!CV13+IS!CV94</f>
        <v>-37489.429149518721</v>
      </c>
      <c r="CW144" s="55">
        <f>CV144</f>
        <v>-37489.429149518721</v>
      </c>
      <c r="CX144" s="409">
        <f>CV144+IS!CX13+IS!CX94</f>
        <v>-37084.65598526306</v>
      </c>
      <c r="CY144" s="409">
        <f>CX144+IS!CY13+IS!CY94</f>
        <v>-35473.528382752411</v>
      </c>
      <c r="CZ144" s="409">
        <f>CY144+IS!CZ13+IS!CZ94</f>
        <v>-37793.939411308558</v>
      </c>
      <c r="DA144" s="409">
        <f>CZ144+IS!DA13+IS!DA94</f>
        <v>-40601.732030811239</v>
      </c>
      <c r="DB144" s="55">
        <f>DA144</f>
        <v>-40601.732030811239</v>
      </c>
    </row>
    <row r="145" spans="1:106" ht="11.5" customHeight="1" x14ac:dyDescent="0.35">
      <c r="A145" s="70" t="s">
        <v>222</v>
      </c>
      <c r="B145" s="416"/>
      <c r="C145" s="416"/>
      <c r="D145" s="416"/>
      <c r="E145" s="416"/>
      <c r="F145" s="102">
        <f t="shared" ref="F145" si="866">E145</f>
        <v>0</v>
      </c>
      <c r="G145" s="416"/>
      <c r="H145" s="416"/>
      <c r="I145" s="416"/>
      <c r="J145" s="416"/>
      <c r="K145" s="102">
        <f t="shared" ref="K145" si="867">J145</f>
        <v>0</v>
      </c>
      <c r="L145" s="416"/>
      <c r="M145" s="416"/>
      <c r="N145" s="416"/>
      <c r="O145" s="416"/>
      <c r="P145" s="102">
        <f t="shared" ref="P145" si="868">O145</f>
        <v>0</v>
      </c>
      <c r="Q145" s="416"/>
      <c r="R145" s="416"/>
      <c r="S145" s="416"/>
      <c r="T145" s="416"/>
      <c r="U145" s="102">
        <f t="shared" ref="U145" si="869">T145</f>
        <v>0</v>
      </c>
      <c r="V145" s="416"/>
      <c r="W145" s="416"/>
      <c r="X145" s="416"/>
      <c r="Y145" s="416"/>
      <c r="Z145" s="102">
        <f t="shared" ref="Z145" si="870">Y145</f>
        <v>0</v>
      </c>
      <c r="AA145" s="416"/>
      <c r="AB145" s="416"/>
      <c r="AC145" s="416"/>
      <c r="AD145" s="416"/>
      <c r="AE145" s="102">
        <f t="shared" ref="AE145" si="871">AD145</f>
        <v>0</v>
      </c>
      <c r="AF145" s="416"/>
      <c r="AG145" s="416"/>
      <c r="AH145" s="416"/>
      <c r="AI145" s="416"/>
      <c r="AJ145" s="102">
        <f>AI145</f>
        <v>0</v>
      </c>
      <c r="AK145" s="416">
        <v>0</v>
      </c>
      <c r="AL145" s="416">
        <v>0</v>
      </c>
      <c r="AM145" s="416">
        <v>0</v>
      </c>
      <c r="AN145" s="416">
        <v>0</v>
      </c>
      <c r="AO145" s="102">
        <f>AN145</f>
        <v>0</v>
      </c>
      <c r="AP145" s="416">
        <v>0</v>
      </c>
      <c r="AQ145" s="416">
        <v>0</v>
      </c>
      <c r="AR145" s="416">
        <v>0</v>
      </c>
      <c r="AS145" s="416">
        <v>0</v>
      </c>
      <c r="AT145" s="102">
        <f>AS145</f>
        <v>0</v>
      </c>
      <c r="AU145" s="416">
        <v>0</v>
      </c>
      <c r="AV145" s="416">
        <v>0</v>
      </c>
      <c r="AW145" s="416">
        <v>0</v>
      </c>
      <c r="AX145" s="416">
        <v>0</v>
      </c>
      <c r="AY145" s="102">
        <f>AX145</f>
        <v>0</v>
      </c>
      <c r="AZ145" s="416">
        <v>0</v>
      </c>
      <c r="BA145" s="416">
        <v>0</v>
      </c>
      <c r="BB145" s="416">
        <v>0</v>
      </c>
      <c r="BC145" s="416">
        <v>0</v>
      </c>
      <c r="BD145" s="102">
        <f>BC145</f>
        <v>0</v>
      </c>
      <c r="BE145" s="416">
        <v>0</v>
      </c>
      <c r="BF145" s="416">
        <v>0</v>
      </c>
      <c r="BG145" s="416">
        <v>0</v>
      </c>
      <c r="BH145" s="416">
        <v>0</v>
      </c>
      <c r="BI145" s="102">
        <f>BH145</f>
        <v>0</v>
      </c>
      <c r="BJ145" s="416">
        <v>0</v>
      </c>
      <c r="BK145" s="416">
        <v>0</v>
      </c>
      <c r="BL145" s="416">
        <v>0</v>
      </c>
      <c r="BM145" s="416">
        <v>0</v>
      </c>
      <c r="BN145" s="102">
        <f>BM145</f>
        <v>0</v>
      </c>
      <c r="BO145" s="416">
        <v>0</v>
      </c>
      <c r="BP145" s="416">
        <v>0</v>
      </c>
      <c r="BQ145" s="416">
        <v>0</v>
      </c>
      <c r="BR145" s="416">
        <v>0</v>
      </c>
      <c r="BS145" s="102">
        <f>BR145</f>
        <v>0</v>
      </c>
      <c r="BT145" s="416">
        <v>0</v>
      </c>
      <c r="BU145" s="416">
        <v>0</v>
      </c>
      <c r="BV145" s="416">
        <v>0</v>
      </c>
      <c r="BW145" s="416">
        <v>0</v>
      </c>
      <c r="BX145" s="102">
        <f>BW145</f>
        <v>0</v>
      </c>
      <c r="BY145" s="416">
        <v>0</v>
      </c>
      <c r="BZ145" s="416">
        <v>0</v>
      </c>
      <c r="CA145" s="416">
        <v>0</v>
      </c>
      <c r="CB145" s="416">
        <v>0</v>
      </c>
      <c r="CC145" s="102">
        <f>CB145</f>
        <v>0</v>
      </c>
      <c r="CD145" s="416">
        <v>0</v>
      </c>
      <c r="CE145" s="416">
        <v>0</v>
      </c>
      <c r="CF145" s="98">
        <f>CE145</f>
        <v>0</v>
      </c>
      <c r="CG145" s="98">
        <f>CF145</f>
        <v>0</v>
      </c>
      <c r="CH145" s="102">
        <f>CG145</f>
        <v>0</v>
      </c>
      <c r="CI145" s="98">
        <f>CH145</f>
        <v>0</v>
      </c>
      <c r="CJ145" s="98">
        <f>CI145</f>
        <v>0</v>
      </c>
      <c r="CK145" s="98">
        <f>CJ145</f>
        <v>0</v>
      </c>
      <c r="CL145" s="98">
        <f>CK145</f>
        <v>0</v>
      </c>
      <c r="CM145" s="102">
        <f>CL145</f>
        <v>0</v>
      </c>
      <c r="CN145" s="98">
        <f>CM145</f>
        <v>0</v>
      </c>
      <c r="CO145" s="98">
        <f>CN145</f>
        <v>0</v>
      </c>
      <c r="CP145" s="98">
        <f>CO145</f>
        <v>0</v>
      </c>
      <c r="CQ145" s="98">
        <f>CP145</f>
        <v>0</v>
      </c>
      <c r="CR145" s="102">
        <f>CQ145</f>
        <v>0</v>
      </c>
      <c r="CS145" s="98">
        <f>CR145</f>
        <v>0</v>
      </c>
      <c r="CT145" s="98">
        <f>CS145</f>
        <v>0</v>
      </c>
      <c r="CU145" s="98">
        <f>CT145</f>
        <v>0</v>
      </c>
      <c r="CV145" s="98">
        <f>CU145</f>
        <v>0</v>
      </c>
      <c r="CW145" s="102">
        <f>CV145</f>
        <v>0</v>
      </c>
      <c r="CX145" s="98">
        <f>CW145</f>
        <v>0</v>
      </c>
      <c r="CY145" s="98">
        <f>CX145</f>
        <v>0</v>
      </c>
      <c r="CZ145" s="98">
        <f>CY145</f>
        <v>0</v>
      </c>
      <c r="DA145" s="98">
        <f>CZ145</f>
        <v>0</v>
      </c>
      <c r="DB145" s="102">
        <f>DA145</f>
        <v>0</v>
      </c>
    </row>
    <row r="146" spans="1:106" s="56" customFormat="1" ht="11.5" customHeight="1" x14ac:dyDescent="0.35">
      <c r="A146" s="16" t="s">
        <v>223</v>
      </c>
      <c r="B146" s="46">
        <f t="shared" ref="B146:C146" si="872">B134-SUM(B143:B145)</f>
        <v>0</v>
      </c>
      <c r="C146" s="46">
        <f t="shared" si="872"/>
        <v>0</v>
      </c>
      <c r="D146" s="46">
        <f t="shared" ref="D146:F146" si="873">D134-SUM(D143:D145)</f>
        <v>0</v>
      </c>
      <c r="E146" s="46">
        <f t="shared" si="873"/>
        <v>0</v>
      </c>
      <c r="F146" s="91">
        <f t="shared" si="873"/>
        <v>0</v>
      </c>
      <c r="G146" s="46">
        <f t="shared" ref="G146:H146" si="874">G134-SUM(G143:G145)</f>
        <v>0</v>
      </c>
      <c r="H146" s="46">
        <f t="shared" si="874"/>
        <v>0</v>
      </c>
      <c r="I146" s="46">
        <f t="shared" ref="I146:K146" si="875">I134-SUM(I143:I145)</f>
        <v>0</v>
      </c>
      <c r="J146" s="46">
        <f t="shared" si="875"/>
        <v>0</v>
      </c>
      <c r="K146" s="91">
        <f t="shared" si="875"/>
        <v>0</v>
      </c>
      <c r="L146" s="46">
        <f t="shared" ref="L146:M146" si="876">L134-SUM(L143:L145)</f>
        <v>0</v>
      </c>
      <c r="M146" s="46">
        <f t="shared" si="876"/>
        <v>0</v>
      </c>
      <c r="N146" s="46">
        <f t="shared" ref="N146:P146" si="877">N134-SUM(N143:N145)</f>
        <v>0</v>
      </c>
      <c r="O146" s="46">
        <f t="shared" si="877"/>
        <v>0</v>
      </c>
      <c r="P146" s="91">
        <f t="shared" si="877"/>
        <v>0</v>
      </c>
      <c r="Q146" s="46">
        <f t="shared" ref="Q146:R146" si="878">Q134-SUM(Q143:Q145)</f>
        <v>0</v>
      </c>
      <c r="R146" s="46">
        <f t="shared" si="878"/>
        <v>0</v>
      </c>
      <c r="S146" s="46">
        <f t="shared" ref="S146:U146" si="879">S134-SUM(S143:S145)</f>
        <v>0</v>
      </c>
      <c r="T146" s="46">
        <f t="shared" si="879"/>
        <v>0</v>
      </c>
      <c r="U146" s="91">
        <f t="shared" si="879"/>
        <v>0</v>
      </c>
      <c r="V146" s="46">
        <f t="shared" ref="V146:W146" si="880">V134-SUM(V143:V145)</f>
        <v>0</v>
      </c>
      <c r="W146" s="46">
        <f t="shared" si="880"/>
        <v>0</v>
      </c>
      <c r="X146" s="46">
        <f t="shared" ref="X146:Z146" si="881">X134-SUM(X143:X145)</f>
        <v>0</v>
      </c>
      <c r="Y146" s="46">
        <f t="shared" si="881"/>
        <v>0</v>
      </c>
      <c r="Z146" s="91">
        <f t="shared" si="881"/>
        <v>0</v>
      </c>
      <c r="AA146" s="46">
        <f t="shared" ref="AA146:AB146" si="882">AA134-SUM(AA143:AA145)</f>
        <v>0</v>
      </c>
      <c r="AB146" s="46">
        <f t="shared" si="882"/>
        <v>0</v>
      </c>
      <c r="AC146" s="46">
        <f t="shared" ref="AC146:AE146" si="883">AC134-SUM(AC143:AC145)</f>
        <v>0</v>
      </c>
      <c r="AD146" s="46">
        <f t="shared" si="883"/>
        <v>0</v>
      </c>
      <c r="AE146" s="91">
        <f t="shared" si="883"/>
        <v>0</v>
      </c>
      <c r="AF146" s="46">
        <f t="shared" ref="AF146:AG146" si="884">AF134-SUM(AF143:AF145)</f>
        <v>0</v>
      </c>
      <c r="AG146" s="46">
        <f t="shared" si="884"/>
        <v>0</v>
      </c>
      <c r="AH146" s="46">
        <f t="shared" ref="AH146:BM146" si="885">AH134-SUM(AH143:AH145)</f>
        <v>0</v>
      </c>
      <c r="AI146" s="46">
        <f t="shared" si="885"/>
        <v>0</v>
      </c>
      <c r="AJ146" s="91">
        <f t="shared" si="885"/>
        <v>0</v>
      </c>
      <c r="AK146" s="46">
        <f t="shared" si="885"/>
        <v>241684</v>
      </c>
      <c r="AL146" s="46">
        <f t="shared" si="885"/>
        <v>261297</v>
      </c>
      <c r="AM146" s="46">
        <f t="shared" si="885"/>
        <v>294924</v>
      </c>
      <c r="AN146" s="46">
        <f t="shared" si="885"/>
        <v>212154</v>
      </c>
      <c r="AO146" s="91">
        <f t="shared" si="885"/>
        <v>212154</v>
      </c>
      <c r="AP146" s="46">
        <f t="shared" si="885"/>
        <v>272711</v>
      </c>
      <c r="AQ146" s="46">
        <f>AQ134-SUM(AQ143:AQ145)</f>
        <v>304266</v>
      </c>
      <c r="AR146" s="46">
        <f t="shared" si="885"/>
        <v>312852</v>
      </c>
      <c r="AS146" s="46">
        <f t="shared" si="885"/>
        <v>212883</v>
      </c>
      <c r="AT146" s="91">
        <f t="shared" si="885"/>
        <v>212883</v>
      </c>
      <c r="AU146" s="46">
        <f t="shared" si="885"/>
        <v>231260</v>
      </c>
      <c r="AV146" s="46">
        <f t="shared" si="885"/>
        <v>292333</v>
      </c>
      <c r="AW146" s="46">
        <f t="shared" si="885"/>
        <v>322641</v>
      </c>
      <c r="AX146" s="46">
        <f t="shared" si="885"/>
        <v>213615</v>
      </c>
      <c r="AY146" s="91">
        <f t="shared" si="885"/>
        <v>213615</v>
      </c>
      <c r="AZ146" s="46">
        <f t="shared" si="885"/>
        <v>220114</v>
      </c>
      <c r="BA146" s="46">
        <f t="shared" si="885"/>
        <v>257103</v>
      </c>
      <c r="BB146" s="46">
        <f t="shared" si="885"/>
        <v>459687</v>
      </c>
      <c r="BC146" s="46">
        <f t="shared" si="885"/>
        <v>489464</v>
      </c>
      <c r="BD146" s="91">
        <f t="shared" si="885"/>
        <v>489464</v>
      </c>
      <c r="BE146" s="46">
        <f t="shared" si="885"/>
        <v>539457</v>
      </c>
      <c r="BF146" s="46">
        <f t="shared" si="885"/>
        <v>541253</v>
      </c>
      <c r="BG146" s="46">
        <f t="shared" si="885"/>
        <v>608658</v>
      </c>
      <c r="BH146" s="46">
        <f t="shared" si="885"/>
        <v>591098</v>
      </c>
      <c r="BI146" s="91">
        <f t="shared" si="885"/>
        <v>591098</v>
      </c>
      <c r="BJ146" s="46">
        <f t="shared" si="885"/>
        <v>648107</v>
      </c>
      <c r="BK146" s="46">
        <f t="shared" si="885"/>
        <v>648428</v>
      </c>
      <c r="BL146" s="46">
        <f t="shared" si="885"/>
        <v>738300</v>
      </c>
      <c r="BM146" s="46">
        <f t="shared" si="885"/>
        <v>751737</v>
      </c>
      <c r="BN146" s="91">
        <f t="shared" ref="BN146:CS146" si="886">BN134-SUM(BN143:BN145)</f>
        <v>751737</v>
      </c>
      <c r="BO146" s="46">
        <f t="shared" si="886"/>
        <v>843586</v>
      </c>
      <c r="BP146" s="46">
        <f t="shared" si="886"/>
        <v>964959</v>
      </c>
      <c r="BQ146" s="46">
        <f t="shared" si="886"/>
        <v>923179</v>
      </c>
      <c r="BR146" s="46">
        <f t="shared" si="886"/>
        <v>864965</v>
      </c>
      <c r="BS146" s="91">
        <f t="shared" si="886"/>
        <v>864965</v>
      </c>
      <c r="BT146" s="46">
        <f t="shared" si="886"/>
        <v>1006206</v>
      </c>
      <c r="BU146" s="46">
        <f t="shared" si="886"/>
        <v>913453</v>
      </c>
      <c r="BV146" s="46">
        <f t="shared" si="886"/>
        <v>1084024</v>
      </c>
      <c r="BW146" s="46">
        <f t="shared" si="886"/>
        <v>1095470</v>
      </c>
      <c r="BX146" s="91">
        <f t="shared" si="886"/>
        <v>1095470</v>
      </c>
      <c r="BY146" s="46">
        <f t="shared" si="886"/>
        <v>1133945</v>
      </c>
      <c r="BZ146" s="46">
        <f t="shared" si="886"/>
        <v>1329968</v>
      </c>
      <c r="CA146" s="46">
        <f t="shared" si="886"/>
        <v>1385221</v>
      </c>
      <c r="CB146" s="46">
        <f t="shared" ref="CB146" si="887">CB134-SUM(CB143:CB145)</f>
        <v>1381706</v>
      </c>
      <c r="CC146" s="91">
        <f t="shared" si="886"/>
        <v>1381706</v>
      </c>
      <c r="CD146" s="46">
        <f t="shared" ref="CD146:CE146" si="888">CD134-SUM(CD143:CD145)</f>
        <v>1544573</v>
      </c>
      <c r="CE146" s="46">
        <f t="shared" si="888"/>
        <v>1655024</v>
      </c>
      <c r="CF146" s="46">
        <f t="shared" ca="1" si="886"/>
        <v>1771895.1905298685</v>
      </c>
      <c r="CG146" s="46">
        <f t="shared" ca="1" si="886"/>
        <v>1895540.9415495377</v>
      </c>
      <c r="CH146" s="91">
        <f t="shared" ca="1" si="886"/>
        <v>1895540.9415495377</v>
      </c>
      <c r="CI146" s="46">
        <f t="shared" ca="1" si="886"/>
        <v>1998218.2789050841</v>
      </c>
      <c r="CJ146" s="46">
        <f t="shared" ca="1" si="886"/>
        <v>2118626.7696259911</v>
      </c>
      <c r="CK146" s="46">
        <f t="shared" ca="1" si="886"/>
        <v>2250535.559704612</v>
      </c>
      <c r="CL146" s="46">
        <f t="shared" ca="1" si="886"/>
        <v>2345393.4200406987</v>
      </c>
      <c r="CM146" s="91">
        <f t="shared" ca="1" si="886"/>
        <v>2345393.4200406987</v>
      </c>
      <c r="CN146" s="46">
        <f t="shared" ca="1" si="886"/>
        <v>2439514.2476605512</v>
      </c>
      <c r="CO146" s="46">
        <f t="shared" ca="1" si="886"/>
        <v>2471901.314870344</v>
      </c>
      <c r="CP146" s="46">
        <f t="shared" ca="1" si="886"/>
        <v>2539509.9388082917</v>
      </c>
      <c r="CQ146" s="46">
        <f t="shared" ca="1" si="886"/>
        <v>2591333.3930440857</v>
      </c>
      <c r="CR146" s="91">
        <f t="shared" ca="1" si="886"/>
        <v>2591333.3930440857</v>
      </c>
      <c r="CS146" s="46">
        <f t="shared" ca="1" si="886"/>
        <v>2663158.9946822221</v>
      </c>
      <c r="CT146" s="46">
        <f t="shared" ref="CT146:DB146" ca="1" si="889">CT134-SUM(CT143:CT145)</f>
        <v>2688777.299915913</v>
      </c>
      <c r="CU146" s="46">
        <f t="shared" ca="1" si="889"/>
        <v>2753425.2078335048</v>
      </c>
      <c r="CV146" s="46">
        <f t="shared" ca="1" si="889"/>
        <v>2804223.7886287975</v>
      </c>
      <c r="CW146" s="91">
        <f t="shared" ca="1" si="889"/>
        <v>2804223.7886287975</v>
      </c>
      <c r="CX146" s="46">
        <f t="shared" ca="1" si="889"/>
        <v>2886662.2478589327</v>
      </c>
      <c r="CY146" s="46">
        <f t="shared" ca="1" si="889"/>
        <v>2912265.8123974157</v>
      </c>
      <c r="CZ146" s="46">
        <f t="shared" ca="1" si="889"/>
        <v>2978659.4742151801</v>
      </c>
      <c r="DA146" s="46">
        <f t="shared" ca="1" si="889"/>
        <v>3031097.5295664133</v>
      </c>
      <c r="DB146" s="91">
        <f t="shared" ca="1" si="889"/>
        <v>3031097.5295664133</v>
      </c>
    </row>
    <row r="147" spans="1:106" s="56" customFormat="1" ht="11.5" customHeight="1" x14ac:dyDescent="0.35">
      <c r="A147" s="16" t="s">
        <v>28</v>
      </c>
      <c r="B147" s="474" t="e">
        <f>B146/IS!B48</f>
        <v>#DIV/0!</v>
      </c>
      <c r="C147" s="474" t="e">
        <f>C146/IS!C48</f>
        <v>#DIV/0!</v>
      </c>
      <c r="D147" s="474" t="e">
        <f>D146/IS!D48</f>
        <v>#DIV/0!</v>
      </c>
      <c r="E147" s="474" t="e">
        <f>E146/IS!E48</f>
        <v>#DIV/0!</v>
      </c>
      <c r="F147" s="471" t="e">
        <f>F146/IS!F48</f>
        <v>#DIV/0!</v>
      </c>
      <c r="G147" s="474" t="e">
        <f>G146/IS!G48</f>
        <v>#DIV/0!</v>
      </c>
      <c r="H147" s="474" t="e">
        <f>H146/IS!H48</f>
        <v>#DIV/0!</v>
      </c>
      <c r="I147" s="474" t="e">
        <f>I146/IS!I48</f>
        <v>#DIV/0!</v>
      </c>
      <c r="J147" s="474" t="e">
        <f>J146/IS!J48</f>
        <v>#DIV/0!</v>
      </c>
      <c r="K147" s="471" t="e">
        <f>K146/IS!K48</f>
        <v>#DIV/0!</v>
      </c>
      <c r="L147" s="474" t="e">
        <f>L146/IS!L48</f>
        <v>#DIV/0!</v>
      </c>
      <c r="M147" s="474" t="e">
        <f>M146/IS!M48</f>
        <v>#DIV/0!</v>
      </c>
      <c r="N147" s="474" t="e">
        <f>N146/IS!N48</f>
        <v>#DIV/0!</v>
      </c>
      <c r="O147" s="474" t="e">
        <f>O146/IS!O48</f>
        <v>#DIV/0!</v>
      </c>
      <c r="P147" s="471" t="e">
        <f>P146/IS!P48</f>
        <v>#DIV/0!</v>
      </c>
      <c r="Q147" s="474" t="e">
        <f>Q146/IS!Q48</f>
        <v>#DIV/0!</v>
      </c>
      <c r="R147" s="474" t="e">
        <f>R146/IS!R48</f>
        <v>#DIV/0!</v>
      </c>
      <c r="S147" s="474" t="e">
        <f>S146/IS!S48</f>
        <v>#DIV/0!</v>
      </c>
      <c r="T147" s="474" t="e">
        <f>T146/IS!T48</f>
        <v>#DIV/0!</v>
      </c>
      <c r="U147" s="471" t="e">
        <f>U146/IS!U48</f>
        <v>#DIV/0!</v>
      </c>
      <c r="V147" s="474" t="e">
        <f>V146/IS!V48</f>
        <v>#DIV/0!</v>
      </c>
      <c r="W147" s="474" t="e">
        <f>W146/IS!W48</f>
        <v>#DIV/0!</v>
      </c>
      <c r="X147" s="474" t="e">
        <f>X146/IS!X48</f>
        <v>#DIV/0!</v>
      </c>
      <c r="Y147" s="474" t="e">
        <f>Y146/IS!Y48</f>
        <v>#DIV/0!</v>
      </c>
      <c r="Z147" s="471" t="e">
        <f>Z146/IS!Z48</f>
        <v>#DIV/0!</v>
      </c>
      <c r="AA147" s="474" t="e">
        <f>AA146/IS!AA48</f>
        <v>#DIV/0!</v>
      </c>
      <c r="AB147" s="474" t="e">
        <f>AB146/IS!AB48</f>
        <v>#DIV/0!</v>
      </c>
      <c r="AC147" s="474" t="e">
        <f>AC146/IS!AC48</f>
        <v>#DIV/0!</v>
      </c>
      <c r="AD147" s="474" t="e">
        <f>AD146/IS!AD48</f>
        <v>#DIV/0!</v>
      </c>
      <c r="AE147" s="471" t="e">
        <f>AE146/IS!AE48</f>
        <v>#DIV/0!</v>
      </c>
      <c r="AF147" s="474" t="e">
        <f>AF146/IS!AF48</f>
        <v>#DIV/0!</v>
      </c>
      <c r="AG147" s="474" t="e">
        <f>AG146/IS!AG48</f>
        <v>#DIV/0!</v>
      </c>
      <c r="AH147" s="474" t="e">
        <f>AH146/IS!AH48</f>
        <v>#DIV/0!</v>
      </c>
      <c r="AI147" s="474" t="e">
        <f>AI146/IS!AI48</f>
        <v>#DIV/0!</v>
      </c>
      <c r="AJ147" s="471" t="e">
        <f>AJ146/IS!AJ48</f>
        <v>#DIV/0!</v>
      </c>
      <c r="AK147" s="474">
        <f>AK146/IS!AK48</f>
        <v>0.88304692329482559</v>
      </c>
      <c r="AL147" s="474">
        <f>AL146/IS!AL48</f>
        <v>0.95470743580943729</v>
      </c>
      <c r="AM147" s="474">
        <f>AM146/IS!AM48</f>
        <v>1.0775712533961832</v>
      </c>
      <c r="AN147" s="474">
        <f>AN146/IS!AN48</f>
        <v>0.77515241788736711</v>
      </c>
      <c r="AO147" s="471">
        <f>AO146/IS!AO48</f>
        <v>0.77515241788736711</v>
      </c>
      <c r="AP147" s="474">
        <f>AP146/IS!AP48</f>
        <v>0.99641105533943153</v>
      </c>
      <c r="AQ147" s="474">
        <f>AQ146/IS!AQ48</f>
        <v>1.1117043542941336</v>
      </c>
      <c r="AR147" s="474">
        <f>AR146/IS!AR48</f>
        <v>1.1430752389344465</v>
      </c>
      <c r="AS147" s="474">
        <f>AS146/IS!AS48</f>
        <v>0.77781598356437476</v>
      </c>
      <c r="AT147" s="471">
        <f>AT146/IS!AT48</f>
        <v>0.77781598356437476</v>
      </c>
      <c r="AU147" s="474">
        <f>AU146/IS!AU48</f>
        <v>0.84496049172126153</v>
      </c>
      <c r="AV147" s="474">
        <f>AV146/IS!AV48</f>
        <v>1.0681044513809199</v>
      </c>
      <c r="AW147" s="474">
        <f>AW146/IS!AW48</f>
        <v>1.1788415550006033</v>
      </c>
      <c r="AX147" s="474">
        <f>AX146/IS!AX48</f>
        <v>0.78049051041700801</v>
      </c>
      <c r="AY147" s="471">
        <f>AY146/IS!AY48</f>
        <v>0.78049051041700801</v>
      </c>
      <c r="AZ147" s="474">
        <f>AZ146/IS!AZ48</f>
        <v>0.8042360705471493</v>
      </c>
      <c r="BA147" s="474">
        <f>BA146/IS!BA48</f>
        <v>0.9393837122849239</v>
      </c>
      <c r="BB147" s="474">
        <f>BB146/IS!BB48</f>
        <v>1.5749442789033095</v>
      </c>
      <c r="BC147" s="474">
        <f>BC146/IS!BC48</f>
        <v>1.6769639483586212</v>
      </c>
      <c r="BD147" s="471">
        <f>BD146/IS!BD48</f>
        <v>1.6769639483586212</v>
      </c>
      <c r="BE147" s="474">
        <f>BE146/IS!BE48</f>
        <v>1.8482461236979568</v>
      </c>
      <c r="BF147" s="474">
        <f>BF146/IS!BF48</f>
        <v>1.854399440900554</v>
      </c>
      <c r="BG147" s="474">
        <f>BG146/IS!BG48</f>
        <v>2.0853372727719743</v>
      </c>
      <c r="BH147" s="474">
        <f>BH146/IS!BH48</f>
        <v>2.0259283513053767</v>
      </c>
      <c r="BI147" s="471">
        <f>BI146/IS!BI48</f>
        <v>2.0259283513053767</v>
      </c>
      <c r="BJ147" s="474">
        <f>(BJ146)/IS!BJ48</f>
        <v>2.2204944054697808</v>
      </c>
      <c r="BK147" s="474">
        <f>BK146/IS!BK48</f>
        <v>2.2368511397209634</v>
      </c>
      <c r="BL147" s="474">
        <f>BL146/IS!BL48</f>
        <v>2.5468782909682917</v>
      </c>
      <c r="BM147" s="474">
        <f>BM146/IS!BM48</f>
        <v>2.5932312688847765</v>
      </c>
      <c r="BN147" s="471">
        <f>BN146/IS!BN48</f>
        <v>2.5932312688847765</v>
      </c>
      <c r="BO147" s="474">
        <f>(BO146)/IS!BO48</f>
        <v>2.910078382723523</v>
      </c>
      <c r="BP147" s="474">
        <f>BP146/IS!BP48</f>
        <v>3.3287730309826244</v>
      </c>
      <c r="BQ147" s="474">
        <f>BQ146/IS!BQ48</f>
        <v>3.1846465580086907</v>
      </c>
      <c r="BR147" s="474">
        <f>BR146/IS!BR48</f>
        <v>2.9838284991837845</v>
      </c>
      <c r="BS147" s="471">
        <f>BS146/IS!BS48</f>
        <v>2.9838284991837845</v>
      </c>
      <c r="BT147" s="474">
        <f>(BT146)/IS!BT48</f>
        <v>3.4710608392821896</v>
      </c>
      <c r="BU147" s="474">
        <f>BU146/IS!BU48</f>
        <v>3.1510952397668412</v>
      </c>
      <c r="BV147" s="474">
        <f>BV146/IS!BV48</f>
        <v>3.7395058817399582</v>
      </c>
      <c r="BW147" s="474">
        <f>BW146/IS!BW48</f>
        <v>3.7789906019328652</v>
      </c>
      <c r="BX147" s="471">
        <f>BX146/IS!BX48</f>
        <v>3.7789906019328652</v>
      </c>
      <c r="BY147" s="474">
        <f>BY146/IS!BY48</f>
        <v>3.9117159740647964</v>
      </c>
      <c r="BZ147" s="474">
        <f>BZ146/IS!BZ48</f>
        <v>4.55663417221822</v>
      </c>
      <c r="CA147" s="474">
        <f>CA146/IS!CA48</f>
        <v>4.7459377554003517</v>
      </c>
      <c r="CB147" s="474">
        <f>CB146/IS!CB48</f>
        <v>4.4853653361110171</v>
      </c>
      <c r="CC147" s="471">
        <f>CC146/IS!CC48</f>
        <v>4.4853653361110171</v>
      </c>
      <c r="CD147" s="474">
        <f>CD146/IS!CD48</f>
        <v>5.0140725981453373</v>
      </c>
      <c r="CE147" s="474">
        <f>CE146/IS!CE48</f>
        <v>5.3726243354460355</v>
      </c>
      <c r="CF147" s="474">
        <f ca="1">CF146/IS!CF48</f>
        <v>5.7520176266329432</v>
      </c>
      <c r="CG147" s="474">
        <f ca="1">CG146/IS!CG48</f>
        <v>6.1534028457613523</v>
      </c>
      <c r="CH147" s="471">
        <f ca="1">CH146/IS!CH48</f>
        <v>6.1534028457613523</v>
      </c>
      <c r="CI147" s="474">
        <f ca="1">CI146/IS!CI48</f>
        <v>6.4867193181358989</v>
      </c>
      <c r="CJ147" s="474">
        <f ca="1">CJ146/IS!CJ48</f>
        <v>6.8775955757862253</v>
      </c>
      <c r="CK147" s="474">
        <f ca="1">CK146/IS!CK48</f>
        <v>7.3058046988174565</v>
      </c>
      <c r="CL147" s="474">
        <f ca="1">CL146/IS!CL48</f>
        <v>7.6137371812769254</v>
      </c>
      <c r="CM147" s="471">
        <f ca="1">CM146/IS!CM48</f>
        <v>7.6137371812769254</v>
      </c>
      <c r="CN147" s="474">
        <f ca="1">CN146/IS!CN48</f>
        <v>7.919277070089862</v>
      </c>
      <c r="CO147" s="474">
        <f ca="1">CO146/IS!CO48</f>
        <v>8.0244136393752985</v>
      </c>
      <c r="CP147" s="474">
        <f ca="1">CP146/IS!CP48</f>
        <v>8.2438882441272749</v>
      </c>
      <c r="CQ147" s="474">
        <f ca="1">CQ146/IS!CQ48</f>
        <v>8.4121202162159587</v>
      </c>
      <c r="CR147" s="471">
        <f ca="1">CR146/IS!CR48</f>
        <v>8.4121202162159587</v>
      </c>
      <c r="CS147" s="474">
        <f ca="1">CS146/IS!CS48</f>
        <v>8.6452841916441727</v>
      </c>
      <c r="CT147" s="474">
        <f ca="1">CT146/IS!CT48</f>
        <v>8.7284476564225759</v>
      </c>
      <c r="CU147" s="474">
        <f ca="1">CU146/IS!CU48</f>
        <v>8.9383110320072969</v>
      </c>
      <c r="CV147" s="474">
        <f ca="1">CV146/IS!CV48</f>
        <v>9.1032160070329837</v>
      </c>
      <c r="CW147" s="471">
        <f ca="1">CW146/IS!CW48</f>
        <v>9.1032160070329837</v>
      </c>
      <c r="CX147" s="474">
        <f ca="1">CX146/IS!CX48</f>
        <v>9.3708319885755476</v>
      </c>
      <c r="CY147" s="474">
        <f ca="1">CY146/IS!CY48</f>
        <v>9.4539476013483039</v>
      </c>
      <c r="CZ147" s="474">
        <f ca="1">CZ146/IS!CZ48</f>
        <v>9.6694781333535769</v>
      </c>
      <c r="DA147" s="474">
        <f ca="1">DA146/IS!DA48</f>
        <v>9.839705255306793</v>
      </c>
      <c r="DB147" s="471">
        <f ca="1">DB146/IS!DB48</f>
        <v>9.839705255306793</v>
      </c>
    </row>
    <row r="148" spans="1:106" ht="11.5" customHeight="1" x14ac:dyDescent="0.35">
      <c r="A148" s="19" t="s">
        <v>252</v>
      </c>
      <c r="B148" s="23"/>
      <c r="C148" s="23"/>
      <c r="D148" s="23"/>
      <c r="E148" s="23"/>
      <c r="F148" s="55"/>
      <c r="G148" s="23"/>
      <c r="H148" s="23"/>
      <c r="I148" s="23"/>
      <c r="J148" s="23"/>
      <c r="K148" s="55"/>
      <c r="L148" s="23"/>
      <c r="M148" s="23"/>
      <c r="N148" s="23"/>
      <c r="O148" s="23"/>
      <c r="P148" s="55"/>
      <c r="Q148" s="23"/>
      <c r="R148" s="23"/>
      <c r="S148" s="23"/>
      <c r="T148" s="23"/>
      <c r="U148" s="55"/>
      <c r="V148" s="23"/>
      <c r="W148" s="23"/>
      <c r="X148" s="23"/>
      <c r="Y148" s="23"/>
      <c r="Z148" s="55"/>
      <c r="AA148" s="23"/>
      <c r="AB148" s="23"/>
      <c r="AC148" s="23"/>
      <c r="AD148" s="23"/>
      <c r="AE148" s="55"/>
      <c r="AF148" s="23"/>
      <c r="AG148" s="23"/>
      <c r="AH148" s="23"/>
      <c r="AI148" s="23"/>
      <c r="AJ148" s="55"/>
      <c r="AK148" s="23"/>
      <c r="AL148" s="23"/>
      <c r="AM148" s="23"/>
      <c r="AN148" s="23"/>
      <c r="AO148" s="55"/>
      <c r="AP148" s="23"/>
      <c r="AQ148" s="23"/>
      <c r="AR148" s="23"/>
      <c r="AS148" s="23"/>
      <c r="AT148" s="55"/>
      <c r="AU148" s="23"/>
      <c r="AV148" s="23"/>
      <c r="AW148" s="23"/>
      <c r="AX148" s="23"/>
      <c r="AY148" s="55"/>
      <c r="AZ148" s="23"/>
      <c r="BA148" s="23"/>
      <c r="BB148" s="23"/>
      <c r="BC148" s="23"/>
      <c r="BD148" s="55"/>
      <c r="BE148" s="23"/>
      <c r="BF148" s="23"/>
      <c r="BG148" s="23"/>
      <c r="BH148" s="23"/>
      <c r="BI148" s="55"/>
      <c r="BJ148" s="23"/>
      <c r="BK148" s="23"/>
      <c r="BL148" s="23"/>
      <c r="BM148" s="23"/>
      <c r="BN148" s="55"/>
      <c r="BO148" s="23"/>
      <c r="BP148" s="23"/>
      <c r="BQ148" s="23"/>
      <c r="BR148" s="23"/>
      <c r="BS148" s="55"/>
      <c r="BT148" s="23"/>
      <c r="BU148" s="23"/>
      <c r="BV148" s="23"/>
      <c r="BW148" s="23"/>
      <c r="BX148" s="55"/>
      <c r="BY148" s="23"/>
      <c r="BZ148" s="23"/>
      <c r="CA148" s="23"/>
      <c r="CB148" s="23"/>
      <c r="CC148" s="55"/>
      <c r="CD148" s="23"/>
      <c r="CE148" s="23"/>
      <c r="CF148" s="23"/>
      <c r="CG148" s="23"/>
      <c r="CH148" s="55"/>
      <c r="CI148" s="23"/>
      <c r="CJ148" s="23"/>
      <c r="CK148" s="23"/>
      <c r="CL148" s="23"/>
      <c r="CM148" s="55"/>
      <c r="CN148" s="23"/>
      <c r="CO148" s="23"/>
      <c r="CP148" s="23"/>
      <c r="CQ148" s="23"/>
      <c r="CR148" s="55"/>
      <c r="CS148" s="23"/>
      <c r="CT148" s="23"/>
      <c r="CU148" s="23"/>
      <c r="CV148" s="23"/>
      <c r="CW148" s="55"/>
      <c r="CX148" s="23"/>
      <c r="CY148" s="23"/>
      <c r="CZ148" s="23"/>
      <c r="DA148" s="23"/>
      <c r="DB148" s="55"/>
    </row>
    <row r="149" spans="1:106" ht="11.5" customHeight="1" x14ac:dyDescent="0.35">
      <c r="A149" s="19" t="s">
        <v>253</v>
      </c>
      <c r="B149" s="23" t="e">
        <f t="shared" ref="B149:E149" si="890">B144-A144</f>
        <v>#VALUE!</v>
      </c>
      <c r="C149" s="23">
        <f t="shared" si="890"/>
        <v>0</v>
      </c>
      <c r="D149" s="23">
        <f t="shared" si="890"/>
        <v>0</v>
      </c>
      <c r="E149" s="23">
        <f t="shared" si="890"/>
        <v>0</v>
      </c>
      <c r="F149" s="55" t="e">
        <f t="shared" ref="F149" si="891">SUM(B149:E149)</f>
        <v>#VALUE!</v>
      </c>
      <c r="G149" s="23">
        <f t="shared" ref="G149:J149" si="892">G144-F144</f>
        <v>0</v>
      </c>
      <c r="H149" s="23">
        <f t="shared" si="892"/>
        <v>0</v>
      </c>
      <c r="I149" s="23">
        <f t="shared" si="892"/>
        <v>0</v>
      </c>
      <c r="J149" s="23">
        <f t="shared" si="892"/>
        <v>0</v>
      </c>
      <c r="K149" s="55">
        <f t="shared" ref="K149" si="893">SUM(G149:J149)</f>
        <v>0</v>
      </c>
      <c r="L149" s="23">
        <f t="shared" ref="L149:O149" si="894">L144-K144</f>
        <v>0</v>
      </c>
      <c r="M149" s="23">
        <f t="shared" si="894"/>
        <v>0</v>
      </c>
      <c r="N149" s="23">
        <f t="shared" si="894"/>
        <v>0</v>
      </c>
      <c r="O149" s="23">
        <f t="shared" si="894"/>
        <v>0</v>
      </c>
      <c r="P149" s="55">
        <f t="shared" ref="P149" si="895">SUM(L149:O149)</f>
        <v>0</v>
      </c>
      <c r="Q149" s="23">
        <f t="shared" ref="Q149:T149" si="896">Q144-P144</f>
        <v>0</v>
      </c>
      <c r="R149" s="23">
        <f t="shared" si="896"/>
        <v>0</v>
      </c>
      <c r="S149" s="23">
        <f t="shared" si="896"/>
        <v>0</v>
      </c>
      <c r="T149" s="23">
        <f t="shared" si="896"/>
        <v>0</v>
      </c>
      <c r="U149" s="55">
        <f t="shared" ref="U149" si="897">SUM(Q149:T149)</f>
        <v>0</v>
      </c>
      <c r="V149" s="23">
        <f t="shared" ref="V149:Y149" si="898">V144-U144</f>
        <v>0</v>
      </c>
      <c r="W149" s="23">
        <f t="shared" si="898"/>
        <v>0</v>
      </c>
      <c r="X149" s="23">
        <f t="shared" si="898"/>
        <v>0</v>
      </c>
      <c r="Y149" s="23">
        <f t="shared" si="898"/>
        <v>0</v>
      </c>
      <c r="Z149" s="55">
        <f t="shared" ref="Z149" si="899">SUM(V149:Y149)</f>
        <v>0</v>
      </c>
      <c r="AA149" s="23">
        <f t="shared" ref="AA149:AD149" si="900">AA144-Z144</f>
        <v>0</v>
      </c>
      <c r="AB149" s="23">
        <f t="shared" si="900"/>
        <v>0</v>
      </c>
      <c r="AC149" s="23">
        <f t="shared" si="900"/>
        <v>0</v>
      </c>
      <c r="AD149" s="23">
        <f t="shared" si="900"/>
        <v>0</v>
      </c>
      <c r="AE149" s="55">
        <f t="shared" ref="AE149" si="901">SUM(AA149:AD149)</f>
        <v>0</v>
      </c>
      <c r="AF149" s="23">
        <f>AF144-AE144</f>
        <v>0</v>
      </c>
      <c r="AG149" s="23">
        <f>AG144-AF144</f>
        <v>0</v>
      </c>
      <c r="AH149" s="23">
        <f>AH144-AG144</f>
        <v>0</v>
      </c>
      <c r="AI149" s="23">
        <f>AI144-AH144</f>
        <v>0</v>
      </c>
      <c r="AJ149" s="55">
        <f>SUM(AF149:AI149)</f>
        <v>0</v>
      </c>
      <c r="AK149" s="23">
        <f>AK144-AJ144</f>
        <v>0</v>
      </c>
      <c r="AL149" s="23">
        <f>AL144-AK144</f>
        <v>0</v>
      </c>
      <c r="AM149" s="23">
        <f>AM144-AL144</f>
        <v>0</v>
      </c>
      <c r="AN149" s="23">
        <f>AN144-AM144</f>
        <v>0</v>
      </c>
      <c r="AO149" s="55">
        <f>SUM(AK149:AN149)</f>
        <v>0</v>
      </c>
      <c r="AP149" s="23">
        <f>AP144-AO144</f>
        <v>0</v>
      </c>
      <c r="AQ149" s="23">
        <f>AQ144-AP144</f>
        <v>0</v>
      </c>
      <c r="AR149" s="23">
        <f>AR144-AQ144</f>
        <v>0</v>
      </c>
      <c r="AS149" s="23">
        <f>AS144-AR144</f>
        <v>0</v>
      </c>
      <c r="AT149" s="55">
        <f>SUM(AP149:AS149)</f>
        <v>0</v>
      </c>
      <c r="AU149" s="23">
        <f>AU144-AT144</f>
        <v>0</v>
      </c>
      <c r="AV149" s="23">
        <f>AV144-AU144</f>
        <v>0</v>
      </c>
      <c r="AW149" s="23">
        <f>AW144-AV144</f>
        <v>0</v>
      </c>
      <c r="AX149" s="23">
        <f>AX144-AW144</f>
        <v>0</v>
      </c>
      <c r="AY149" s="55">
        <f>SUM(AU149:AX149)</f>
        <v>0</v>
      </c>
      <c r="AZ149" s="23">
        <f>AZ144-AY144</f>
        <v>0</v>
      </c>
      <c r="BA149" s="23">
        <f>BA144-AZ144</f>
        <v>0</v>
      </c>
      <c r="BB149" s="23">
        <f>BB144-BA144</f>
        <v>0</v>
      </c>
      <c r="BC149" s="23">
        <f>BC144-BB144</f>
        <v>0</v>
      </c>
      <c r="BD149" s="55">
        <f>SUM(AZ149:BC149)</f>
        <v>0</v>
      </c>
      <c r="BE149" s="23">
        <f>BE144-BD144</f>
        <v>0</v>
      </c>
      <c r="BF149" s="23">
        <f>BF144-BE144</f>
        <v>0</v>
      </c>
      <c r="BG149" s="23">
        <f>BG144-BF144</f>
        <v>0</v>
      </c>
      <c r="BH149" s="23">
        <f>BH144-BG144</f>
        <v>0</v>
      </c>
      <c r="BI149" s="55">
        <f>SUM(BE149:BH149)</f>
        <v>0</v>
      </c>
      <c r="BJ149" s="23">
        <f>BJ144-BI144</f>
        <v>0</v>
      </c>
      <c r="BK149" s="23">
        <f>BK144-BJ144</f>
        <v>0</v>
      </c>
      <c r="BL149" s="23">
        <f>BL144-BK144</f>
        <v>0</v>
      </c>
      <c r="BM149" s="23">
        <f>BM144-BL144</f>
        <v>0</v>
      </c>
      <c r="BN149" s="55">
        <f>SUM(BJ149:BM149)</f>
        <v>0</v>
      </c>
      <c r="BO149" s="23">
        <f>BO144-BN144</f>
        <v>0</v>
      </c>
      <c r="BP149" s="23">
        <f>BP144-BO144</f>
        <v>0</v>
      </c>
      <c r="BQ149" s="23">
        <f>BQ144-BP144</f>
        <v>0</v>
      </c>
      <c r="BR149" s="23">
        <f>BR144-BQ144</f>
        <v>0</v>
      </c>
      <c r="BS149" s="55">
        <f>SUM(BO149:BR149)</f>
        <v>0</v>
      </c>
      <c r="BT149" s="23">
        <f>BT144-BS144</f>
        <v>0</v>
      </c>
      <c r="BU149" s="23">
        <f>BU144-BT144</f>
        <v>0</v>
      </c>
      <c r="BV149" s="23">
        <f>BV144-BU144</f>
        <v>0</v>
      </c>
      <c r="BW149" s="23">
        <f>BW144-BV144</f>
        <v>0</v>
      </c>
      <c r="BX149" s="55">
        <f>SUM(BT149:BW149)</f>
        <v>0</v>
      </c>
      <c r="BY149" s="23">
        <f>BY144-BX144</f>
        <v>0</v>
      </c>
      <c r="BZ149" s="23">
        <f>BZ144-BY144</f>
        <v>0</v>
      </c>
      <c r="CA149" s="23">
        <f>CA144-BZ144</f>
        <v>0</v>
      </c>
      <c r="CB149" s="23">
        <f>CB144-CA144</f>
        <v>0</v>
      </c>
      <c r="CC149" s="55">
        <f>SUM(BY149:CB149)</f>
        <v>0</v>
      </c>
      <c r="CD149" s="23">
        <f>CD144-CC144</f>
        <v>0</v>
      </c>
      <c r="CE149" s="23">
        <f>CE144-CD144</f>
        <v>0</v>
      </c>
      <c r="CF149" s="23">
        <f>CF144-CE144</f>
        <v>-1324.6909500000002</v>
      </c>
      <c r="CG149" s="23">
        <f>CG144-CF144</f>
        <v>-777.6498525345778</v>
      </c>
      <c r="CH149" s="55">
        <f>SUM(CD149:CG149)</f>
        <v>-2102.340802534578</v>
      </c>
      <c r="CI149" s="23">
        <f>CI144-CH144</f>
        <v>-9053.7812251752748</v>
      </c>
      <c r="CJ149" s="23">
        <f>CJ144-CI144</f>
        <v>-4458.1303773717354</v>
      </c>
      <c r="CK149" s="23">
        <f>CK144-CJ144</f>
        <v>-4287.5977251077384</v>
      </c>
      <c r="CL149" s="23">
        <f>CL144-CK144</f>
        <v>-3995.32327220554</v>
      </c>
      <c r="CM149" s="55">
        <f>SUM(CI149:CL149)</f>
        <v>-21794.832599860289</v>
      </c>
      <c r="CN149" s="23">
        <f>CN144-CM144</f>
        <v>-2074.3151629308086</v>
      </c>
      <c r="CO149" s="23">
        <f>CO144-CN144</f>
        <v>-577.82019906041751</v>
      </c>
      <c r="CP149" s="23">
        <f>CP144-CO144</f>
        <v>-3190.468411458045</v>
      </c>
      <c r="CQ149" s="23">
        <f>CQ144-CP144</f>
        <v>-3248.0964242575501</v>
      </c>
      <c r="CR149" s="55">
        <f>SUM(CN149:CQ149)</f>
        <v>-9090.7001977068212</v>
      </c>
      <c r="CS149" s="23">
        <f>CS144-CR144</f>
        <v>-178.17007470010867</v>
      </c>
      <c r="CT149" s="23">
        <f>CT144-CS144</f>
        <v>1006.9737765450045</v>
      </c>
      <c r="CU149" s="23">
        <f>CU144-CT144</f>
        <v>-2476.547472394981</v>
      </c>
      <c r="CV149" s="23">
        <f>CV144-CU144</f>
        <v>-2853.8117788669479</v>
      </c>
      <c r="CW149" s="55">
        <f>SUM(CS149:CV149)</f>
        <v>-4501.555549417033</v>
      </c>
      <c r="CX149" s="23">
        <f>CX144-CW144</f>
        <v>404.77316425566096</v>
      </c>
      <c r="CY149" s="23">
        <f>CY144-CX144</f>
        <v>1611.127602510649</v>
      </c>
      <c r="CZ149" s="23">
        <f>CZ144-CY144</f>
        <v>-2320.4110285561474</v>
      </c>
      <c r="DA149" s="23">
        <f>DA144-CZ144</f>
        <v>-2807.7926195026812</v>
      </c>
      <c r="DB149" s="55">
        <f>SUM(CX149:DA149)</f>
        <v>-3112.3028812925186</v>
      </c>
    </row>
    <row r="150" spans="1:106" ht="11.5" customHeight="1" x14ac:dyDescent="0.35">
      <c r="A150" s="19" t="s">
        <v>254</v>
      </c>
      <c r="B150" s="409">
        <f>IS!B36+IS!B33</f>
        <v>0</v>
      </c>
      <c r="C150" s="409">
        <f>IS!C36+IS!C33</f>
        <v>0</v>
      </c>
      <c r="D150" s="409">
        <f>IS!D36+IS!D33</f>
        <v>0</v>
      </c>
      <c r="E150" s="409">
        <f>IS!E36+IS!E33</f>
        <v>0</v>
      </c>
      <c r="F150" s="472">
        <f>IS!F36+IS!F33</f>
        <v>0</v>
      </c>
      <c r="G150" s="409">
        <f>IS!G36+IS!G33</f>
        <v>0</v>
      </c>
      <c r="H150" s="409">
        <f>IS!H36+IS!H33</f>
        <v>0</v>
      </c>
      <c r="I150" s="409">
        <f>IS!I36+IS!I33</f>
        <v>0</v>
      </c>
      <c r="J150" s="409">
        <f>IS!J36+IS!J33</f>
        <v>0</v>
      </c>
      <c r="K150" s="472">
        <f>IS!K36+IS!K33</f>
        <v>0</v>
      </c>
      <c r="L150" s="409">
        <f>IS!L36+IS!L33</f>
        <v>0</v>
      </c>
      <c r="M150" s="409">
        <f>IS!M36+IS!M33</f>
        <v>0</v>
      </c>
      <c r="N150" s="409">
        <f>IS!N36+IS!N33</f>
        <v>0</v>
      </c>
      <c r="O150" s="409">
        <f>IS!O36+IS!O33</f>
        <v>0</v>
      </c>
      <c r="P150" s="472">
        <f>IS!P36+IS!P33</f>
        <v>0</v>
      </c>
      <c r="Q150" s="409">
        <f>IS!Q36+IS!Q33</f>
        <v>0</v>
      </c>
      <c r="R150" s="409">
        <f>IS!R36+IS!R33</f>
        <v>0</v>
      </c>
      <c r="S150" s="409">
        <f>IS!S36+IS!S33</f>
        <v>0</v>
      </c>
      <c r="T150" s="409">
        <f>IS!T36+IS!T33</f>
        <v>0</v>
      </c>
      <c r="U150" s="472">
        <f>IS!U36+IS!U33</f>
        <v>0</v>
      </c>
      <c r="V150" s="409">
        <f>IS!V36+IS!V33</f>
        <v>0</v>
      </c>
      <c r="W150" s="409">
        <f>IS!W36+IS!W33</f>
        <v>0</v>
      </c>
      <c r="X150" s="409">
        <f>IS!X36+IS!X33</f>
        <v>0</v>
      </c>
      <c r="Y150" s="409">
        <f>IS!Y36+IS!Y33</f>
        <v>0</v>
      </c>
      <c r="Z150" s="472">
        <f>IS!Z36+IS!Z33</f>
        <v>0</v>
      </c>
      <c r="AA150" s="409">
        <f>IS!AA36+IS!AA33</f>
        <v>0</v>
      </c>
      <c r="AB150" s="409">
        <f>IS!AB36+IS!AB33</f>
        <v>0</v>
      </c>
      <c r="AC150" s="409">
        <f>IS!AC36+IS!AC33</f>
        <v>0</v>
      </c>
      <c r="AD150" s="409">
        <f>IS!AD36+IS!AD33</f>
        <v>0</v>
      </c>
      <c r="AE150" s="472">
        <f>IS!AE36+IS!AE33</f>
        <v>0</v>
      </c>
      <c r="AF150" s="409">
        <f>IS!AF36+IS!AF33</f>
        <v>0</v>
      </c>
      <c r="AG150" s="409">
        <f>IS!AG36+IS!AG33</f>
        <v>0</v>
      </c>
      <c r="AH150" s="409">
        <f>IS!AH36+IS!AH33</f>
        <v>0</v>
      </c>
      <c r="AI150" s="409">
        <f>IS!AI36+IS!AI33</f>
        <v>0</v>
      </c>
      <c r="AJ150" s="472">
        <f>IS!AJ36+IS!AJ33</f>
        <v>0</v>
      </c>
      <c r="AK150" s="409">
        <f>IS!AK36+IS!AK33</f>
        <v>0</v>
      </c>
      <c r="AL150" s="409">
        <f>IS!AL36+IS!AL33</f>
        <v>0</v>
      </c>
      <c r="AM150" s="409">
        <f>IS!AM36+IS!AM33</f>
        <v>0</v>
      </c>
      <c r="AN150" s="409">
        <f>IS!AN36+IS!AN33</f>
        <v>0</v>
      </c>
      <c r="AO150" s="472">
        <f>IS!AO36+IS!AO33</f>
        <v>0</v>
      </c>
      <c r="AP150" s="409">
        <f>IS!AP36+IS!AP33</f>
        <v>0</v>
      </c>
      <c r="AQ150" s="409">
        <f>IS!AQ36+IS!AQ33</f>
        <v>0</v>
      </c>
      <c r="AR150" s="409">
        <f>IS!AR36+IS!AR33</f>
        <v>0</v>
      </c>
      <c r="AS150" s="409">
        <f>IS!AS36+IS!AS33</f>
        <v>0</v>
      </c>
      <c r="AT150" s="472">
        <f>IS!AT36+IS!AT33</f>
        <v>0</v>
      </c>
      <c r="AU150" s="409">
        <f>IS!AU36+IS!AU33</f>
        <v>0</v>
      </c>
      <c r="AV150" s="409">
        <f>IS!AV36+IS!AV33</f>
        <v>0</v>
      </c>
      <c r="AW150" s="409">
        <f>IS!AW36+IS!AW33</f>
        <v>0</v>
      </c>
      <c r="AX150" s="409">
        <f>IS!AX36+IS!AX33</f>
        <v>0</v>
      </c>
      <c r="AY150" s="472">
        <f>IS!AY36+IS!AY33</f>
        <v>0</v>
      </c>
      <c r="AZ150" s="409">
        <f>IS!AZ36+IS!AZ33</f>
        <v>0</v>
      </c>
      <c r="BA150" s="409">
        <f>IS!BA36+IS!BA33</f>
        <v>0</v>
      </c>
      <c r="BB150" s="409">
        <f>IS!BB36+IS!BB33</f>
        <v>0</v>
      </c>
      <c r="BC150" s="409">
        <f>IS!BC36+IS!BC33</f>
        <v>0</v>
      </c>
      <c r="BD150" s="472">
        <f>IS!BD36+IS!BD33</f>
        <v>0</v>
      </c>
      <c r="BE150" s="409">
        <f>IS!BE36+IS!BE33</f>
        <v>0</v>
      </c>
      <c r="BF150" s="409">
        <f>IS!BF36+IS!BF33</f>
        <v>0</v>
      </c>
      <c r="BG150" s="409">
        <f>IS!BG36+IS!BG33</f>
        <v>0</v>
      </c>
      <c r="BH150" s="409">
        <f>IS!BH36+IS!BH33</f>
        <v>0</v>
      </c>
      <c r="BI150" s="472">
        <f>IS!BI36+IS!BI33</f>
        <v>0</v>
      </c>
      <c r="BJ150" s="409">
        <f>IS!BJ36+IS!BJ33</f>
        <v>0</v>
      </c>
      <c r="BK150" s="409">
        <f>IS!BK36+IS!BK33</f>
        <v>0</v>
      </c>
      <c r="BL150" s="409">
        <f>IS!BL36+IS!BL33</f>
        <v>0</v>
      </c>
      <c r="BM150" s="409">
        <f>IS!BM36+IS!BM33</f>
        <v>0</v>
      </c>
      <c r="BN150" s="472">
        <f>IS!BN36+IS!BN33</f>
        <v>0</v>
      </c>
      <c r="BO150" s="409">
        <f>IS!BO36+IS!BO33</f>
        <v>0</v>
      </c>
      <c r="BP150" s="409">
        <f>IS!BP36+IS!BP33</f>
        <v>0</v>
      </c>
      <c r="BQ150" s="409">
        <f>IS!BQ36+IS!BQ33</f>
        <v>0</v>
      </c>
      <c r="BR150" s="409">
        <f>IS!BR36+IS!BR33</f>
        <v>0</v>
      </c>
      <c r="BS150" s="472">
        <f>IS!BS36+IS!BS33</f>
        <v>0</v>
      </c>
      <c r="BT150" s="409">
        <f>IS!BT36+IS!BT33</f>
        <v>0</v>
      </c>
      <c r="BU150" s="409">
        <f>IS!BU36+IS!BU33</f>
        <v>0</v>
      </c>
      <c r="BV150" s="409">
        <f>IS!BV36+IS!BV33</f>
        <v>0</v>
      </c>
      <c r="BW150" s="409">
        <f>IS!BW36+IS!BW33</f>
        <v>0</v>
      </c>
      <c r="BX150" s="472">
        <f>IS!BX36+IS!BX33</f>
        <v>0</v>
      </c>
      <c r="BY150" s="409">
        <f>IS!BY36+IS!BY33</f>
        <v>0</v>
      </c>
      <c r="BZ150" s="409">
        <f>IS!BZ36+IS!BZ33</f>
        <v>0</v>
      </c>
      <c r="CA150" s="409">
        <f>IS!CA36+IS!CA33</f>
        <v>0</v>
      </c>
      <c r="CB150" s="409">
        <f>IS!CB36+IS!CB33</f>
        <v>0</v>
      </c>
      <c r="CC150" s="472">
        <f>IS!CC36+IS!CC33</f>
        <v>0</v>
      </c>
      <c r="CD150" s="409">
        <f>IS!CD36+IS!CD33</f>
        <v>0</v>
      </c>
      <c r="CE150" s="409">
        <f>IS!CE36+IS!CE33</f>
        <v>0</v>
      </c>
      <c r="CF150" s="409">
        <f>IS!CF36+IS!CF33</f>
        <v>0</v>
      </c>
      <c r="CG150" s="409">
        <f>IS!CG36+IS!CG33</f>
        <v>0</v>
      </c>
      <c r="CH150" s="472">
        <f>IS!CH36+IS!CH33</f>
        <v>0</v>
      </c>
      <c r="CI150" s="409">
        <f>IS!CI36+IS!CI33</f>
        <v>0</v>
      </c>
      <c r="CJ150" s="409">
        <f>IS!CJ36+IS!CJ33</f>
        <v>0</v>
      </c>
      <c r="CK150" s="409">
        <f>IS!CK36+IS!CK33</f>
        <v>0</v>
      </c>
      <c r="CL150" s="409">
        <f>IS!CL36+IS!CL33</f>
        <v>0</v>
      </c>
      <c r="CM150" s="472">
        <f>IS!CM36+IS!CM33</f>
        <v>0</v>
      </c>
      <c r="CN150" s="409">
        <f>IS!CN36+IS!CN33</f>
        <v>0</v>
      </c>
      <c r="CO150" s="409">
        <f>IS!CO36+IS!CO33</f>
        <v>0</v>
      </c>
      <c r="CP150" s="409">
        <f>IS!CP36+IS!CP33</f>
        <v>0</v>
      </c>
      <c r="CQ150" s="409">
        <f>IS!CQ36+IS!CQ33</f>
        <v>0</v>
      </c>
      <c r="CR150" s="472">
        <f>IS!CR36+IS!CR33</f>
        <v>0</v>
      </c>
      <c r="CS150" s="409">
        <f>IS!CS36+IS!CS33</f>
        <v>0</v>
      </c>
      <c r="CT150" s="409">
        <f>IS!CT36+IS!CT33</f>
        <v>0</v>
      </c>
      <c r="CU150" s="409">
        <f>IS!CU36+IS!CU33</f>
        <v>0</v>
      </c>
      <c r="CV150" s="409">
        <f>IS!CV36+IS!CV33</f>
        <v>0</v>
      </c>
      <c r="CW150" s="472">
        <f>IS!CW36+IS!CW33</f>
        <v>0</v>
      </c>
      <c r="CX150" s="409">
        <f>IS!CX36+IS!CX33</f>
        <v>0</v>
      </c>
      <c r="CY150" s="409">
        <f>IS!CY36+IS!CY33</f>
        <v>0</v>
      </c>
      <c r="CZ150" s="409">
        <f>IS!CZ36+IS!CZ33</f>
        <v>0</v>
      </c>
      <c r="DA150" s="409">
        <f>IS!DA36+IS!DA33</f>
        <v>0</v>
      </c>
      <c r="DB150" s="472">
        <f>IS!DB36+IS!DB33</f>
        <v>0</v>
      </c>
    </row>
    <row r="151" spans="1:106" ht="11.5" customHeight="1" x14ac:dyDescent="0.35">
      <c r="A151" s="16" t="s">
        <v>255</v>
      </c>
      <c r="B151" s="411" t="e">
        <f>IS!B45-SUM(B148:B149)-B150</f>
        <v>#VALUE!</v>
      </c>
      <c r="C151" s="411">
        <f>IS!C45-SUM(C148:C149)-C150</f>
        <v>0</v>
      </c>
      <c r="D151" s="411">
        <f>IS!D45-SUM(D148:D149)-D150</f>
        <v>0</v>
      </c>
      <c r="E151" s="411">
        <f>IS!E45-SUM(E148:E149)-E150</f>
        <v>0</v>
      </c>
      <c r="F151" s="473" t="e">
        <f t="shared" ref="F151" si="902">SUM(B151:E151)</f>
        <v>#VALUE!</v>
      </c>
      <c r="G151" s="411">
        <f>IS!G45-SUM(G148:G149)-G150</f>
        <v>0</v>
      </c>
      <c r="H151" s="411">
        <f>IS!H45-SUM(H148:H149)-H150</f>
        <v>0</v>
      </c>
      <c r="I151" s="411">
        <f>IS!I45-SUM(I148:I149)-I150</f>
        <v>0</v>
      </c>
      <c r="J151" s="411">
        <f>IS!J45-SUM(J148:J149)-J150</f>
        <v>0</v>
      </c>
      <c r="K151" s="473">
        <f t="shared" ref="K151" si="903">SUM(G151:J151)</f>
        <v>0</v>
      </c>
      <c r="L151" s="411">
        <f>IS!L45-SUM(L148:L149)-L150</f>
        <v>0</v>
      </c>
      <c r="M151" s="411">
        <f>IS!M45-SUM(M148:M149)-M150</f>
        <v>0</v>
      </c>
      <c r="N151" s="411">
        <f>IS!N45-SUM(N148:N149)-N150</f>
        <v>0</v>
      </c>
      <c r="O151" s="411">
        <f>IS!O45-SUM(O148:O149)-O150</f>
        <v>0</v>
      </c>
      <c r="P151" s="473">
        <f t="shared" ref="P151" si="904">SUM(L151:O151)</f>
        <v>0</v>
      </c>
      <c r="Q151" s="411">
        <f>IS!Q45-SUM(Q148:Q149)-Q150</f>
        <v>0</v>
      </c>
      <c r="R151" s="411">
        <f>IS!R45-SUM(R148:R149)-R150</f>
        <v>0</v>
      </c>
      <c r="S151" s="411">
        <f>IS!S45-SUM(S148:S149)-S150</f>
        <v>0</v>
      </c>
      <c r="T151" s="411">
        <f>IS!T45-SUM(T148:T149)-T150</f>
        <v>0</v>
      </c>
      <c r="U151" s="473">
        <f t="shared" ref="U151" si="905">SUM(Q151:T151)</f>
        <v>0</v>
      </c>
      <c r="V151" s="411">
        <f>IS!V45-SUM(V148:V149)-V150</f>
        <v>0</v>
      </c>
      <c r="W151" s="411">
        <f>IS!W45-SUM(W148:W149)-W150</f>
        <v>0</v>
      </c>
      <c r="X151" s="411">
        <f>IS!X45-SUM(X148:X149)-X150</f>
        <v>0</v>
      </c>
      <c r="Y151" s="411">
        <f>IS!Y45-SUM(Y148:Y149)-Y150</f>
        <v>0</v>
      </c>
      <c r="Z151" s="473">
        <f t="shared" ref="Z151" si="906">SUM(V151:Y151)</f>
        <v>0</v>
      </c>
      <c r="AA151" s="411">
        <f>IS!AA45-SUM(AA148:AA149)-AA150</f>
        <v>0</v>
      </c>
      <c r="AB151" s="411">
        <f>IS!AB45-SUM(AB148:AB149)-AB150</f>
        <v>0</v>
      </c>
      <c r="AC151" s="411">
        <f>IS!AC45-SUM(AC148:AC149)-AC150</f>
        <v>0</v>
      </c>
      <c r="AD151" s="411">
        <f>IS!AD45-SUM(AD148:AD149)-AD150</f>
        <v>0</v>
      </c>
      <c r="AE151" s="473">
        <f t="shared" ref="AE151" si="907">SUM(AA151:AD151)</f>
        <v>0</v>
      </c>
      <c r="AF151" s="411">
        <f>IS!AF45-SUM(AF148:AF149)-AF150</f>
        <v>0</v>
      </c>
      <c r="AG151" s="411">
        <f>IS!AG45-SUM(AG148:AG149)-AG150</f>
        <v>0</v>
      </c>
      <c r="AH151" s="411">
        <f>IS!AH45-SUM(AH148:AH149)-AH150</f>
        <v>0</v>
      </c>
      <c r="AI151" s="411">
        <f>IS!AI45-SUM(AI148:AI149)-AI150</f>
        <v>0</v>
      </c>
      <c r="AJ151" s="473">
        <f>SUM(AF151:AI151)</f>
        <v>0</v>
      </c>
      <c r="AK151" s="411">
        <f>IS!AK45-SUM(AK148:AK149)-AK150</f>
        <v>12644.766000000014</v>
      </c>
      <c r="AL151" s="411">
        <f>IS!AL45-SUM(AL148:AL149)-AL150</f>
        <v>19613.649999999961</v>
      </c>
      <c r="AM151" s="411">
        <f>IS!AM45-SUM(AM148:AM149)-AM150</f>
        <v>33626.546000000031</v>
      </c>
      <c r="AN151" s="411">
        <f>IS!AN45-SUM(AN148:AN149)-AN150</f>
        <v>46949.213000000062</v>
      </c>
      <c r="AO151" s="54">
        <f>SUM(AK151:AN151)</f>
        <v>112834.17500000006</v>
      </c>
      <c r="AP151" s="411">
        <f>IS!AP45-SUM(AP148:AP149)-AP150</f>
        <v>20107.578000000001</v>
      </c>
      <c r="AQ151" s="411">
        <f>IS!AQ45-SUM(AQ148:AQ149)-AQ150</f>
        <v>31555.25299999999</v>
      </c>
      <c r="AR151" s="411">
        <f>IS!AR45-SUM(AR148:AR149)-AR150</f>
        <v>36217.241000000053</v>
      </c>
      <c r="AS151" s="411">
        <f>IS!AS45-SUM(AS148:AS149)-AS150</f>
        <v>43119.389999999978</v>
      </c>
      <c r="AT151" s="54">
        <f>SUM(AP151:AS151)</f>
        <v>130999.46200000003</v>
      </c>
      <c r="AU151" s="411">
        <f>IS!AU45-SUM(AU148:AU149)-AU150</f>
        <v>18376</v>
      </c>
      <c r="AV151" s="411">
        <f>IS!AV45-SUM(AV148:AV149)-AV150</f>
        <v>61073</v>
      </c>
      <c r="AW151" s="411">
        <f>IS!AW45-SUM(AW148:AW149)-AW150</f>
        <v>30308</v>
      </c>
      <c r="AX151" s="411">
        <f>IS!AX45-SUM(AX148:AX149)-AX150</f>
        <v>50371</v>
      </c>
      <c r="AY151" s="54">
        <f>SUM(AU151:AX151)</f>
        <v>160128</v>
      </c>
      <c r="AZ151" s="411">
        <f>IS!AZ45-SUM(AZ148:AZ149)-AZ150</f>
        <v>6500</v>
      </c>
      <c r="BA151" s="411">
        <f>IS!BA45-SUM(BA148:BA149)-BA150</f>
        <v>36989</v>
      </c>
      <c r="BB151" s="411">
        <f>IS!BB45-SUM(BB148:BB149)-BB150</f>
        <v>49354</v>
      </c>
      <c r="BC151" s="411">
        <f>IS!BC45-SUM(BC148:BC149)-BC150</f>
        <v>67969</v>
      </c>
      <c r="BD151" s="54">
        <f>SUM(AZ151:BC151)</f>
        <v>160812</v>
      </c>
      <c r="BE151" s="411">
        <f>IS!BE45-SUM(BE148:BE149)-BE150</f>
        <v>49993</v>
      </c>
      <c r="BF151" s="411">
        <f>IS!BF45-SUM(BF148:BF149)-BF150</f>
        <v>78603</v>
      </c>
      <c r="BG151" s="411">
        <f>IS!BG45-SUM(BG148:BG149)-BG150</f>
        <v>67405</v>
      </c>
      <c r="BH151" s="411">
        <f>IS!BH45-SUM(BH148:BH149)-BH150</f>
        <v>103748</v>
      </c>
      <c r="BI151" s="54">
        <f>SUM(BE151:BH151)</f>
        <v>299749</v>
      </c>
      <c r="BJ151" s="411">
        <f>IS!BJ45-SUM(BJ148:BJ149)-BJ150</f>
        <v>61903</v>
      </c>
      <c r="BK151" s="411">
        <f>IS!BK45-SUM(BK148:BK149)-BK150</f>
        <v>86325</v>
      </c>
      <c r="BL151" s="411">
        <f>IS!BL45-SUM(BL148:BL149)-BL150</f>
        <v>89872</v>
      </c>
      <c r="BM151" s="411">
        <f>IS!BM45-SUM(BM148:BM149)-BM150</f>
        <v>91785</v>
      </c>
      <c r="BN151" s="54">
        <f>SUM(BJ151:BM151)</f>
        <v>329885</v>
      </c>
      <c r="BO151" s="411">
        <f>IS!BO45-SUM(BO148:BO149)-BO150</f>
        <v>91849</v>
      </c>
      <c r="BP151" s="411">
        <f>IS!BP45-SUM(BP148:BP149)-BP150</f>
        <v>121373</v>
      </c>
      <c r="BQ151" s="411">
        <f>IS!BQ45-SUM(BQ148:BQ149)-BQ150</f>
        <v>108220</v>
      </c>
      <c r="BR151" s="411">
        <f>IS!BR45-SUM(BR148:BR149)-BR150</f>
        <v>160323</v>
      </c>
      <c r="BS151" s="54">
        <f>SUM(BO151:BR151)</f>
        <v>481765</v>
      </c>
      <c r="BT151" s="411">
        <f>IS!BT45-SUM(BT148:BT149)-BT150</f>
        <v>141241</v>
      </c>
      <c r="BU151" s="411">
        <f>IS!BU45-SUM(BU148:BU149)-BU150</f>
        <v>172247</v>
      </c>
      <c r="BV151" s="411">
        <f>IS!BV45-SUM(BV148:BV149)-BV150</f>
        <v>170571</v>
      </c>
      <c r="BW151" s="411">
        <f>IS!BW45-SUM(BW148:BW149)-BW150</f>
        <v>165784</v>
      </c>
      <c r="BX151" s="54">
        <f>SUM(BT151:BW151)</f>
        <v>649843</v>
      </c>
      <c r="BY151" s="411">
        <f>IS!BY45-SUM(BY148:BY149)-BY150</f>
        <v>213475</v>
      </c>
      <c r="BZ151" s="411">
        <f>IS!BZ45-SUM(BZ148:BZ149)-BZ150</f>
        <v>236731</v>
      </c>
      <c r="CA151" s="411">
        <f>IS!CA45-SUM(CA148:CA149)-CA150</f>
        <v>255253</v>
      </c>
      <c r="CB151" s="411">
        <f>IS!CB45-SUM(CB148:CB149)-CB150</f>
        <v>270077</v>
      </c>
      <c r="CC151" s="54">
        <f>SUM(BY151:CB151)</f>
        <v>975536</v>
      </c>
      <c r="CD151" s="411">
        <f>IS!CD45-SUM(CD148:CD149)-CD150</f>
        <v>302867</v>
      </c>
      <c r="CE151" s="411">
        <f>IS!CE45-SUM(CE148:CE149)-CE150</f>
        <v>270451</v>
      </c>
      <c r="CF151" s="411">
        <f ca="1">IS!CF45-SUM(CF148:CF149)-CF150</f>
        <v>306871.19052986853</v>
      </c>
      <c r="CG151" s="411">
        <f ca="1">IS!CG45-SUM(CG148:CG149)-CG150</f>
        <v>337528.30072557734</v>
      </c>
      <c r="CH151" s="54">
        <f ca="1">SUM(CD151:CG151)</f>
        <v>1217717.4912554459</v>
      </c>
      <c r="CI151" s="411">
        <f ca="1">IS!CI45-SUM(CI148:CI149)-CI150</f>
        <v>355240.3255103284</v>
      </c>
      <c r="CJ151" s="411">
        <f ca="1">IS!CJ45-SUM(CJ148:CJ149)-CJ150</f>
        <v>380048.39893477195</v>
      </c>
      <c r="CK151" s="411">
        <f ca="1">IS!CK45-SUM(CK148:CK149)-CK150</f>
        <v>413601.49149667105</v>
      </c>
      <c r="CL151" s="411">
        <f ca="1">IS!CL45-SUM(CL148:CL149)-CL150</f>
        <v>401843.28066475841</v>
      </c>
      <c r="CM151" s="54">
        <f ca="1">SUM(CI151:CL151)</f>
        <v>1550733.4966065297</v>
      </c>
      <c r="CN151" s="411">
        <f ca="1">IS!CN45-SUM(CN148:CN149)-CN150</f>
        <v>452183.98927315057</v>
      </c>
      <c r="CO151" s="411">
        <f ca="1">IS!CO45-SUM(CO148:CO149)-CO150</f>
        <v>437485.77390899073</v>
      </c>
      <c r="CP151" s="411">
        <f ca="1">IS!CP45-SUM(CP148:CP149)-CP150</f>
        <v>460825.782276885</v>
      </c>
      <c r="CQ151" s="411">
        <f ca="1">IS!CQ45-SUM(CQ148:CQ149)-CQ150</f>
        <v>463695.23671467858</v>
      </c>
      <c r="CR151" s="54">
        <f ca="1">SUM(CN151:CQ151)</f>
        <v>1814190.7821737051</v>
      </c>
      <c r="CS151" s="411">
        <f ca="1">IS!CS45-SUM(CS148:CS149)-CS150</f>
        <v>486228.02789951506</v>
      </c>
      <c r="CT151" s="411">
        <f ca="1">IS!CT45-SUM(CT148:CT149)-CT150</f>
        <v>463063.17727602465</v>
      </c>
      <c r="CU151" s="411">
        <f ca="1">IS!CU45-SUM(CU148:CU149)-CU150</f>
        <v>482311.04386490415</v>
      </c>
      <c r="CV151" s="411">
        <f ca="1">IS!CV45-SUM(CV148:CV149)-CV150</f>
        <v>482649.62754855072</v>
      </c>
      <c r="CW151" s="54">
        <f ca="1">SUM(CS151:CV151)</f>
        <v>1914251.8765889946</v>
      </c>
      <c r="CX151" s="411">
        <f ca="1">IS!CX45-SUM(CX148:CX149)-CX150</f>
        <v>514254.69342285034</v>
      </c>
      <c r="CY151" s="411">
        <f ca="1">IS!CY45-SUM(CY148:CY149)-CY150</f>
        <v>488797.08446687832</v>
      </c>
      <c r="CZ151" s="411">
        <f ca="1">IS!CZ45-SUM(CZ148:CZ149)-CZ150</f>
        <v>507761.0526802144</v>
      </c>
      <c r="DA151" s="411">
        <f ca="1">IS!DA45-SUM(DA148:DA149)-DA150</f>
        <v>507334.6328377254</v>
      </c>
      <c r="DB151" s="54">
        <f ca="1">SUM(CX151:DA151)</f>
        <v>2018147.4634076683</v>
      </c>
    </row>
    <row r="152" spans="1:106" ht="11.5" customHeight="1" x14ac:dyDescent="0.35">
      <c r="A152" s="31" t="s">
        <v>256</v>
      </c>
      <c r="B152" s="224"/>
      <c r="C152" s="224"/>
      <c r="D152" s="224"/>
      <c r="E152" s="224"/>
      <c r="F152" s="225" t="e">
        <f t="shared" ref="F152" si="908">F151/AVERAGE(B146:E146)</f>
        <v>#VALUE!</v>
      </c>
      <c r="G152" s="224"/>
      <c r="H152" s="224"/>
      <c r="I152" s="224"/>
      <c r="J152" s="224"/>
      <c r="K152" s="225" t="e">
        <f t="shared" ref="K152" si="909">K151/AVERAGE(G146:J146)</f>
        <v>#DIV/0!</v>
      </c>
      <c r="L152" s="224"/>
      <c r="M152" s="224"/>
      <c r="N152" s="224"/>
      <c r="O152" s="224"/>
      <c r="P152" s="225" t="e">
        <f t="shared" ref="P152" si="910">P151/AVERAGE(L146:O146)</f>
        <v>#DIV/0!</v>
      </c>
      <c r="Q152" s="224"/>
      <c r="R152" s="224"/>
      <c r="S152" s="224"/>
      <c r="T152" s="224"/>
      <c r="U152" s="225" t="e">
        <f t="shared" ref="U152" si="911">U151/AVERAGE(Q146:T146)</f>
        <v>#DIV/0!</v>
      </c>
      <c r="V152" s="224"/>
      <c r="W152" s="224"/>
      <c r="X152" s="224"/>
      <c r="Y152" s="224"/>
      <c r="Z152" s="225" t="e">
        <f t="shared" ref="Z152" si="912">Z151/AVERAGE(V146:Y146)</f>
        <v>#DIV/0!</v>
      </c>
      <c r="AA152" s="224"/>
      <c r="AB152" s="224"/>
      <c r="AC152" s="224"/>
      <c r="AD152" s="224"/>
      <c r="AE152" s="225" t="e">
        <f t="shared" ref="AE152" si="913">AE151/AVERAGE(AA146:AD146)</f>
        <v>#DIV/0!</v>
      </c>
      <c r="AF152" s="224"/>
      <c r="AG152" s="224"/>
      <c r="AH152" s="224"/>
      <c r="AI152" s="224"/>
      <c r="AJ152" s="225" t="e">
        <f>AJ151/AVERAGE(AF146:AI146)</f>
        <v>#DIV/0!</v>
      </c>
      <c r="AK152" s="224"/>
      <c r="AL152" s="224"/>
      <c r="AM152" s="224"/>
      <c r="AN152" s="224"/>
      <c r="AO152" s="225">
        <f>AO151/AVERAGE(AK146:AN146)</f>
        <v>0.44684191715533472</v>
      </c>
      <c r="AP152" s="224"/>
      <c r="AQ152" s="224"/>
      <c r="AR152" s="224"/>
      <c r="AS152" s="224"/>
      <c r="AT152" s="225">
        <f>AT151/AVERAGE(AP146:AS146)</f>
        <v>0.47519012035780883</v>
      </c>
      <c r="AU152" s="224"/>
      <c r="AV152" s="224"/>
      <c r="AW152" s="224"/>
      <c r="AX152" s="224"/>
      <c r="AY152" s="225">
        <f>AY151/AVERAGE(AU146:AX146)</f>
        <v>0.60434269410076336</v>
      </c>
      <c r="AZ152" s="224"/>
      <c r="BA152" s="224"/>
      <c r="BB152" s="224"/>
      <c r="BC152" s="224"/>
      <c r="BD152" s="225">
        <f>BD151/AVERAGE(AZ146:BC146)</f>
        <v>0.45096917485529681</v>
      </c>
      <c r="BE152" s="224"/>
      <c r="BF152" s="224"/>
      <c r="BG152" s="224"/>
      <c r="BH152" s="224"/>
      <c r="BI152" s="225">
        <f>BI151/AVERAGE(BE146:BH146)</f>
        <v>0.5257679790007832</v>
      </c>
      <c r="BJ152" s="224"/>
      <c r="BK152" s="224"/>
      <c r="BL152" s="224"/>
      <c r="BM152" s="224"/>
      <c r="BN152" s="225">
        <f>BN151/AVERAGE(BJ146:BM146)</f>
        <v>0.4735352253593304</v>
      </c>
      <c r="BO152" s="224"/>
      <c r="BP152" s="224"/>
      <c r="BQ152" s="224"/>
      <c r="BR152" s="224"/>
      <c r="BS152" s="225">
        <f>BS151/AVERAGE(BO146:BR146)</f>
        <v>0.53578721985692956</v>
      </c>
      <c r="BT152" s="224"/>
      <c r="BU152" s="224"/>
      <c r="BV152" s="224"/>
      <c r="BW152" s="224"/>
      <c r="BX152" s="225">
        <f>BX151/AVERAGE(BT146:BW146)</f>
        <v>0.63412417150567446</v>
      </c>
      <c r="BY152" s="224"/>
      <c r="BZ152" s="224"/>
      <c r="CA152" s="224"/>
      <c r="CB152" s="224"/>
      <c r="CC152" s="225">
        <f>CC151/AVERAGE(BY146:CB146)</f>
        <v>0.74598802486789884</v>
      </c>
      <c r="CD152" s="224"/>
      <c r="CE152" s="224"/>
      <c r="CF152" s="224"/>
      <c r="CG152" s="224"/>
      <c r="CH152" s="225">
        <f ca="1">CH151/AVERAGE(CD146:CG146)</f>
        <v>0.70931213980422947</v>
      </c>
      <c r="CI152" s="224"/>
      <c r="CJ152" s="224"/>
      <c r="CK152" s="224"/>
      <c r="CL152" s="224"/>
      <c r="CM152" s="225">
        <f ca="1">CM151/AVERAGE(CI146:CL146)</f>
        <v>0.71193559781249383</v>
      </c>
      <c r="CN152" s="224"/>
      <c r="CO152" s="224"/>
      <c r="CP152" s="224"/>
      <c r="CQ152" s="224"/>
      <c r="CR152" s="225">
        <f ca="1">CR151/AVERAGE(CN146:CQ146)</f>
        <v>0.722622589699773</v>
      </c>
      <c r="CS152" s="224"/>
      <c r="CT152" s="224"/>
      <c r="CU152" s="224"/>
      <c r="CV152" s="224"/>
      <c r="CW152" s="225">
        <f ca="1">CW151/AVERAGE(CS146:CV146)</f>
        <v>0.7018605475893116</v>
      </c>
      <c r="CX152" s="224"/>
      <c r="CY152" s="224"/>
      <c r="CZ152" s="224"/>
      <c r="DA152" s="224"/>
      <c r="DB152" s="225">
        <f ca="1">DB151/AVERAGE(CX146:DA146)</f>
        <v>0.68361462854275468</v>
      </c>
    </row>
    <row r="153" spans="1:106" ht="11.5" customHeight="1" x14ac:dyDescent="0.35">
      <c r="BX153" s="136"/>
    </row>
  </sheetData>
  <pageMargins left="0.7" right="0.7" top="0.75" bottom="0.75" header="0.3" footer="0.3"/>
  <pageSetup paperSize="9" orientation="portrait" r:id="rId1"/>
  <headerFooter>
    <oddFooter>&amp;L_x000D_&amp;1#&amp;"Calibri"&amp;9&amp;K000000 Corporativo | Interno</oddFooter>
  </headerFooter>
  <ignoredErrors>
    <ignoredError sqref="A1:A2 A49:A58 A3:A5 CB3:XFD3 A74:A91 A73 CC73 A72 CC72 A130 A92:A129 CB92:XFD92 A146:A1048576 A131:A142 CB131:XFD131 A8 A6:A7 AO7 A12 A9:A11 AO11 A20 A13:A19 AO13 A25:A28 A21:A24 AO22 A43 A29:A42 AK32:BY32 A48 A44:A47 AO44:AO47 A143:A145 AO143:AO145 AK1:XFD1 AK50:BZ50 AK3:BY5 AK75:BZ78 AK73:BG73 AK130:BZ130 AK92:BY129 AK147:BZ152 AK131:BY138 AK8:BY8 AK12:BY12 AK20:BY20 AK25:BY28 AK43:BY43 AK48:BY48 AO6 AO9 AT9 AX9:BY9 AO10 AO17 AO14 AO15 AX13:BY13 AX15:BY15 AO16 AO19 AO18 AO21 AO24 AO23 AT6 AX6:BY6 AT7 AX7:BY7 AT10 AX10:BY10 AT11 AX11:BY11 AT14 AX14:BY14 AT16 AX16:BY16 AT17 AT18 AX17:BY17 AX18:BY18 AT19 AX19:BY19 AT21 AX21:BY21 AT23 AY23:BY23 AT22 AY22:BY22 AT24 AY24:BY24 AO29 AO30 AT30 AX30:BY30 AT29 AX29:BY29 AO31 AT31 AX31:BY31 AO42 AO33 AT33 AX33:BY33 AO34 AO35:AO41 AT42 AT34 AT41 AT47 AX34:BY34 AT35 AX35:BY35 AT36 AX36:BY36 AT37 AX37:BY37 AT38 AX38:BY38 AT39 AX39:BY39 AT40 AX40:BY40 AX41:BY41 AX42:BY42 AT44 AX44:BY44 AT45:AT46 AY45:BY46 AX47:BY47 AK155:XFD1048576 AK154:BY154 CA154:XFD154 CC7:CC12 CC6 CH6 CM6 CR6 CW6 DB6:XFD6 AK80:BZ80 DC79:XFD79 AK82:BZ82 DC81:XFD81 AK85:BZ86 DC83:XFD83 DC84:XFD84 AK88:BZ90 DC87:XFD87 CB140:CC142 DC139:XFD139 AK140:BY142 AK70:BZ71 AK69:BS69 BX69 BM73:BY73 AK74:AV74 BD74:BZ74 AY74:BA74 AK51:BY68 CB51:CC68 BI73 AK146:AP146 AR146:BZ146 AT143:BY145 AK153:BW153 BY153:XFD153 A60:A71 CC101:CC108 CC100 CC111:CC112 CC109:CC110 DC109:XFD110 CB25:XFD25 CC13 CC14 CC15 CC16 CC17 CC18 CC19 CC20 AK49:BY49 DC69:XFD69 CC40:CC43 CC39 AK91:BZ91 CB91:CD91 AK2:BY2 CB2:XFD2 CC45:CC48 CC44 CC49:XFD49 CB50:XFD50 CB76:XFD76 CB130:XFD130 CC152:XFD152 CB80:CC80 CB82:CC82 CB85:CC86 CB88:CC90 CB70:XFD70 CC74 CC146 CF91:CG91 CH100 CJ100:XFD100 CN91:XFD91 CI91:CL91 CC114:CC129 CC113 CF113:XFD113 CC4:CC5 CC21:CC24 CC26:CC38 CC93:CC99 CC143:CC145 CF7:XFD12 CF13:XFD13 CF14:XFD14 CF15:XFD15 CF16:XFD16 CF17:XFD17 CF18:XFD18 CF19:XFD19 CF20:XFD20 CF4:XFD5 CF21:XFD24 CF40:XFD43 CF39:XFD39 CF45:XFD48 CF44:XFD44 CF26:XFD38 CF51:XFD68 CF73:XFD73 CF72:XFD72 CB75:CC75 CF75:XFD75 CB71:CC71 CF71:XFD71 CF74:XFD74 CB77:CC78 CF77:XFD78 CF80:XFD80 CF82:XFD82 CF85:XFD86 CF88:XFD90 CF101:XFD108 CF111:XFD112 CF114:XFD129 CF93:XFD99 CB132:CC138 CF132:XFD138 CF140:XFD142 CC147:CC151 CF147:XFD151 CF146:XFD146 CF143:XFD145" formula="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4501-928D-4865-93DB-A784C741FE15}">
  <sheetPr>
    <tabColor rgb="FFFFFF99"/>
  </sheetPr>
  <dimension ref="A1:DB54"/>
  <sheetViews>
    <sheetView showGridLines="0" tabSelected="1" zoomScaleNormal="100" workbookViewId="0">
      <pane xSplit="1" ySplit="3" topLeftCell="BY4" activePane="bottomRight" state="frozen"/>
      <selection pane="topRight" activeCell="B1" sqref="B1"/>
      <selection pane="bottomLeft" activeCell="A4" sqref="A4"/>
      <selection pane="bottomRight" activeCell="CF13" sqref="CF13"/>
    </sheetView>
  </sheetViews>
  <sheetFormatPr defaultColWidth="10.7265625" defaultRowHeight="11.25" customHeight="1" outlineLevelRow="1" outlineLevelCol="1" x14ac:dyDescent="0.35"/>
  <cols>
    <col min="1" max="1" width="30.54296875" style="7" customWidth="1"/>
    <col min="2" max="5" width="10.7265625" style="7" hidden="1" customWidth="1" outlineLevel="1"/>
    <col min="6" max="6" width="11.26953125" style="8" hidden="1" customWidth="1" collapsed="1"/>
    <col min="7" max="10" width="10.7265625" style="7" hidden="1" customWidth="1" outlineLevel="1"/>
    <col min="11" max="11" width="11.26953125" style="8" hidden="1" customWidth="1" collapsed="1"/>
    <col min="12" max="15" width="10.7265625" style="7" hidden="1" customWidth="1" outlineLevel="1"/>
    <col min="16" max="16" width="11.26953125" style="8" hidden="1" customWidth="1" collapsed="1"/>
    <col min="17" max="20" width="10.7265625" style="7" hidden="1" customWidth="1" outlineLevel="1"/>
    <col min="21" max="21" width="11.26953125" style="8" hidden="1" customWidth="1" collapsed="1"/>
    <col min="22" max="25" width="10.7265625" style="7" hidden="1" customWidth="1" outlineLevel="1"/>
    <col min="26" max="26" width="11.26953125" style="8" hidden="1" customWidth="1" collapsed="1"/>
    <col min="27" max="30" width="10.7265625" style="7" hidden="1" customWidth="1" outlineLevel="1"/>
    <col min="31" max="31" width="11.26953125" style="8" hidden="1" customWidth="1" collapsed="1"/>
    <col min="32" max="35" width="10.7265625" style="7" hidden="1" customWidth="1" outlineLevel="1"/>
    <col min="36" max="36" width="11.26953125" style="8" hidden="1" customWidth="1" collapsed="1"/>
    <col min="37" max="40" width="10.7265625" style="7" hidden="1" customWidth="1" outlineLevel="1"/>
    <col min="41" max="41" width="11.26953125" style="8" bestFit="1" customWidth="1" collapsed="1"/>
    <col min="42" max="45" width="10.7265625" style="7" hidden="1" customWidth="1" outlineLevel="1"/>
    <col min="46" max="46" width="11.26953125" style="8" bestFit="1" customWidth="1" collapsed="1"/>
    <col min="47" max="50" width="10.7265625" style="7" hidden="1" customWidth="1" outlineLevel="1"/>
    <col min="51" max="51" width="11.26953125" style="8" bestFit="1" customWidth="1" collapsed="1"/>
    <col min="52" max="55" width="10.7265625" style="7" hidden="1" customWidth="1" outlineLevel="1"/>
    <col min="56" max="56" width="11.26953125" style="7" bestFit="1" customWidth="1" collapsed="1"/>
    <col min="57" max="60" width="10.7265625" style="7" hidden="1" customWidth="1" outlineLevel="1"/>
    <col min="61" max="61" width="11.26953125" style="7" bestFit="1" customWidth="1" collapsed="1"/>
    <col min="62" max="65" width="10.7265625" style="7" hidden="1" customWidth="1" outlineLevel="1"/>
    <col min="66" max="66" width="11.26953125" style="7" bestFit="1" customWidth="1" collapsed="1"/>
    <col min="67" max="70" width="11.26953125" style="7" hidden="1" customWidth="1" outlineLevel="1"/>
    <col min="71" max="71" width="11.26953125" style="7" bestFit="1" customWidth="1" collapsed="1"/>
    <col min="72" max="75" width="11.26953125" style="7" customWidth="1" outlineLevel="1"/>
    <col min="76" max="76" width="11.26953125" style="7" bestFit="1" customWidth="1"/>
    <col min="77" max="80" width="11.26953125" style="7" customWidth="1" outlineLevel="1"/>
    <col min="81" max="81" width="11.26953125" style="7" bestFit="1" customWidth="1"/>
    <col min="82" max="85" width="11.26953125" style="7" customWidth="1" outlineLevel="1"/>
    <col min="86" max="86" width="11.26953125" style="7" bestFit="1" customWidth="1"/>
    <col min="87" max="90" width="11.81640625" style="7" customWidth="1" outlineLevel="1"/>
    <col min="91" max="91" width="11.81640625" style="7" bestFit="1" customWidth="1"/>
    <col min="92" max="95" width="10.7265625" style="7" customWidth="1" outlineLevel="1"/>
    <col min="96" max="96" width="11.81640625" style="7" bestFit="1" customWidth="1"/>
    <col min="97" max="100" width="10.7265625" style="7" hidden="1" customWidth="1" outlineLevel="1"/>
    <col min="101" max="101" width="11.81640625" style="7" bestFit="1" customWidth="1" collapsed="1"/>
    <col min="102" max="105" width="10.7265625" style="7" hidden="1" customWidth="1" outlineLevel="1"/>
    <col min="106" max="106" width="11.81640625" style="7" bestFit="1" customWidth="1" collapsed="1"/>
    <col min="107" max="16384" width="10.7265625" style="7"/>
  </cols>
  <sheetData>
    <row r="1" spans="1:106" ht="45.75" customHeight="1" x14ac:dyDescent="0.35">
      <c r="BD1" s="8"/>
      <c r="BI1" s="8"/>
      <c r="BN1" s="8"/>
      <c r="BS1" s="10"/>
      <c r="BW1" s="520"/>
      <c r="BX1" s="10"/>
      <c r="BY1" s="73"/>
      <c r="BZ1" s="73"/>
      <c r="CA1" s="9"/>
      <c r="CB1" s="9"/>
      <c r="CC1" s="10"/>
      <c r="CD1" s="606"/>
      <c r="CE1" s="606"/>
      <c r="CF1" s="111"/>
      <c r="CG1" s="9"/>
      <c r="CH1" s="517"/>
      <c r="CI1" s="9"/>
      <c r="CJ1" s="9"/>
      <c r="CK1" s="9"/>
      <c r="CL1" s="9"/>
      <c r="CM1" s="10"/>
      <c r="CN1" s="9"/>
      <c r="CO1" s="9"/>
      <c r="CP1" s="9"/>
      <c r="CQ1" s="9"/>
      <c r="CR1" s="10"/>
      <c r="CS1" s="9"/>
      <c r="CT1" s="9"/>
      <c r="CU1" s="9"/>
      <c r="CV1" s="9"/>
      <c r="CW1" s="10"/>
      <c r="CX1" s="9"/>
      <c r="CY1" s="9"/>
      <c r="CZ1" s="9"/>
      <c r="DA1" s="9"/>
      <c r="DB1" s="10"/>
    </row>
    <row r="2" spans="1:106" ht="11.25" customHeight="1" x14ac:dyDescent="0.35">
      <c r="A2" s="11" t="str">
        <f ca="1">Valuation!$A$2</f>
        <v>CURY3 | TP R$44/sh</v>
      </c>
      <c r="B2" s="113"/>
      <c r="C2" s="113"/>
      <c r="D2" s="113"/>
      <c r="E2" s="113"/>
      <c r="F2" s="76"/>
      <c r="G2" s="113"/>
      <c r="H2" s="113"/>
      <c r="I2" s="113"/>
      <c r="J2" s="113"/>
      <c r="K2" s="76"/>
      <c r="L2" s="113"/>
      <c r="M2" s="113"/>
      <c r="N2" s="113"/>
      <c r="O2" s="113"/>
      <c r="P2" s="76"/>
      <c r="Q2" s="113"/>
      <c r="R2" s="113"/>
      <c r="S2" s="113"/>
      <c r="T2" s="113"/>
      <c r="U2" s="76"/>
      <c r="V2" s="113"/>
      <c r="W2" s="113"/>
      <c r="X2" s="113"/>
      <c r="Y2" s="113"/>
      <c r="Z2" s="76"/>
      <c r="AA2" s="113"/>
      <c r="AB2" s="113"/>
      <c r="AC2" s="113"/>
      <c r="AD2" s="113"/>
      <c r="AE2" s="76"/>
      <c r="AF2" s="113"/>
      <c r="AG2" s="113"/>
      <c r="AH2" s="113"/>
      <c r="AI2" s="113"/>
      <c r="AJ2" s="76"/>
      <c r="AK2" s="113"/>
      <c r="AL2" s="113"/>
      <c r="AM2" s="113"/>
      <c r="AN2" s="113"/>
      <c r="AO2" s="76"/>
      <c r="AP2" s="113"/>
      <c r="AQ2" s="113"/>
      <c r="AR2" s="113"/>
      <c r="AS2" s="113"/>
      <c r="AT2" s="76"/>
      <c r="AU2" s="113"/>
      <c r="AV2" s="113"/>
      <c r="AW2" s="113"/>
      <c r="AX2" s="113"/>
      <c r="AY2" s="76"/>
      <c r="AZ2" s="73"/>
      <c r="BA2" s="65"/>
      <c r="BB2" s="65"/>
      <c r="BC2" s="77"/>
      <c r="BD2" s="312"/>
      <c r="BI2" s="312"/>
      <c r="BL2" s="114"/>
      <c r="BM2" s="73"/>
      <c r="BN2" s="312"/>
      <c r="BQ2" s="114"/>
      <c r="BR2" s="73"/>
      <c r="BS2" s="312"/>
      <c r="BT2" s="73"/>
      <c r="BU2" s="73"/>
      <c r="BV2" s="73"/>
      <c r="BW2" s="73"/>
      <c r="BX2" s="312"/>
      <c r="BY2" s="73"/>
      <c r="BZ2" s="73"/>
      <c r="CA2" s="73"/>
      <c r="CB2" s="73"/>
      <c r="CC2" s="635"/>
      <c r="CD2" s="606"/>
      <c r="CE2" s="606"/>
      <c r="CF2" s="73"/>
      <c r="CG2" s="73"/>
      <c r="CH2" s="491"/>
      <c r="CI2" s="77"/>
      <c r="CJ2" s="638"/>
      <c r="CK2" s="626"/>
      <c r="CL2" s="626"/>
      <c r="CM2" s="76"/>
      <c r="CR2" s="76"/>
      <c r="CW2" s="76"/>
      <c r="DB2" s="76"/>
    </row>
    <row r="3" spans="1:106" s="15" customFormat="1" ht="11.25" customHeight="1" thickBot="1" x14ac:dyDescent="0.4">
      <c r="A3" s="119" t="s">
        <v>31</v>
      </c>
      <c r="B3" s="120" t="str">
        <f>Macro!B$3</f>
        <v>1Q10</v>
      </c>
      <c r="C3" s="120" t="str">
        <f>Macro!C$3</f>
        <v>2Q10</v>
      </c>
      <c r="D3" s="120" t="str">
        <f>Macro!D$3</f>
        <v>3Q10</v>
      </c>
      <c r="E3" s="120" t="str">
        <f>Macro!E$3</f>
        <v>4Q10</v>
      </c>
      <c r="F3" s="121" t="str">
        <f>Macro!F$3</f>
        <v>2010</v>
      </c>
      <c r="G3" s="120" t="str">
        <f>Macro!G$3</f>
        <v>1Q11</v>
      </c>
      <c r="H3" s="120" t="str">
        <f>Macro!H$3</f>
        <v>2Q11</v>
      </c>
      <c r="I3" s="120" t="str">
        <f>Macro!I$3</f>
        <v>3Q11</v>
      </c>
      <c r="J3" s="120" t="str">
        <f>Macro!J$3</f>
        <v>4Q11</v>
      </c>
      <c r="K3" s="121" t="str">
        <f>Macro!K$3</f>
        <v>2011</v>
      </c>
      <c r="L3" s="120" t="str">
        <f>Macro!L$3</f>
        <v>1Q12</v>
      </c>
      <c r="M3" s="120" t="str">
        <f>Macro!M$3</f>
        <v>2Q12</v>
      </c>
      <c r="N3" s="120" t="str">
        <f>Macro!N$3</f>
        <v>3Q12</v>
      </c>
      <c r="O3" s="120" t="str">
        <f>Macro!O$3</f>
        <v>4Q12</v>
      </c>
      <c r="P3" s="121" t="str">
        <f>Macro!P$3</f>
        <v>2012</v>
      </c>
      <c r="Q3" s="120" t="str">
        <f>Macro!Q$3</f>
        <v>1Q13</v>
      </c>
      <c r="R3" s="120" t="str">
        <f>Macro!R$3</f>
        <v>2Q13</v>
      </c>
      <c r="S3" s="120" t="str">
        <f>Macro!S$3</f>
        <v>3Q13</v>
      </c>
      <c r="T3" s="120" t="str">
        <f>Macro!T$3</f>
        <v>4Q13</v>
      </c>
      <c r="U3" s="121" t="str">
        <f>Macro!U$3</f>
        <v>2013</v>
      </c>
      <c r="V3" s="120" t="str">
        <f>Macro!V$3</f>
        <v>1Q14</v>
      </c>
      <c r="W3" s="120" t="str">
        <f>Macro!W$3</f>
        <v>2Q14</v>
      </c>
      <c r="X3" s="120" t="str">
        <f>Macro!X$3</f>
        <v>3Q14</v>
      </c>
      <c r="Y3" s="120" t="str">
        <f>Macro!Y$3</f>
        <v>4Q14</v>
      </c>
      <c r="Z3" s="121" t="str">
        <f>Macro!Z$3</f>
        <v>2014</v>
      </c>
      <c r="AA3" s="120" t="str">
        <f>Macro!AA$3</f>
        <v>1Q15</v>
      </c>
      <c r="AB3" s="120" t="str">
        <f>Macro!AB$3</f>
        <v>2Q15</v>
      </c>
      <c r="AC3" s="120" t="str">
        <f>Macro!AC$3</f>
        <v>3Q15</v>
      </c>
      <c r="AD3" s="120" t="str">
        <f>Macro!AD$3</f>
        <v>4Q15</v>
      </c>
      <c r="AE3" s="121" t="str">
        <f>Macro!AE$3</f>
        <v>2015</v>
      </c>
      <c r="AF3" s="120" t="str">
        <f>Macro!AF$3</f>
        <v>1Q16</v>
      </c>
      <c r="AG3" s="120" t="str">
        <f>Macro!AG$3</f>
        <v>2Q16</v>
      </c>
      <c r="AH3" s="120" t="str">
        <f>Macro!AH$3</f>
        <v>3Q16</v>
      </c>
      <c r="AI3" s="120" t="str">
        <f>Macro!AI$3</f>
        <v>4Q16</v>
      </c>
      <c r="AJ3" s="121" t="str">
        <f>Macro!AJ$3</f>
        <v>2016</v>
      </c>
      <c r="AK3" s="120" t="str">
        <f>Macro!AK$3</f>
        <v>1Q17</v>
      </c>
      <c r="AL3" s="120" t="str">
        <f>Macro!AL$3</f>
        <v>2Q17</v>
      </c>
      <c r="AM3" s="120" t="str">
        <f>Macro!AM$3</f>
        <v>3Q17</v>
      </c>
      <c r="AN3" s="120" t="str">
        <f>Macro!AN$3</f>
        <v>4Q17</v>
      </c>
      <c r="AO3" s="121" t="str">
        <f>Macro!AO$3</f>
        <v>2017</v>
      </c>
      <c r="AP3" s="120" t="str">
        <f>Macro!AP$3</f>
        <v>1Q18</v>
      </c>
      <c r="AQ3" s="120" t="str">
        <f>Macro!AQ$3</f>
        <v>2Q18</v>
      </c>
      <c r="AR3" s="120" t="str">
        <f>Macro!AR$3</f>
        <v>3Q18</v>
      </c>
      <c r="AS3" s="120" t="str">
        <f>Macro!AS$3</f>
        <v>4Q18</v>
      </c>
      <c r="AT3" s="121" t="str">
        <f>Macro!AT$3</f>
        <v>2018</v>
      </c>
      <c r="AU3" s="120" t="str">
        <f>Macro!AU$3</f>
        <v>1Q19</v>
      </c>
      <c r="AV3" s="120" t="str">
        <f>Macro!AV$3</f>
        <v>2Q19</v>
      </c>
      <c r="AW3" s="120" t="str">
        <f>Macro!AW$3</f>
        <v>3Q19</v>
      </c>
      <c r="AX3" s="120" t="str">
        <f>Macro!AX$3</f>
        <v>4Q19</v>
      </c>
      <c r="AY3" s="121" t="str">
        <f>Macro!AY$3</f>
        <v>2019</v>
      </c>
      <c r="AZ3" s="120" t="str">
        <f>Macro!AZ$3</f>
        <v>1Q20</v>
      </c>
      <c r="BA3" s="120" t="str">
        <f>Macro!BA$3</f>
        <v>2Q20</v>
      </c>
      <c r="BB3" s="120" t="str">
        <f>Macro!BB$3</f>
        <v>3Q20</v>
      </c>
      <c r="BC3" s="120" t="str">
        <f>Macro!BC$3</f>
        <v>4Q20</v>
      </c>
      <c r="BD3" s="121" t="str">
        <f>Macro!BD$3</f>
        <v>2020</v>
      </c>
      <c r="BE3" s="120" t="str">
        <f>Macro!BE$3</f>
        <v>1Q21</v>
      </c>
      <c r="BF3" s="120" t="str">
        <f>Macro!BF$3</f>
        <v>2Q21</v>
      </c>
      <c r="BG3" s="120" t="str">
        <f>Macro!BG$3</f>
        <v>3Q21</v>
      </c>
      <c r="BH3" s="120" t="str">
        <f>Macro!BH$3</f>
        <v>4Q21</v>
      </c>
      <c r="BI3" s="121" t="str">
        <f>Macro!BI$3</f>
        <v>2021</v>
      </c>
      <c r="BJ3" s="120" t="str">
        <f>Macro!BJ$3</f>
        <v>1Q22</v>
      </c>
      <c r="BK3" s="120" t="str">
        <f>Macro!BK$3</f>
        <v>2Q22</v>
      </c>
      <c r="BL3" s="120" t="str">
        <f>Macro!BL$3</f>
        <v>3Q22</v>
      </c>
      <c r="BM3" s="120" t="str">
        <f>Macro!BM$3</f>
        <v>4Q22</v>
      </c>
      <c r="BN3" s="121" t="str">
        <f>Macro!BN$3</f>
        <v>2022</v>
      </c>
      <c r="BO3" s="120" t="str">
        <f>Macro!BO$3</f>
        <v>1Q23</v>
      </c>
      <c r="BP3" s="120" t="str">
        <f>Macro!BP$3</f>
        <v>2Q23</v>
      </c>
      <c r="BQ3" s="120" t="str">
        <f>Macro!BQ$3</f>
        <v>3Q23</v>
      </c>
      <c r="BR3" s="120" t="str">
        <f>Macro!BR$3</f>
        <v>4Q23</v>
      </c>
      <c r="BS3" s="121" t="str">
        <f>Macro!BS$3</f>
        <v>2023</v>
      </c>
      <c r="BT3" s="120" t="str">
        <f>Macro!BT$3</f>
        <v>1Q24</v>
      </c>
      <c r="BU3" s="120" t="str">
        <f>Macro!BU$3</f>
        <v>2Q24</v>
      </c>
      <c r="BV3" s="120" t="str">
        <f>Macro!BV$3</f>
        <v>3Q24</v>
      </c>
      <c r="BW3" s="120" t="str">
        <f>Macro!BW$3</f>
        <v>4Q24</v>
      </c>
      <c r="BX3" s="121" t="str">
        <f>Macro!BX$3</f>
        <v>2024</v>
      </c>
      <c r="BY3" s="120" t="str">
        <f>Macro!BY$3</f>
        <v>1Q25</v>
      </c>
      <c r="BZ3" s="120" t="str">
        <f>Macro!BZ$3</f>
        <v>2Q25</v>
      </c>
      <c r="CA3" s="120" t="str">
        <f>Macro!CA$3</f>
        <v>3Q25</v>
      </c>
      <c r="CB3" s="120" t="str">
        <f>Macro!CB$3</f>
        <v>4Q25</v>
      </c>
      <c r="CC3" s="121" t="str">
        <f>Macro!CC$3</f>
        <v>2025</v>
      </c>
      <c r="CD3" s="120" t="str">
        <f>Macro!CD$3</f>
        <v>1Q26</v>
      </c>
      <c r="CE3" s="120" t="str">
        <f>Macro!CE$3</f>
        <v>2Q26E</v>
      </c>
      <c r="CF3" s="120" t="str">
        <f>Macro!CF$3</f>
        <v>3Q26E</v>
      </c>
      <c r="CG3" s="120" t="str">
        <f>Macro!CG$3</f>
        <v>4Q26E</v>
      </c>
      <c r="CH3" s="121" t="str">
        <f>Macro!CH$3</f>
        <v>2026E</v>
      </c>
      <c r="CI3" s="120" t="str">
        <f>Macro!CI$3</f>
        <v>1Q27E</v>
      </c>
      <c r="CJ3" s="120" t="str">
        <f>Macro!CJ$3</f>
        <v>2Q27E</v>
      </c>
      <c r="CK3" s="120" t="str">
        <f>Macro!CK$3</f>
        <v>3Q27E</v>
      </c>
      <c r="CL3" s="120" t="str">
        <f>Macro!CL$3</f>
        <v>4Q27E</v>
      </c>
      <c r="CM3" s="121" t="str">
        <f>Macro!CM$3</f>
        <v>2027E</v>
      </c>
      <c r="CN3" s="120" t="str">
        <f>Macro!CN$3</f>
        <v>1Q28E</v>
      </c>
      <c r="CO3" s="120" t="str">
        <f>Macro!CO$3</f>
        <v>2Q28E</v>
      </c>
      <c r="CP3" s="120" t="str">
        <f>Macro!CP$3</f>
        <v>3Q28E</v>
      </c>
      <c r="CQ3" s="120" t="str">
        <f>Macro!CQ$3</f>
        <v>4Q28E</v>
      </c>
      <c r="CR3" s="121" t="str">
        <f>Macro!CR$3</f>
        <v>2028E</v>
      </c>
      <c r="CS3" s="120" t="str">
        <f>Macro!CS$3</f>
        <v>1Q29E</v>
      </c>
      <c r="CT3" s="120" t="str">
        <f>Macro!CT$3</f>
        <v>2Q29E</v>
      </c>
      <c r="CU3" s="120" t="str">
        <f>Macro!CU$3</f>
        <v>3Q29E</v>
      </c>
      <c r="CV3" s="120" t="str">
        <f>Macro!CV$3</f>
        <v>4Q29E</v>
      </c>
      <c r="CW3" s="121" t="str">
        <f>Macro!CW$3</f>
        <v>2029E</v>
      </c>
      <c r="CX3" s="120" t="str">
        <f>Macro!CX$3</f>
        <v>1Q30E</v>
      </c>
      <c r="CY3" s="120" t="str">
        <f>Macro!CY$3</f>
        <v>2Q30E</v>
      </c>
      <c r="CZ3" s="120" t="str">
        <f>Macro!CZ$3</f>
        <v>3Q30E</v>
      </c>
      <c r="DA3" s="120" t="str">
        <f>Macro!DA$3</f>
        <v>4Q30E</v>
      </c>
      <c r="DB3" s="121" t="str">
        <f>Macro!DB$3</f>
        <v>2030E</v>
      </c>
    </row>
    <row r="4" spans="1:106" ht="11.25" customHeight="1" thickTop="1" x14ac:dyDescent="0.35">
      <c r="A4" s="215" t="s">
        <v>57</v>
      </c>
      <c r="B4" s="401"/>
      <c r="C4" s="402"/>
      <c r="D4" s="402"/>
      <c r="E4" s="402"/>
      <c r="F4" s="38">
        <f t="shared" ref="F4:F5" si="0">SUM(B4:E4)</f>
        <v>0</v>
      </c>
      <c r="G4" s="401"/>
      <c r="H4" s="402"/>
      <c r="I4" s="402"/>
      <c r="J4" s="402"/>
      <c r="K4" s="38">
        <f t="shared" ref="K4:K5" si="1">SUM(G4:J4)</f>
        <v>0</v>
      </c>
      <c r="L4" s="401"/>
      <c r="M4" s="402"/>
      <c r="N4" s="402"/>
      <c r="O4" s="402"/>
      <c r="P4" s="38">
        <f t="shared" ref="P4:P5" si="2">SUM(L4:O4)</f>
        <v>0</v>
      </c>
      <c r="Q4" s="401"/>
      <c r="R4" s="402"/>
      <c r="S4" s="402"/>
      <c r="T4" s="402"/>
      <c r="U4" s="38">
        <f t="shared" ref="U4:U5" si="3">SUM(Q4:T4)</f>
        <v>0</v>
      </c>
      <c r="V4" s="401"/>
      <c r="W4" s="402"/>
      <c r="X4" s="402"/>
      <c r="Y4" s="402"/>
      <c r="Z4" s="38">
        <f t="shared" ref="Z4:Z5" si="4">SUM(V4:Y4)</f>
        <v>0</v>
      </c>
      <c r="AA4" s="401"/>
      <c r="AB4" s="402"/>
      <c r="AC4" s="402"/>
      <c r="AD4" s="402"/>
      <c r="AE4" s="38">
        <f t="shared" ref="AE4:AE5" si="5">SUM(AA4:AD4)</f>
        <v>0</v>
      </c>
      <c r="AF4" s="401"/>
      <c r="AG4" s="402"/>
      <c r="AH4" s="402"/>
      <c r="AI4" s="402"/>
      <c r="AJ4" s="38">
        <f>SUM(AF4:AI4)</f>
        <v>0</v>
      </c>
      <c r="AK4" s="401">
        <v>120908.7</v>
      </c>
      <c r="AL4" s="402">
        <v>50555.67</v>
      </c>
      <c r="AM4" s="402">
        <v>321902.98</v>
      </c>
      <c r="AN4" s="402">
        <v>268674.40000000002</v>
      </c>
      <c r="AO4" s="38">
        <f>SUM(AK4:AN4)</f>
        <v>762041.75</v>
      </c>
      <c r="AP4" s="401">
        <v>101665</v>
      </c>
      <c r="AQ4" s="402">
        <v>236487.32</v>
      </c>
      <c r="AR4" s="402">
        <v>278058.87900000002</v>
      </c>
      <c r="AS4" s="402">
        <v>290317.14399999997</v>
      </c>
      <c r="AT4" s="38">
        <f>SUM(AP4:AS4)</f>
        <v>906528.34299999999</v>
      </c>
      <c r="AU4" s="401">
        <v>218460.74100000001</v>
      </c>
      <c r="AV4" s="402">
        <v>162248.6</v>
      </c>
      <c r="AW4" s="402">
        <v>388704.36200000002</v>
      </c>
      <c r="AX4" s="402">
        <v>379125.31599999999</v>
      </c>
      <c r="AY4" s="38">
        <f>SUM(AU4:AX4)</f>
        <v>1148539.0189999999</v>
      </c>
      <c r="AZ4" s="401">
        <v>157587.24799999999</v>
      </c>
      <c r="BA4" s="402">
        <v>311528.13500000001</v>
      </c>
      <c r="BB4" s="402">
        <v>396910.12</v>
      </c>
      <c r="BC4" s="402">
        <v>674753.79599999997</v>
      </c>
      <c r="BD4" s="38">
        <f>SUM(AZ4:BC4)</f>
        <v>1540779.2990000001</v>
      </c>
      <c r="BE4" s="401">
        <v>590494.84199999995</v>
      </c>
      <c r="BF4" s="402">
        <v>686188.66799999995</v>
      </c>
      <c r="BG4" s="402">
        <v>720223.74800000002</v>
      </c>
      <c r="BH4" s="402">
        <v>788101.23495616205</v>
      </c>
      <c r="BI4" s="38">
        <f>SUM(BE4:BH4)</f>
        <v>2785008.492956162</v>
      </c>
      <c r="BJ4" s="401">
        <v>781150</v>
      </c>
      <c r="BK4" s="402">
        <v>1056318</v>
      </c>
      <c r="BL4" s="402">
        <v>919146.34299999999</v>
      </c>
      <c r="BM4" s="402">
        <v>556159.09317999997</v>
      </c>
      <c r="BN4" s="38">
        <f>SUM(BJ4:BM4)</f>
        <v>3312773.4361799997</v>
      </c>
      <c r="BO4" s="401">
        <v>1419980.923</v>
      </c>
      <c r="BP4" s="402">
        <v>1222565.1810000001</v>
      </c>
      <c r="BQ4" s="402">
        <v>941717.10800000001</v>
      </c>
      <c r="BR4" s="402">
        <v>856606.65300000005</v>
      </c>
      <c r="BS4" s="38">
        <f>SUM(BO4:BR4)</f>
        <v>4440869.8650000002</v>
      </c>
      <c r="BT4" s="401">
        <v>1884338.01</v>
      </c>
      <c r="BU4" s="402">
        <v>1734686.9450000001</v>
      </c>
      <c r="BV4" s="402">
        <v>1560697</v>
      </c>
      <c r="BW4" s="402">
        <v>1399837</v>
      </c>
      <c r="BX4" s="38">
        <f>SUM(BT4:BW4)</f>
        <v>6579558.9550000001</v>
      </c>
      <c r="BY4" s="401">
        <v>2783509</v>
      </c>
      <c r="BZ4" s="402">
        <v>2225285.611</v>
      </c>
      <c r="CA4" s="402">
        <v>1986400</v>
      </c>
      <c r="CB4" s="402">
        <v>1289500</v>
      </c>
      <c r="CC4" s="38">
        <f>SUM(BY4:CB4)</f>
        <v>8284694.6109999996</v>
      </c>
      <c r="CD4" s="401">
        <v>2646800</v>
      </c>
      <c r="CE4" s="402">
        <v>2256900</v>
      </c>
      <c r="CF4" s="418">
        <f>CC4*1.05*(1+Macro!CH11)*25%</f>
        <v>2291158.0614913651</v>
      </c>
      <c r="CG4" s="418">
        <f>CC4*0.9*(1+Macro!CH11)*25%</f>
        <v>1963849.7669925985</v>
      </c>
      <c r="CH4" s="38">
        <f>SUM(CD4:CG4)</f>
        <v>9158707.8284839634</v>
      </c>
      <c r="CI4" s="418">
        <f>CH4*(1+Macro!CM11)*32%*1.1</f>
        <v>3370442.2447303534</v>
      </c>
      <c r="CJ4" s="418">
        <f>CH4*(1+Macro!CM11)*28%*1.1</f>
        <v>2949136.9641390592</v>
      </c>
      <c r="CK4" s="418">
        <f>CH4*(1+Macro!CM11)*20%*1.1</f>
        <v>2106526.4029564708</v>
      </c>
      <c r="CL4" s="418">
        <f>CH4*(1+Macro!CM11)*20%*1.1</f>
        <v>2106526.4029564708</v>
      </c>
      <c r="CM4" s="38">
        <f t="shared" ref="CM4" si="6">SUM(CI4:CL4)</f>
        <v>10532632.014782354</v>
      </c>
      <c r="CN4" s="418">
        <f>CM4*(1+Macro!CR11)*32%</f>
        <v>3505259.9345195694</v>
      </c>
      <c r="CO4" s="418">
        <f>CM4*(1+Macro!CR11)*28%</f>
        <v>3067102.4427046236</v>
      </c>
      <c r="CP4" s="418">
        <f>CM4*(1+Macro!CR11)*20%</f>
        <v>2190787.459074731</v>
      </c>
      <c r="CQ4" s="418">
        <f>CM4*(1+Macro!CR11)*20%</f>
        <v>2190787.459074731</v>
      </c>
      <c r="CR4" s="38">
        <f t="shared" ref="CR4" si="7">SUM(CN4:CQ4)</f>
        <v>10953937.295373656</v>
      </c>
      <c r="CS4" s="418">
        <f>CR4*(1+Macro!CW11)*32%</f>
        <v>3643699.8189113815</v>
      </c>
      <c r="CT4" s="418">
        <f>CR4*(1+Macro!CW11)*28%</f>
        <v>3188237.3415474589</v>
      </c>
      <c r="CU4" s="418">
        <f>CR4*(1+Macro!CW11)*20%</f>
        <v>2277312.3868196136</v>
      </c>
      <c r="CV4" s="418">
        <f>CR4*(1+Macro!CW11)*20%</f>
        <v>2277312.3868196136</v>
      </c>
      <c r="CW4" s="38">
        <f t="shared" ref="CW4" si="8">SUM(CS4:CV4)</f>
        <v>11386561.934098069</v>
      </c>
      <c r="CX4" s="418">
        <f>CW4*(1+Macro!DB11)*32%</f>
        <v>3787607.3724485477</v>
      </c>
      <c r="CY4" s="418">
        <f>CW4*(1+Macro!DB11)*28%</f>
        <v>3314156.4508924792</v>
      </c>
      <c r="CZ4" s="418">
        <f>CW4*(1+Macro!DB11)*20%</f>
        <v>2367254.6077803425</v>
      </c>
      <c r="DA4" s="418">
        <f>CW4*(1+Macro!DB11)*20%</f>
        <v>2367254.6077803425</v>
      </c>
      <c r="DB4" s="38">
        <f t="shared" ref="DB4" si="9">SUM(CX4:DA4)</f>
        <v>11836273.038901713</v>
      </c>
    </row>
    <row r="5" spans="1:106" ht="11.25" customHeight="1" outlineLevel="1" x14ac:dyDescent="0.35">
      <c r="A5" s="7" t="s">
        <v>58</v>
      </c>
      <c r="B5" s="403"/>
      <c r="C5" s="403"/>
      <c r="D5" s="403"/>
      <c r="E5" s="403"/>
      <c r="F5" s="28">
        <f t="shared" si="0"/>
        <v>0</v>
      </c>
      <c r="G5" s="403"/>
      <c r="H5" s="403"/>
      <c r="I5" s="403"/>
      <c r="J5" s="403"/>
      <c r="K5" s="28">
        <f t="shared" si="1"/>
        <v>0</v>
      </c>
      <c r="L5" s="403"/>
      <c r="M5" s="403"/>
      <c r="N5" s="403"/>
      <c r="O5" s="403"/>
      <c r="P5" s="28">
        <f t="shared" si="2"/>
        <v>0</v>
      </c>
      <c r="Q5" s="403"/>
      <c r="R5" s="403"/>
      <c r="S5" s="403"/>
      <c r="T5" s="403"/>
      <c r="U5" s="28">
        <f t="shared" si="3"/>
        <v>0</v>
      </c>
      <c r="V5" s="403"/>
      <c r="W5" s="403"/>
      <c r="X5" s="403"/>
      <c r="Y5" s="403"/>
      <c r="Z5" s="28">
        <f t="shared" si="4"/>
        <v>0</v>
      </c>
      <c r="AA5" s="403"/>
      <c r="AB5" s="403"/>
      <c r="AC5" s="403"/>
      <c r="AD5" s="403"/>
      <c r="AE5" s="28">
        <f t="shared" si="5"/>
        <v>0</v>
      </c>
      <c r="AF5" s="403"/>
      <c r="AG5" s="403"/>
      <c r="AH5" s="403"/>
      <c r="AI5" s="403"/>
      <c r="AJ5" s="28">
        <f>SUM(AF5:AI5)</f>
        <v>0</v>
      </c>
      <c r="AK5" s="403">
        <v>92705.7</v>
      </c>
      <c r="AL5" s="403">
        <v>50555.67</v>
      </c>
      <c r="AM5" s="403">
        <v>249676.98</v>
      </c>
      <c r="AN5" s="403">
        <v>212603.9</v>
      </c>
      <c r="AO5" s="28">
        <f>SUM(AK5:AN5)</f>
        <v>605542.25</v>
      </c>
      <c r="AP5" s="403">
        <v>78706</v>
      </c>
      <c r="AQ5" s="403">
        <v>152469.696</v>
      </c>
      <c r="AR5" s="403">
        <v>235018.736</v>
      </c>
      <c r="AS5" s="403">
        <v>214950.14499999999</v>
      </c>
      <c r="AT5" s="28">
        <f>SUM(AP5:AS5)</f>
        <v>681144.57700000005</v>
      </c>
      <c r="AU5" s="403">
        <v>185951.74100000001</v>
      </c>
      <c r="AV5" s="403">
        <v>162248.6</v>
      </c>
      <c r="AW5" s="403">
        <v>343138.11200000002</v>
      </c>
      <c r="AX5" s="403">
        <v>279123.56599999999</v>
      </c>
      <c r="AY5" s="28">
        <f>SUM(AU5:AX5)</f>
        <v>970462.01899999997</v>
      </c>
      <c r="AZ5" s="403">
        <v>72471.069000000003</v>
      </c>
      <c r="BA5" s="403">
        <v>311528.13500000001</v>
      </c>
      <c r="BB5" s="403">
        <v>367288.62</v>
      </c>
      <c r="BC5" s="403">
        <v>625442.978</v>
      </c>
      <c r="BD5" s="28">
        <f>SUM(AZ5:BC5)</f>
        <v>1376730.8020000001</v>
      </c>
      <c r="BE5" s="403">
        <v>472469.28899999999</v>
      </c>
      <c r="BF5" s="403">
        <v>650171.56799999997</v>
      </c>
      <c r="BG5" s="403">
        <v>633172.70360000001</v>
      </c>
      <c r="BH5" s="403">
        <v>719679.33370680723</v>
      </c>
      <c r="BI5" s="28">
        <f>SUM(BE5:BH5)</f>
        <v>2475492.8943068073</v>
      </c>
      <c r="BJ5" s="403">
        <v>781150</v>
      </c>
      <c r="BK5" s="403">
        <v>1056318</v>
      </c>
      <c r="BL5" s="403">
        <v>876846.34299999999</v>
      </c>
      <c r="BM5" s="403">
        <v>556159.09318000008</v>
      </c>
      <c r="BN5" s="28">
        <f>SUM(BJ5:BM5)</f>
        <v>3270473.4361800002</v>
      </c>
      <c r="BO5" s="403">
        <v>1419980.923</v>
      </c>
      <c r="BP5" s="403">
        <v>1137966.2764999999</v>
      </c>
      <c r="BQ5" s="403">
        <v>805577.10609999998</v>
      </c>
      <c r="BR5" s="403">
        <v>856606.65300000005</v>
      </c>
      <c r="BS5" s="28">
        <f>SUM(BO5:BR5)</f>
        <v>4220130.9586000005</v>
      </c>
      <c r="BT5" s="403">
        <v>1499854.8459999999</v>
      </c>
      <c r="BU5" s="403">
        <v>1676918.567</v>
      </c>
      <c r="BV5" s="403">
        <v>1503046</v>
      </c>
      <c r="BW5" s="403">
        <v>1060952</v>
      </c>
      <c r="BX5" s="28">
        <f>SUM(BT5:BW5)</f>
        <v>5740771.4129999997</v>
      </c>
      <c r="BY5" s="403">
        <v>2666305</v>
      </c>
      <c r="BZ5" s="403">
        <v>1960487.6510000001</v>
      </c>
      <c r="CA5" s="403">
        <v>1733900</v>
      </c>
      <c r="CB5" s="403">
        <v>1179100</v>
      </c>
      <c r="CC5" s="28">
        <f>SUM(BY5:CB5)</f>
        <v>7539792.6510000005</v>
      </c>
      <c r="CD5" s="403">
        <v>2268900</v>
      </c>
      <c r="CE5" s="403">
        <v>1943900</v>
      </c>
      <c r="CF5" s="132">
        <f>CF4*CF6</f>
        <v>1947484.3522676602</v>
      </c>
      <c r="CG5" s="132">
        <f>CG4*CG6</f>
        <v>1669272.3019437087</v>
      </c>
      <c r="CH5" s="28">
        <f>SUM(CD5:CG5)</f>
        <v>7829556.6542113684</v>
      </c>
      <c r="CI5" s="132">
        <f>CI4*CI6</f>
        <v>2864875.9080208004</v>
      </c>
      <c r="CJ5" s="132">
        <f>CJ4*CJ6</f>
        <v>2506766.4195182002</v>
      </c>
      <c r="CK5" s="132">
        <f>CK4*CK6</f>
        <v>1790547.4425130002</v>
      </c>
      <c r="CL5" s="132">
        <f>CL4*CL6</f>
        <v>1790547.4425130002</v>
      </c>
      <c r="CM5" s="28">
        <f>SUM(CI5:CL5)</f>
        <v>8952737.2125650011</v>
      </c>
      <c r="CN5" s="132">
        <f>CN4*CN6</f>
        <v>2979470.9443416339</v>
      </c>
      <c r="CO5" s="132">
        <f>CO4*CO6</f>
        <v>2607037.0762989298</v>
      </c>
      <c r="CP5" s="132">
        <f>CP4*CP6</f>
        <v>1862169.3402135214</v>
      </c>
      <c r="CQ5" s="132">
        <f>CQ4*CQ6</f>
        <v>1862169.3402135214</v>
      </c>
      <c r="CR5" s="28">
        <f>SUM(CN5:CQ5)</f>
        <v>9310846.701067606</v>
      </c>
      <c r="CS5" s="132">
        <f>CS4*CS6</f>
        <v>3097144.8460746743</v>
      </c>
      <c r="CT5" s="132">
        <f>CT4*CT6</f>
        <v>2710001.74031534</v>
      </c>
      <c r="CU5" s="132">
        <f>CU4*CU6</f>
        <v>1935715.5287966714</v>
      </c>
      <c r="CV5" s="132">
        <f>CV4*CV6</f>
        <v>1935715.5287966714</v>
      </c>
      <c r="CW5" s="28">
        <f>SUM(CS5:CV5)</f>
        <v>9678577.6439833567</v>
      </c>
      <c r="CX5" s="132">
        <f>CX4*CX6</f>
        <v>3219466.2665812657</v>
      </c>
      <c r="CY5" s="132">
        <f>CY4*CY6</f>
        <v>2817032.9832586073</v>
      </c>
      <c r="CZ5" s="132">
        <f>CZ4*CZ6</f>
        <v>2012166.416613291</v>
      </c>
      <c r="DA5" s="132">
        <f>DA4*DA6</f>
        <v>2012166.416613291</v>
      </c>
      <c r="DB5" s="28">
        <f>SUM(CX5:DA5)</f>
        <v>10060832.083066456</v>
      </c>
    </row>
    <row r="6" spans="1:106" ht="11.25" customHeight="1" outlineLevel="1" x14ac:dyDescent="0.35">
      <c r="A6" s="7" t="s">
        <v>60</v>
      </c>
      <c r="B6" s="21" t="e">
        <f t="shared" ref="B6:AE6" si="10">B5/B4</f>
        <v>#DIV/0!</v>
      </c>
      <c r="C6" s="21" t="e">
        <f t="shared" si="10"/>
        <v>#DIV/0!</v>
      </c>
      <c r="D6" s="21" t="e">
        <f t="shared" si="10"/>
        <v>#DIV/0!</v>
      </c>
      <c r="E6" s="21" t="e">
        <f t="shared" si="10"/>
        <v>#DIV/0!</v>
      </c>
      <c r="F6" s="22" t="e">
        <f t="shared" si="10"/>
        <v>#DIV/0!</v>
      </c>
      <c r="G6" s="21" t="e">
        <f t="shared" si="10"/>
        <v>#DIV/0!</v>
      </c>
      <c r="H6" s="21" t="e">
        <f t="shared" si="10"/>
        <v>#DIV/0!</v>
      </c>
      <c r="I6" s="21" t="e">
        <f t="shared" si="10"/>
        <v>#DIV/0!</v>
      </c>
      <c r="J6" s="21" t="e">
        <f t="shared" si="10"/>
        <v>#DIV/0!</v>
      </c>
      <c r="K6" s="22" t="e">
        <f t="shared" si="10"/>
        <v>#DIV/0!</v>
      </c>
      <c r="L6" s="21" t="e">
        <f t="shared" si="10"/>
        <v>#DIV/0!</v>
      </c>
      <c r="M6" s="21" t="e">
        <f t="shared" si="10"/>
        <v>#DIV/0!</v>
      </c>
      <c r="N6" s="21" t="e">
        <f t="shared" si="10"/>
        <v>#DIV/0!</v>
      </c>
      <c r="O6" s="21" t="e">
        <f t="shared" si="10"/>
        <v>#DIV/0!</v>
      </c>
      <c r="P6" s="22" t="e">
        <f t="shared" si="10"/>
        <v>#DIV/0!</v>
      </c>
      <c r="Q6" s="21" t="e">
        <f t="shared" si="10"/>
        <v>#DIV/0!</v>
      </c>
      <c r="R6" s="21" t="e">
        <f t="shared" si="10"/>
        <v>#DIV/0!</v>
      </c>
      <c r="S6" s="21" t="e">
        <f t="shared" si="10"/>
        <v>#DIV/0!</v>
      </c>
      <c r="T6" s="21" t="e">
        <f t="shared" si="10"/>
        <v>#DIV/0!</v>
      </c>
      <c r="U6" s="22" t="e">
        <f t="shared" si="10"/>
        <v>#DIV/0!</v>
      </c>
      <c r="V6" s="21" t="e">
        <f t="shared" si="10"/>
        <v>#DIV/0!</v>
      </c>
      <c r="W6" s="21" t="e">
        <f t="shared" si="10"/>
        <v>#DIV/0!</v>
      </c>
      <c r="X6" s="21" t="e">
        <f t="shared" si="10"/>
        <v>#DIV/0!</v>
      </c>
      <c r="Y6" s="21" t="e">
        <f t="shared" si="10"/>
        <v>#DIV/0!</v>
      </c>
      <c r="Z6" s="22" t="e">
        <f t="shared" si="10"/>
        <v>#DIV/0!</v>
      </c>
      <c r="AA6" s="21" t="e">
        <f t="shared" si="10"/>
        <v>#DIV/0!</v>
      </c>
      <c r="AB6" s="21" t="e">
        <f t="shared" si="10"/>
        <v>#DIV/0!</v>
      </c>
      <c r="AC6" s="21" t="e">
        <f t="shared" si="10"/>
        <v>#DIV/0!</v>
      </c>
      <c r="AD6" s="21" t="e">
        <f t="shared" si="10"/>
        <v>#DIV/0!</v>
      </c>
      <c r="AE6" s="22" t="e">
        <f t="shared" si="10"/>
        <v>#DIV/0!</v>
      </c>
      <c r="AF6" s="21" t="e">
        <f t="shared" ref="AF6:BM6" si="11">AF5/AF4</f>
        <v>#DIV/0!</v>
      </c>
      <c r="AG6" s="21" t="e">
        <f t="shared" si="11"/>
        <v>#DIV/0!</v>
      </c>
      <c r="AH6" s="21" t="e">
        <f t="shared" si="11"/>
        <v>#DIV/0!</v>
      </c>
      <c r="AI6" s="21" t="e">
        <f t="shared" si="11"/>
        <v>#DIV/0!</v>
      </c>
      <c r="AJ6" s="22" t="e">
        <f t="shared" si="11"/>
        <v>#DIV/0!</v>
      </c>
      <c r="AK6" s="21">
        <f t="shared" si="11"/>
        <v>0.76674135111865394</v>
      </c>
      <c r="AL6" s="21">
        <f t="shared" si="11"/>
        <v>1</v>
      </c>
      <c r="AM6" s="21">
        <f t="shared" si="11"/>
        <v>0.77562804792922402</v>
      </c>
      <c r="AN6" s="21">
        <f t="shared" si="11"/>
        <v>0.79130687553410362</v>
      </c>
      <c r="AO6" s="22">
        <f t="shared" si="11"/>
        <v>0.79463133089492799</v>
      </c>
      <c r="AP6" s="21">
        <f t="shared" si="11"/>
        <v>0.77417006836177638</v>
      </c>
      <c r="AQ6" s="21">
        <f t="shared" si="11"/>
        <v>0.6447267278431672</v>
      </c>
      <c r="AR6" s="21">
        <f t="shared" si="11"/>
        <v>0.84521212501903231</v>
      </c>
      <c r="AS6" s="21">
        <f t="shared" si="11"/>
        <v>0.7403976976295964</v>
      </c>
      <c r="AT6" s="22">
        <f t="shared" si="11"/>
        <v>0.75137703333783135</v>
      </c>
      <c r="AU6" s="21">
        <f t="shared" si="11"/>
        <v>0.851190653976588</v>
      </c>
      <c r="AV6" s="21">
        <f t="shared" si="11"/>
        <v>1</v>
      </c>
      <c r="AW6" s="21">
        <f t="shared" si="11"/>
        <v>0.88277401939729194</v>
      </c>
      <c r="AX6" s="21">
        <f t="shared" si="11"/>
        <v>0.73623035503121081</v>
      </c>
      <c r="AY6" s="22">
        <f t="shared" si="11"/>
        <v>0.84495346082795997</v>
      </c>
      <c r="AZ6" s="21">
        <f t="shared" si="11"/>
        <v>0.45987901889117327</v>
      </c>
      <c r="BA6" s="21">
        <f t="shared" si="11"/>
        <v>1</v>
      </c>
      <c r="BB6" s="21">
        <f t="shared" si="11"/>
        <v>0.92536975373668984</v>
      </c>
      <c r="BC6" s="21">
        <f t="shared" si="11"/>
        <v>0.92692028071228516</v>
      </c>
      <c r="BD6" s="22">
        <f t="shared" si="11"/>
        <v>0.89352888041365097</v>
      </c>
      <c r="BE6" s="21">
        <f t="shared" si="11"/>
        <v>0.80012432860505833</v>
      </c>
      <c r="BF6" s="21">
        <f t="shared" si="11"/>
        <v>0.94751137452476852</v>
      </c>
      <c r="BG6" s="21">
        <f t="shared" si="11"/>
        <v>0.87913333232660917</v>
      </c>
      <c r="BH6" s="21">
        <f t="shared" si="11"/>
        <v>0.91318132973975008</v>
      </c>
      <c r="BI6" s="22">
        <f t="shared" si="11"/>
        <v>0.88886367871689409</v>
      </c>
      <c r="BJ6" s="21">
        <f t="shared" si="11"/>
        <v>1</v>
      </c>
      <c r="BK6" s="21">
        <f t="shared" si="11"/>
        <v>1</v>
      </c>
      <c r="BL6" s="21">
        <f t="shared" si="11"/>
        <v>0.95397903682895902</v>
      </c>
      <c r="BM6" s="21">
        <f t="shared" si="11"/>
        <v>1.0000000000000002</v>
      </c>
      <c r="BN6" s="22">
        <f t="shared" ref="BN6:BW6" si="12">BN5/BN4</f>
        <v>0.98723124269893436</v>
      </c>
      <c r="BO6" s="21">
        <f t="shared" si="12"/>
        <v>1</v>
      </c>
      <c r="BP6" s="21">
        <f t="shared" si="12"/>
        <v>0.93080213160430247</v>
      </c>
      <c r="BQ6" s="21">
        <f t="shared" si="12"/>
        <v>0.85543429046422292</v>
      </c>
      <c r="BR6" s="21">
        <f t="shared" si="12"/>
        <v>1</v>
      </c>
      <c r="BS6" s="22">
        <f t="shared" si="12"/>
        <v>0.95029376831333923</v>
      </c>
      <c r="BT6" s="21">
        <f t="shared" si="12"/>
        <v>0.79595849472887292</v>
      </c>
      <c r="BU6" s="21">
        <f t="shared" si="12"/>
        <v>0.96669809606482049</v>
      </c>
      <c r="BV6" s="21">
        <f t="shared" si="12"/>
        <v>0.9630607350433813</v>
      </c>
      <c r="BW6" s="21">
        <f t="shared" si="12"/>
        <v>0.75791109964945924</v>
      </c>
      <c r="BX6" s="22">
        <f>BX5/BX4</f>
        <v>0.87251614466307337</v>
      </c>
      <c r="BY6" s="21">
        <f>BY5/BY4</f>
        <v>0.95789343594721632</v>
      </c>
      <c r="BZ6" s="21">
        <f t="shared" ref="BZ6:CB6" si="13">BZ5/BZ4</f>
        <v>0.88100495563757997</v>
      </c>
      <c r="CA6" s="21">
        <f t="shared" si="13"/>
        <v>0.87288562223117194</v>
      </c>
      <c r="CB6" s="21">
        <f t="shared" si="13"/>
        <v>0.91438542070569984</v>
      </c>
      <c r="CC6" s="22">
        <f>CC5/CC4</f>
        <v>0.91008697423668994</v>
      </c>
      <c r="CD6" s="21">
        <f>CD5/CD4</f>
        <v>0.85722381743992748</v>
      </c>
      <c r="CE6" s="21">
        <f t="shared" ref="CE6" si="14">CE5/CE4</f>
        <v>0.86131419203332005</v>
      </c>
      <c r="CF6" s="636">
        <v>0.85</v>
      </c>
      <c r="CG6" s="21">
        <f>CF6</f>
        <v>0.85</v>
      </c>
      <c r="CH6" s="22">
        <f>CH5/CH4</f>
        <v>0.85487568779747736</v>
      </c>
      <c r="CI6" s="636">
        <f>CG6</f>
        <v>0.85</v>
      </c>
      <c r="CJ6" s="21">
        <f>CI6</f>
        <v>0.85</v>
      </c>
      <c r="CK6" s="21">
        <f>CJ6</f>
        <v>0.85</v>
      </c>
      <c r="CL6" s="21">
        <f>CK6</f>
        <v>0.85</v>
      </c>
      <c r="CM6" s="22">
        <f>CM5/CM4</f>
        <v>0.85</v>
      </c>
      <c r="CN6" s="21">
        <f>CL6</f>
        <v>0.85</v>
      </c>
      <c r="CO6" s="21">
        <f>CN6</f>
        <v>0.85</v>
      </c>
      <c r="CP6" s="21">
        <f>CO6</f>
        <v>0.85</v>
      </c>
      <c r="CQ6" s="21">
        <f>CP6</f>
        <v>0.85</v>
      </c>
      <c r="CR6" s="22">
        <f>CR5/CR4</f>
        <v>0.84999999999999987</v>
      </c>
      <c r="CS6" s="21">
        <f>CQ6</f>
        <v>0.85</v>
      </c>
      <c r="CT6" s="21">
        <f>CS6</f>
        <v>0.85</v>
      </c>
      <c r="CU6" s="21">
        <f>CT6</f>
        <v>0.85</v>
      </c>
      <c r="CV6" s="21">
        <f>CU6</f>
        <v>0.85</v>
      </c>
      <c r="CW6" s="22">
        <f>CW5/CW4</f>
        <v>0.84999999999999987</v>
      </c>
      <c r="CX6" s="21">
        <f>CV6</f>
        <v>0.85</v>
      </c>
      <c r="CY6" s="21">
        <f>CX6</f>
        <v>0.85</v>
      </c>
      <c r="CZ6" s="21">
        <f>CY6</f>
        <v>0.85</v>
      </c>
      <c r="DA6" s="21">
        <f>CZ6</f>
        <v>0.85</v>
      </c>
      <c r="DB6" s="22">
        <f>DB5/DB4</f>
        <v>0.85</v>
      </c>
    </row>
    <row r="7" spans="1:106" ht="11.25" customHeight="1" x14ac:dyDescent="0.35">
      <c r="A7" s="7" t="s">
        <v>59</v>
      </c>
      <c r="B7" s="403"/>
      <c r="C7" s="403"/>
      <c r="D7" s="403"/>
      <c r="E7" s="403"/>
      <c r="F7" s="93">
        <f t="shared" ref="F7" si="15">SUM(B7:E7)</f>
        <v>0</v>
      </c>
      <c r="G7" s="403"/>
      <c r="H7" s="403"/>
      <c r="I7" s="403"/>
      <c r="J7" s="403"/>
      <c r="K7" s="93">
        <f t="shared" ref="K7" si="16">SUM(G7:J7)</f>
        <v>0</v>
      </c>
      <c r="L7" s="403"/>
      <c r="M7" s="403"/>
      <c r="N7" s="403"/>
      <c r="O7" s="403"/>
      <c r="P7" s="93">
        <f t="shared" ref="P7" si="17">SUM(L7:O7)</f>
        <v>0</v>
      </c>
      <c r="Q7" s="403"/>
      <c r="R7" s="403"/>
      <c r="S7" s="403"/>
      <c r="T7" s="403"/>
      <c r="U7" s="93">
        <f t="shared" ref="U7" si="18">SUM(Q7:T7)</f>
        <v>0</v>
      </c>
      <c r="V7" s="403"/>
      <c r="W7" s="403"/>
      <c r="X7" s="403"/>
      <c r="Y7" s="403"/>
      <c r="Z7" s="93">
        <f t="shared" ref="Z7" si="19">SUM(V7:Y7)</f>
        <v>0</v>
      </c>
      <c r="AA7" s="403"/>
      <c r="AB7" s="403"/>
      <c r="AC7" s="403"/>
      <c r="AD7" s="403"/>
      <c r="AE7" s="93">
        <f t="shared" ref="AE7" si="20">SUM(AA7:AD7)</f>
        <v>0</v>
      </c>
      <c r="AF7" s="403"/>
      <c r="AG7" s="403"/>
      <c r="AH7" s="403"/>
      <c r="AI7" s="403"/>
      <c r="AJ7" s="93">
        <f>SUM(AF7:AI7)</f>
        <v>0</v>
      </c>
      <c r="AK7" s="403">
        <v>680</v>
      </c>
      <c r="AL7" s="403">
        <v>300</v>
      </c>
      <c r="AM7" s="403">
        <v>1734</v>
      </c>
      <c r="AN7" s="403">
        <v>1570</v>
      </c>
      <c r="AO7" s="93">
        <f>SUM(AK7:AN7)</f>
        <v>4284</v>
      </c>
      <c r="AP7" s="403">
        <v>536</v>
      </c>
      <c r="AQ7" s="403">
        <v>1170</v>
      </c>
      <c r="AR7" s="403">
        <v>1476</v>
      </c>
      <c r="AS7" s="403">
        <v>1396</v>
      </c>
      <c r="AT7" s="93">
        <f>SUM(AP7:AS7)</f>
        <v>4578</v>
      </c>
      <c r="AU7" s="403">
        <v>1173</v>
      </c>
      <c r="AV7" s="403">
        <v>900</v>
      </c>
      <c r="AW7" s="403">
        <v>2055</v>
      </c>
      <c r="AX7" s="403">
        <v>1952</v>
      </c>
      <c r="AY7" s="93">
        <f>SUM(AU7:AX7)</f>
        <v>6080</v>
      </c>
      <c r="AZ7" s="403">
        <v>903</v>
      </c>
      <c r="BA7" s="403">
        <v>1830</v>
      </c>
      <c r="BB7" s="403">
        <v>2061</v>
      </c>
      <c r="BC7" s="403">
        <v>3439</v>
      </c>
      <c r="BD7" s="93">
        <f>SUM(AZ7:BC7)</f>
        <v>8233</v>
      </c>
      <c r="BE7" s="403">
        <v>2957</v>
      </c>
      <c r="BF7" s="403">
        <v>3244</v>
      </c>
      <c r="BG7" s="403">
        <v>3163</v>
      </c>
      <c r="BH7" s="403">
        <v>3275</v>
      </c>
      <c r="BI7" s="93">
        <f>SUM(BE7:BH7)</f>
        <v>12639</v>
      </c>
      <c r="BJ7" s="403">
        <v>3240</v>
      </c>
      <c r="BK7" s="403">
        <v>3548</v>
      </c>
      <c r="BL7" s="403">
        <v>3650</v>
      </c>
      <c r="BM7" s="403">
        <v>2147</v>
      </c>
      <c r="BN7" s="93">
        <f>SUM(BJ7:BM7)</f>
        <v>12585</v>
      </c>
      <c r="BO7" s="403">
        <v>5095</v>
      </c>
      <c r="BP7" s="403">
        <v>3799</v>
      </c>
      <c r="BQ7" s="403">
        <v>3658</v>
      </c>
      <c r="BR7" s="403">
        <v>3123</v>
      </c>
      <c r="BS7" s="93">
        <f>SUM(BO7:BR7)</f>
        <v>15675</v>
      </c>
      <c r="BT7" s="403">
        <v>5959</v>
      </c>
      <c r="BU7" s="403">
        <v>5588</v>
      </c>
      <c r="BV7" s="403">
        <v>5157</v>
      </c>
      <c r="BW7" s="403">
        <v>4061</v>
      </c>
      <c r="BX7" s="93">
        <f>SUM(BT7:BW7)</f>
        <v>20765</v>
      </c>
      <c r="BY7" s="403">
        <v>9132</v>
      </c>
      <c r="BZ7" s="403">
        <v>6588</v>
      </c>
      <c r="CA7" s="403">
        <v>6813</v>
      </c>
      <c r="CB7" s="403">
        <v>3833</v>
      </c>
      <c r="CC7" s="93">
        <f>SUM(BY7:CB7)</f>
        <v>26366</v>
      </c>
      <c r="CD7" s="403">
        <v>8001</v>
      </c>
      <c r="CE7" s="403">
        <v>6549</v>
      </c>
      <c r="CF7" s="85">
        <f>CF4/CF8*1000</f>
        <v>6606.499513436218</v>
      </c>
      <c r="CG7" s="85">
        <f>CG4/CG8*1000</f>
        <v>5602.0909150024454</v>
      </c>
      <c r="CH7" s="93">
        <f>SUM(CD7:CG7)</f>
        <v>26758.590428438663</v>
      </c>
      <c r="CI7" s="85">
        <f>CI4/CI8*1000</f>
        <v>9470.8134941680692</v>
      </c>
      <c r="CJ7" s="85">
        <f>CJ4/CJ8*1000</f>
        <v>8197.5425412580789</v>
      </c>
      <c r="CK7" s="85">
        <f>CK4/CK8*1000</f>
        <v>5824.3823495602364</v>
      </c>
      <c r="CL7" s="85">
        <f>CL4/CL8*1000</f>
        <v>5747.7619988673669</v>
      </c>
      <c r="CM7" s="93">
        <f>SUM(CI7:CL7)</f>
        <v>29240.500383853752</v>
      </c>
      <c r="CN7" s="85">
        <f>CN4/CN8*1000</f>
        <v>9470.9547980828847</v>
      </c>
      <c r="CO7" s="85">
        <f>CO4/CO8*1000</f>
        <v>8206.2261656792998</v>
      </c>
      <c r="CP7" s="85">
        <f>CP4/CP8*1000</f>
        <v>5804.397034588922</v>
      </c>
      <c r="CQ7" s="85">
        <f>CQ4/CQ8*1000</f>
        <v>5747.7619988673669</v>
      </c>
      <c r="CR7" s="93">
        <f>SUM(CN7:CQ7)</f>
        <v>29229.339997218471</v>
      </c>
      <c r="CS7" s="85">
        <f>CS4/CS8*1000</f>
        <v>9467.5047357105086</v>
      </c>
      <c r="CT7" s="85">
        <f>CT4/CT8*1000</f>
        <v>8204.2331451301689</v>
      </c>
      <c r="CU7" s="85">
        <f>CU4/CU8*1000</f>
        <v>5803.6921438873296</v>
      </c>
      <c r="CV7" s="85">
        <f>CV4/CV8*1000</f>
        <v>5747.7619988673678</v>
      </c>
      <c r="CW7" s="93">
        <f>SUM(CS7:CV7)</f>
        <v>29223.192023595377</v>
      </c>
      <c r="CX7" s="85">
        <f>CX4/CX8*1000</f>
        <v>9467.5047357105104</v>
      </c>
      <c r="CY7" s="85">
        <f>CY4/CY8*1000</f>
        <v>8204.2331451301707</v>
      </c>
      <c r="CZ7" s="85">
        <f>CZ4/CZ8*1000</f>
        <v>5803.6921438873305</v>
      </c>
      <c r="DA7" s="85">
        <f>DA4/DA8*1000</f>
        <v>5747.7619988673687</v>
      </c>
      <c r="DB7" s="93">
        <f>SUM(CX7:DA7)</f>
        <v>29223.19202359538</v>
      </c>
    </row>
    <row r="8" spans="1:106" ht="11.25" customHeight="1" x14ac:dyDescent="0.35">
      <c r="A8" s="75" t="s">
        <v>61</v>
      </c>
      <c r="B8" s="88" t="e">
        <f t="shared" ref="B8:AE8" si="21">B4*1000/B7</f>
        <v>#DIV/0!</v>
      </c>
      <c r="C8" s="88" t="e">
        <f t="shared" si="21"/>
        <v>#DIV/0!</v>
      </c>
      <c r="D8" s="88" t="e">
        <f t="shared" si="21"/>
        <v>#DIV/0!</v>
      </c>
      <c r="E8" s="88" t="e">
        <f t="shared" si="21"/>
        <v>#DIV/0!</v>
      </c>
      <c r="F8" s="71" t="e">
        <f t="shared" si="21"/>
        <v>#DIV/0!</v>
      </c>
      <c r="G8" s="88" t="e">
        <f t="shared" si="21"/>
        <v>#DIV/0!</v>
      </c>
      <c r="H8" s="88" t="e">
        <f t="shared" si="21"/>
        <v>#DIV/0!</v>
      </c>
      <c r="I8" s="88" t="e">
        <f t="shared" si="21"/>
        <v>#DIV/0!</v>
      </c>
      <c r="J8" s="88" t="e">
        <f t="shared" si="21"/>
        <v>#DIV/0!</v>
      </c>
      <c r="K8" s="71" t="e">
        <f t="shared" si="21"/>
        <v>#DIV/0!</v>
      </c>
      <c r="L8" s="88" t="e">
        <f t="shared" si="21"/>
        <v>#DIV/0!</v>
      </c>
      <c r="M8" s="88" t="e">
        <f t="shared" si="21"/>
        <v>#DIV/0!</v>
      </c>
      <c r="N8" s="88" t="e">
        <f t="shared" si="21"/>
        <v>#DIV/0!</v>
      </c>
      <c r="O8" s="88" t="e">
        <f t="shared" si="21"/>
        <v>#DIV/0!</v>
      </c>
      <c r="P8" s="71" t="e">
        <f t="shared" si="21"/>
        <v>#DIV/0!</v>
      </c>
      <c r="Q8" s="88" t="e">
        <f t="shared" si="21"/>
        <v>#DIV/0!</v>
      </c>
      <c r="R8" s="88" t="e">
        <f t="shared" si="21"/>
        <v>#DIV/0!</v>
      </c>
      <c r="S8" s="88" t="e">
        <f t="shared" si="21"/>
        <v>#DIV/0!</v>
      </c>
      <c r="T8" s="88" t="e">
        <f t="shared" si="21"/>
        <v>#DIV/0!</v>
      </c>
      <c r="U8" s="71" t="e">
        <f t="shared" si="21"/>
        <v>#DIV/0!</v>
      </c>
      <c r="V8" s="88" t="e">
        <f t="shared" si="21"/>
        <v>#DIV/0!</v>
      </c>
      <c r="W8" s="88" t="e">
        <f t="shared" si="21"/>
        <v>#DIV/0!</v>
      </c>
      <c r="X8" s="88" t="e">
        <f t="shared" si="21"/>
        <v>#DIV/0!</v>
      </c>
      <c r="Y8" s="88" t="e">
        <f t="shared" si="21"/>
        <v>#DIV/0!</v>
      </c>
      <c r="Z8" s="71" t="e">
        <f t="shared" si="21"/>
        <v>#DIV/0!</v>
      </c>
      <c r="AA8" s="88" t="e">
        <f t="shared" si="21"/>
        <v>#DIV/0!</v>
      </c>
      <c r="AB8" s="88" t="e">
        <f t="shared" si="21"/>
        <v>#DIV/0!</v>
      </c>
      <c r="AC8" s="88" t="e">
        <f t="shared" si="21"/>
        <v>#DIV/0!</v>
      </c>
      <c r="AD8" s="88" t="e">
        <f t="shared" si="21"/>
        <v>#DIV/0!</v>
      </c>
      <c r="AE8" s="71" t="e">
        <f t="shared" si="21"/>
        <v>#DIV/0!</v>
      </c>
      <c r="AF8" s="88" t="e">
        <f t="shared" ref="AF8:BW8" si="22">AF4*1000/AF7</f>
        <v>#DIV/0!</v>
      </c>
      <c r="AG8" s="88" t="e">
        <f t="shared" si="22"/>
        <v>#DIV/0!</v>
      </c>
      <c r="AH8" s="88" t="e">
        <f t="shared" si="22"/>
        <v>#DIV/0!</v>
      </c>
      <c r="AI8" s="88" t="e">
        <f t="shared" si="22"/>
        <v>#DIV/0!</v>
      </c>
      <c r="AJ8" s="71" t="e">
        <f t="shared" si="22"/>
        <v>#DIV/0!</v>
      </c>
      <c r="AK8" s="88">
        <f t="shared" si="22"/>
        <v>177806.91176470587</v>
      </c>
      <c r="AL8" s="88">
        <f t="shared" si="22"/>
        <v>168518.9</v>
      </c>
      <c r="AM8" s="88">
        <f t="shared" si="22"/>
        <v>185641.85697808536</v>
      </c>
      <c r="AN8" s="88">
        <f t="shared" si="22"/>
        <v>171130.19108280254</v>
      </c>
      <c r="AO8" s="71">
        <f t="shared" si="22"/>
        <v>177880.89402427638</v>
      </c>
      <c r="AP8" s="88">
        <f t="shared" si="22"/>
        <v>189673.50746268657</v>
      </c>
      <c r="AQ8" s="88">
        <f t="shared" si="22"/>
        <v>202125.91452991453</v>
      </c>
      <c r="AR8" s="88">
        <f t="shared" si="22"/>
        <v>188386.7743902439</v>
      </c>
      <c r="AS8" s="88">
        <f t="shared" si="22"/>
        <v>207963.57020057307</v>
      </c>
      <c r="AT8" s="71">
        <f t="shared" si="22"/>
        <v>198018.4235474006</v>
      </c>
      <c r="AU8" s="88">
        <f t="shared" si="22"/>
        <v>186241.0409207161</v>
      </c>
      <c r="AV8" s="88">
        <f t="shared" si="22"/>
        <v>180276.22222222222</v>
      </c>
      <c r="AW8" s="88">
        <f t="shared" si="22"/>
        <v>189150.54111922142</v>
      </c>
      <c r="AX8" s="88">
        <f t="shared" si="22"/>
        <v>194224.03483606558</v>
      </c>
      <c r="AY8" s="71">
        <f t="shared" si="22"/>
        <v>188904.44391447364</v>
      </c>
      <c r="AZ8" s="88">
        <f t="shared" si="22"/>
        <v>174515.22480620156</v>
      </c>
      <c r="BA8" s="88">
        <f t="shared" si="22"/>
        <v>170233.95355191256</v>
      </c>
      <c r="BB8" s="88">
        <f t="shared" si="22"/>
        <v>192581.32945172247</v>
      </c>
      <c r="BC8" s="88">
        <f t="shared" si="22"/>
        <v>196206.39604536202</v>
      </c>
      <c r="BD8" s="71">
        <f t="shared" si="22"/>
        <v>187146.76290538078</v>
      </c>
      <c r="BE8" s="88">
        <f t="shared" si="22"/>
        <v>199693.89313493404</v>
      </c>
      <c r="BF8" s="88">
        <f t="shared" si="22"/>
        <v>211525.4833538841</v>
      </c>
      <c r="BG8" s="88">
        <f t="shared" si="22"/>
        <v>227702.73411318369</v>
      </c>
      <c r="BH8" s="88">
        <f t="shared" si="22"/>
        <v>240641.59845989684</v>
      </c>
      <c r="BI8" s="71">
        <f t="shared" si="22"/>
        <v>220350.3831755805</v>
      </c>
      <c r="BJ8" s="88">
        <f t="shared" si="22"/>
        <v>241095.67901234567</v>
      </c>
      <c r="BK8" s="88">
        <f t="shared" si="22"/>
        <v>297722.09695603157</v>
      </c>
      <c r="BL8" s="88">
        <f t="shared" si="22"/>
        <v>251820.91589041095</v>
      </c>
      <c r="BM8" s="88">
        <f t="shared" si="22"/>
        <v>259040.09929203536</v>
      </c>
      <c r="BN8" s="71">
        <f t="shared" si="22"/>
        <v>263231.89798808104</v>
      </c>
      <c r="BO8" s="88">
        <f t="shared" si="22"/>
        <v>278700.86810598627</v>
      </c>
      <c r="BP8" s="88">
        <f t="shared" si="22"/>
        <v>321812.36667544092</v>
      </c>
      <c r="BQ8" s="88">
        <f t="shared" si="22"/>
        <v>257440.43411700384</v>
      </c>
      <c r="BR8" s="88">
        <f t="shared" si="22"/>
        <v>274289.67435158504</v>
      </c>
      <c r="BS8" s="71">
        <f t="shared" si="22"/>
        <v>283309.08229665074</v>
      </c>
      <c r="BT8" s="88">
        <f t="shared" si="22"/>
        <v>316217.1522067461</v>
      </c>
      <c r="BU8" s="88">
        <f t="shared" si="22"/>
        <v>310430.73460987833</v>
      </c>
      <c r="BV8" s="88">
        <f t="shared" si="22"/>
        <v>302636.61043242196</v>
      </c>
      <c r="BW8" s="88">
        <f t="shared" si="22"/>
        <v>344702.53632110317</v>
      </c>
      <c r="BX8" s="71">
        <f>BX4*1000/BX7</f>
        <v>316858.12448832172</v>
      </c>
      <c r="BY8" s="88">
        <f>BY4*1000/BY7</f>
        <v>304808.25667980727</v>
      </c>
      <c r="BZ8" s="88">
        <f t="shared" ref="BZ8:CB8" si="23">BZ4*1000/BZ7</f>
        <v>337778.62947783852</v>
      </c>
      <c r="CA8" s="88">
        <f t="shared" si="23"/>
        <v>291560.25245853513</v>
      </c>
      <c r="CB8" s="88">
        <f t="shared" si="23"/>
        <v>336420.55830941821</v>
      </c>
      <c r="CC8" s="71">
        <f>CC4*1000/CC7</f>
        <v>314218.86562239245</v>
      </c>
      <c r="CD8" s="88">
        <f>CD4*1000/CD7</f>
        <v>330808.64891888516</v>
      </c>
      <c r="CE8" s="88">
        <f t="shared" ref="CE8" si="24">CE4*1000/CE7</f>
        <v>344617.49885478697</v>
      </c>
      <c r="CF8" s="398">
        <f>CE8*(1+Macro!CF10)</f>
        <v>346803.63736221212</v>
      </c>
      <c r="CG8" s="398">
        <f>CF8*(1+Macro!CG10)</f>
        <v>350556.56839366758</v>
      </c>
      <c r="CH8" s="71">
        <f>CH4*1000/CH7</f>
        <v>342271.68478763418</v>
      </c>
      <c r="CI8" s="398">
        <f>CG8*(1+Macro!CI10)</f>
        <v>355876.74140197161</v>
      </c>
      <c r="CJ8" s="398">
        <f>CI8*(1+Macro!CJ10)</f>
        <v>359758.66539223283</v>
      </c>
      <c r="CK8" s="398">
        <f>CJ8*(1+Macro!CK10)</f>
        <v>361673.7838503205</v>
      </c>
      <c r="CL8" s="398">
        <f>CK8*(1+Macro!CL10)</f>
        <v>366495.06423049094</v>
      </c>
      <c r="CM8" s="71">
        <f t="shared" ref="CM8" si="25">CM4*1000/CM7</f>
        <v>360206.96898191061</v>
      </c>
      <c r="CN8" s="398">
        <f>CL8*(1+Macro!CN10)</f>
        <v>370106.2890965445</v>
      </c>
      <c r="CO8" s="398">
        <f>CN8*(1+Macro!CO10)</f>
        <v>373753.09682934301</v>
      </c>
      <c r="CP8" s="398">
        <f>CO8*(1+Macro!CP10)</f>
        <v>377435.83804133872</v>
      </c>
      <c r="CQ8" s="398">
        <f>CP8*(1+Macro!CQ10)</f>
        <v>381154.86679971084</v>
      </c>
      <c r="CR8" s="71">
        <f t="shared" ref="CR8" si="26">CR4*1000/CR7</f>
        <v>374758.28384821746</v>
      </c>
      <c r="CS8" s="398">
        <f>CQ8*(1+Macro!CS10)</f>
        <v>384863.79681096959</v>
      </c>
      <c r="CT8" s="398">
        <f>CS8*(1+Macro!CT10)</f>
        <v>388608.81756388384</v>
      </c>
      <c r="CU8" s="398">
        <f>CT8*(1+Macro!CU10)</f>
        <v>392390.28024912835</v>
      </c>
      <c r="CV8" s="398">
        <f>CU8*(1+Macro!CV10)</f>
        <v>396208.53947473329</v>
      </c>
      <c r="CW8" s="71">
        <f t="shared" ref="CW8" si="27">CW4*1000/CW7</f>
        <v>389641.2796009531</v>
      </c>
      <c r="CX8" s="398">
        <f>CV8*(1+Macro!CX10)</f>
        <v>400063.95329933759</v>
      </c>
      <c r="CY8" s="398">
        <f>CX8*(1+Macro!CY10)</f>
        <v>403956.88326576626</v>
      </c>
      <c r="CZ8" s="398">
        <f>CY8*(1+Macro!CZ10)</f>
        <v>407887.694434934</v>
      </c>
      <c r="DA8" s="398">
        <f>CZ8*(1+Macro!DA10)</f>
        <v>411856.75542007899</v>
      </c>
      <c r="DB8" s="71">
        <f t="shared" ref="DB8" si="28">DB4*1000/DB7</f>
        <v>405030.12228591839</v>
      </c>
    </row>
    <row r="9" spans="1:106" ht="11.25" customHeight="1" x14ac:dyDescent="0.35">
      <c r="A9" s="11" t="s">
        <v>55</v>
      </c>
      <c r="B9" s="401"/>
      <c r="C9" s="401"/>
      <c r="D9" s="401"/>
      <c r="E9" s="401"/>
      <c r="F9" s="91">
        <f t="shared" ref="F9:F10" si="29">SUM(B9:E9)</f>
        <v>0</v>
      </c>
      <c r="G9" s="401"/>
      <c r="H9" s="401"/>
      <c r="I9" s="401"/>
      <c r="J9" s="401"/>
      <c r="K9" s="91">
        <f t="shared" ref="K9:K10" si="30">SUM(G9:J9)</f>
        <v>0</v>
      </c>
      <c r="L9" s="401"/>
      <c r="M9" s="401"/>
      <c r="N9" s="401"/>
      <c r="O9" s="401"/>
      <c r="P9" s="91">
        <f t="shared" ref="P9:P10" si="31">SUM(L9:O9)</f>
        <v>0</v>
      </c>
      <c r="Q9" s="401"/>
      <c r="R9" s="401"/>
      <c r="S9" s="401"/>
      <c r="T9" s="401"/>
      <c r="U9" s="91">
        <f t="shared" ref="U9:U10" si="32">SUM(Q9:T9)</f>
        <v>0</v>
      </c>
      <c r="V9" s="401"/>
      <c r="W9" s="401"/>
      <c r="X9" s="401"/>
      <c r="Y9" s="401"/>
      <c r="Z9" s="91">
        <f t="shared" ref="Z9:Z10" si="33">SUM(V9:Y9)</f>
        <v>0</v>
      </c>
      <c r="AA9" s="401"/>
      <c r="AB9" s="401"/>
      <c r="AC9" s="401"/>
      <c r="AD9" s="401"/>
      <c r="AE9" s="91">
        <f t="shared" ref="AE9:AE10" si="34">SUM(AA9:AD9)</f>
        <v>0</v>
      </c>
      <c r="AF9" s="401"/>
      <c r="AG9" s="401"/>
      <c r="AH9" s="401"/>
      <c r="AI9" s="401"/>
      <c r="AJ9" s="91">
        <f>SUM(AF9:AI9)</f>
        <v>0</v>
      </c>
      <c r="AK9" s="401">
        <v>106704.6508</v>
      </c>
      <c r="AL9" s="401">
        <v>121129.54253999999</v>
      </c>
      <c r="AM9" s="401">
        <v>199324.48152999999</v>
      </c>
      <c r="AN9" s="401">
        <v>314044.11015999998</v>
      </c>
      <c r="AO9" s="91">
        <f>SUM(AK9:AN9)</f>
        <v>741202.78502999991</v>
      </c>
      <c r="AP9" s="401">
        <v>135061.90422</v>
      </c>
      <c r="AQ9" s="401">
        <v>210993.88013999999</v>
      </c>
      <c r="AR9" s="401">
        <v>208776.43979999999</v>
      </c>
      <c r="AS9" s="401">
        <v>331878.35210000002</v>
      </c>
      <c r="AT9" s="91">
        <f>SUM(AP9:AS9)</f>
        <v>886710.57626</v>
      </c>
      <c r="AU9" s="401">
        <v>186415.37328999999</v>
      </c>
      <c r="AV9" s="401">
        <v>205291.19581999999</v>
      </c>
      <c r="AW9" s="401">
        <v>261049.29123</v>
      </c>
      <c r="AX9" s="401">
        <v>329384.70366</v>
      </c>
      <c r="AY9" s="91">
        <f>SUM(AU9:AX9)</f>
        <v>982140.56400000001</v>
      </c>
      <c r="AZ9" s="401">
        <v>238877.79019999999</v>
      </c>
      <c r="BA9" s="401">
        <v>292082.20728999999</v>
      </c>
      <c r="BB9" s="401">
        <v>410345.60115</v>
      </c>
      <c r="BC9" s="401">
        <v>404604.91135000001</v>
      </c>
      <c r="BD9" s="91">
        <f>SUM(AZ9:BC9)</f>
        <v>1345910.5099899999</v>
      </c>
      <c r="BE9" s="401">
        <v>590373.32932000002</v>
      </c>
      <c r="BF9" s="401">
        <v>682578</v>
      </c>
      <c r="BG9" s="401">
        <v>682370.50876</v>
      </c>
      <c r="BH9" s="401">
        <v>611366.0959999999</v>
      </c>
      <c r="BI9" s="91">
        <f>SUM(BE9:BH9)</f>
        <v>2566687.93408</v>
      </c>
      <c r="BJ9" s="401">
        <v>753366.12115000002</v>
      </c>
      <c r="BK9" s="401">
        <v>897485.37751999998</v>
      </c>
      <c r="BL9" s="401">
        <v>885832.59664999985</v>
      </c>
      <c r="BM9" s="401">
        <v>753062.04715999996</v>
      </c>
      <c r="BN9" s="91">
        <f>SUM(BJ9:BM9)</f>
        <v>3289746.1424799999</v>
      </c>
      <c r="BO9" s="401">
        <v>1078891.9739699997</v>
      </c>
      <c r="BP9" s="401">
        <v>1193950.7560000001</v>
      </c>
      <c r="BQ9" s="401">
        <v>972643.94625000027</v>
      </c>
      <c r="BR9" s="401">
        <v>904671.58600000001</v>
      </c>
      <c r="BS9" s="91">
        <f>SUM(BO9:BR9)</f>
        <v>4150158.2622199999</v>
      </c>
      <c r="BT9" s="401">
        <v>1552135.31929</v>
      </c>
      <c r="BU9" s="401">
        <v>1749239.9412900002</v>
      </c>
      <c r="BV9" s="401">
        <v>1437151.16322</v>
      </c>
      <c r="BW9" s="401">
        <v>1423748</v>
      </c>
      <c r="BX9" s="91">
        <f>SUM(BT9:BW9)</f>
        <v>6162274.4238000009</v>
      </c>
      <c r="BY9" s="401">
        <v>2105578.8965500002</v>
      </c>
      <c r="BZ9" s="401">
        <v>2261363.1793000004</v>
      </c>
      <c r="CA9" s="401">
        <v>1827000</v>
      </c>
      <c r="CB9" s="401">
        <v>1556300</v>
      </c>
      <c r="CC9" s="91">
        <f>SUM(BY9:CB9)</f>
        <v>7750242.0758500006</v>
      </c>
      <c r="CD9" s="401">
        <v>2304600</v>
      </c>
      <c r="CE9" s="401">
        <v>2045500</v>
      </c>
      <c r="CF9" s="37">
        <f>CF14</f>
        <v>2236888.1258809459</v>
      </c>
      <c r="CG9" s="37">
        <f>CG14</f>
        <v>2107156.692646909</v>
      </c>
      <c r="CH9" s="91">
        <f>SUM(CD9:CG9)</f>
        <v>8694144.818527855</v>
      </c>
      <c r="CI9" s="37">
        <f>CI14</f>
        <v>2677205.7299608183</v>
      </c>
      <c r="CJ9" s="37">
        <f>CJ14</f>
        <v>2754040.9137713038</v>
      </c>
      <c r="CK9" s="37">
        <f>CK14</f>
        <v>2444414.5586170312</v>
      </c>
      <c r="CL9" s="37">
        <f>CL14</f>
        <v>2313018.3020845302</v>
      </c>
      <c r="CM9" s="91">
        <f>SUM(CI9:CL9)</f>
        <v>10188679.504433684</v>
      </c>
      <c r="CN9" s="37">
        <f>CN14</f>
        <v>2797993.3004742521</v>
      </c>
      <c r="CO9" s="37">
        <f>CO14</f>
        <v>2856395.8360295007</v>
      </c>
      <c r="CP9" s="37">
        <f>CP14</f>
        <v>2532600.3490619194</v>
      </c>
      <c r="CQ9" s="37">
        <f>CQ14</f>
        <v>2407496.8313266085</v>
      </c>
      <c r="CR9" s="91">
        <f>SUM(CN9:CQ9)</f>
        <v>10594486.316892281</v>
      </c>
      <c r="CS9" s="37">
        <f>CS14</f>
        <v>2992888.6057076892</v>
      </c>
      <c r="CT9" s="37">
        <f>CT14</f>
        <v>3022711.4263462462</v>
      </c>
      <c r="CU9" s="37">
        <f>CU14</f>
        <v>2666545.744521901</v>
      </c>
      <c r="CV9" s="37">
        <f>CV14</f>
        <v>2524086.3356028637</v>
      </c>
      <c r="CW9" s="91">
        <f>SUM(CS9:CV9)</f>
        <v>11206232.112178702</v>
      </c>
      <c r="CX9" s="37">
        <f>CX14</f>
        <v>3124727.0262734317</v>
      </c>
      <c r="CY9" s="37">
        <f>CY14</f>
        <v>3150737.4363616225</v>
      </c>
      <c r="CZ9" s="37">
        <f>CZ14</f>
        <v>2777341.2024561134</v>
      </c>
      <c r="DA9" s="37">
        <f>DA14</f>
        <v>2627249.5088047814</v>
      </c>
      <c r="DB9" s="91">
        <f>SUM(CX9:DA9)</f>
        <v>11680055.173895949</v>
      </c>
    </row>
    <row r="10" spans="1:106" ht="11.25" customHeight="1" outlineLevel="1" x14ac:dyDescent="0.35">
      <c r="A10" s="7" t="s">
        <v>56</v>
      </c>
      <c r="B10" s="403"/>
      <c r="C10" s="403"/>
      <c r="D10" s="403"/>
      <c r="E10" s="403"/>
      <c r="F10" s="93">
        <f t="shared" si="29"/>
        <v>0</v>
      </c>
      <c r="G10" s="403"/>
      <c r="H10" s="403"/>
      <c r="I10" s="403"/>
      <c r="J10" s="403"/>
      <c r="K10" s="93">
        <f t="shared" si="30"/>
        <v>0</v>
      </c>
      <c r="L10" s="403"/>
      <c r="M10" s="403"/>
      <c r="N10" s="403"/>
      <c r="O10" s="403"/>
      <c r="P10" s="93">
        <f t="shared" si="31"/>
        <v>0</v>
      </c>
      <c r="Q10" s="403"/>
      <c r="R10" s="403"/>
      <c r="S10" s="403"/>
      <c r="T10" s="403"/>
      <c r="U10" s="93">
        <f t="shared" si="32"/>
        <v>0</v>
      </c>
      <c r="V10" s="403"/>
      <c r="W10" s="403"/>
      <c r="X10" s="403"/>
      <c r="Y10" s="403"/>
      <c r="Z10" s="93">
        <f t="shared" si="33"/>
        <v>0</v>
      </c>
      <c r="AA10" s="403"/>
      <c r="AB10" s="403"/>
      <c r="AC10" s="403"/>
      <c r="AD10" s="403"/>
      <c r="AE10" s="93">
        <f t="shared" si="34"/>
        <v>0</v>
      </c>
      <c r="AF10" s="403"/>
      <c r="AG10" s="403"/>
      <c r="AH10" s="403"/>
      <c r="AI10" s="403"/>
      <c r="AJ10" s="93">
        <f>SUM(AF10:AI10)</f>
        <v>0</v>
      </c>
      <c r="AK10" s="403">
        <v>76643.312999999995</v>
      </c>
      <c r="AL10" s="403">
        <v>108949.883</v>
      </c>
      <c r="AM10" s="403">
        <v>152389.76999999999</v>
      </c>
      <c r="AN10" s="403">
        <v>269773.94099999999</v>
      </c>
      <c r="AO10" s="93">
        <f>SUM(AK10:AN10)</f>
        <v>607756.90700000001</v>
      </c>
      <c r="AP10" s="403">
        <v>119783.421</v>
      </c>
      <c r="AQ10" s="403">
        <v>153173.89000000001</v>
      </c>
      <c r="AR10" s="403">
        <v>162403.63800000001</v>
      </c>
      <c r="AS10" s="403">
        <v>258519.851</v>
      </c>
      <c r="AT10" s="93">
        <f>SUM(AP10:AS10)</f>
        <v>693880.8</v>
      </c>
      <c r="AU10" s="403">
        <v>146105.07500000001</v>
      </c>
      <c r="AV10" s="403">
        <v>155860.269</v>
      </c>
      <c r="AW10" s="403">
        <v>202581.41699999999</v>
      </c>
      <c r="AX10" s="403">
        <v>256729.80900000001</v>
      </c>
      <c r="AY10" s="93">
        <f>SUM(AU10:AX10)</f>
        <v>761276.57000000007</v>
      </c>
      <c r="AZ10" s="403">
        <v>173740.307</v>
      </c>
      <c r="BA10" s="403">
        <v>248207.36499999999</v>
      </c>
      <c r="BB10" s="403">
        <v>363318.772</v>
      </c>
      <c r="BC10" s="403">
        <v>370036.63400000002</v>
      </c>
      <c r="BD10" s="93">
        <f>SUM(AZ10:BC10)</f>
        <v>1155303.078</v>
      </c>
      <c r="BE10" s="403">
        <v>526078.97699999996</v>
      </c>
      <c r="BF10" s="403">
        <v>618279.07200000004</v>
      </c>
      <c r="BG10" s="403">
        <v>639576.98199999996</v>
      </c>
      <c r="BH10" s="403">
        <v>565420.45200000005</v>
      </c>
      <c r="BI10" s="93">
        <f>SUM(BE10:BH10)</f>
        <v>2349355.483</v>
      </c>
      <c r="BJ10" s="403">
        <v>707012.38800000004</v>
      </c>
      <c r="BK10" s="403">
        <v>844809.69700000004</v>
      </c>
      <c r="BL10" s="403">
        <v>836735.12100000004</v>
      </c>
      <c r="BM10" s="403">
        <v>719681.96428100043</v>
      </c>
      <c r="BN10" s="93">
        <f>SUM(BJ10:BM10)</f>
        <v>3108239.1702810004</v>
      </c>
      <c r="BO10" s="403">
        <v>1061205.8846230498</v>
      </c>
      <c r="BP10" s="403">
        <v>1132517</v>
      </c>
      <c r="BQ10" s="403">
        <v>873639.20862794993</v>
      </c>
      <c r="BR10" s="403">
        <v>850285.46400000004</v>
      </c>
      <c r="BS10" s="93">
        <f>SUM(BO10:BR10)</f>
        <v>3917647.5572509998</v>
      </c>
      <c r="BT10" s="403">
        <v>1327315.3189665</v>
      </c>
      <c r="BU10" s="403">
        <v>1635318.6456909999</v>
      </c>
      <c r="BV10" s="403">
        <v>1359583.3140795005</v>
      </c>
      <c r="BW10" s="403">
        <v>1177287</v>
      </c>
      <c r="BX10" s="93">
        <f>SUM(BT10:BW10)</f>
        <v>5499504.2787370002</v>
      </c>
      <c r="BY10" s="403">
        <v>1919242</v>
      </c>
      <c r="BZ10" s="403">
        <v>2007235.8972825999</v>
      </c>
      <c r="CA10" s="403">
        <v>1630200</v>
      </c>
      <c r="CB10" s="403">
        <v>1434700</v>
      </c>
      <c r="CC10" s="93">
        <f>SUM(BY10:CB10)</f>
        <v>6991377.8972826004</v>
      </c>
      <c r="CD10" s="403">
        <v>1893600</v>
      </c>
      <c r="CE10" s="403">
        <v>1748800</v>
      </c>
      <c r="CF10" s="92">
        <f>CF9*CF11</f>
        <v>1952361.1786748171</v>
      </c>
      <c r="CG10" s="92">
        <f>CG9*CG11</f>
        <v>1828242.5642379744</v>
      </c>
      <c r="CH10" s="93">
        <f>SUM(CD10:CG10)</f>
        <v>7423003.7429127917</v>
      </c>
      <c r="CI10" s="92">
        <f>CI9*CI11</f>
        <v>2312625.3842038759</v>
      </c>
      <c r="CJ10" s="92">
        <f>CJ9*CJ11</f>
        <v>2349443.8494638088</v>
      </c>
      <c r="CK10" s="92">
        <f>CK9*CK11</f>
        <v>2082361.8041120158</v>
      </c>
      <c r="CL10" s="92">
        <f>CL9*CL11</f>
        <v>1966065.5567718507</v>
      </c>
      <c r="CM10" s="93">
        <f>SUM(CI10:CL10)</f>
        <v>8710496.5945515502</v>
      </c>
      <c r="CN10" s="92">
        <f>CN9*CN11</f>
        <v>2378294.3054031143</v>
      </c>
      <c r="CO10" s="92">
        <f>CO9*CO11</f>
        <v>2427936.4606250757</v>
      </c>
      <c r="CP10" s="92">
        <f>CP9*CP11</f>
        <v>2152710.2967026313</v>
      </c>
      <c r="CQ10" s="92">
        <f>CQ9*CQ11</f>
        <v>2046372.3066276172</v>
      </c>
      <c r="CR10" s="93">
        <f>SUM(CN10:CQ10)</f>
        <v>9005313.369358439</v>
      </c>
      <c r="CS10" s="92">
        <f>CS9*CS11</f>
        <v>2543955.3148515359</v>
      </c>
      <c r="CT10" s="92">
        <f>CT9*CT11</f>
        <v>2569304.7123943092</v>
      </c>
      <c r="CU10" s="92">
        <f>CU9*CU11</f>
        <v>2266563.882843616</v>
      </c>
      <c r="CV10" s="92">
        <f>CV9*CV11</f>
        <v>2145473.3852624339</v>
      </c>
      <c r="CW10" s="93">
        <f>SUM(CS10:CV10)</f>
        <v>9525297.2953518946</v>
      </c>
      <c r="CX10" s="92">
        <f>CX9*CX11</f>
        <v>2656017.972332417</v>
      </c>
      <c r="CY10" s="92">
        <f>CY9*CY11</f>
        <v>2678126.820907379</v>
      </c>
      <c r="CZ10" s="92">
        <f>CZ9*CZ11</f>
        <v>2360740.0220876965</v>
      </c>
      <c r="DA10" s="92">
        <f>DA9*DA11</f>
        <v>2233162.0824840642</v>
      </c>
      <c r="DB10" s="93">
        <f>SUM(CX10:DA10)</f>
        <v>9928046.8978115581</v>
      </c>
    </row>
    <row r="11" spans="1:106" ht="11.25" customHeight="1" outlineLevel="1" x14ac:dyDescent="0.35">
      <c r="A11" s="7" t="s">
        <v>60</v>
      </c>
      <c r="B11" s="21" t="e">
        <f t="shared" ref="B11:AE11" si="35">B10/B9</f>
        <v>#DIV/0!</v>
      </c>
      <c r="C11" s="21" t="e">
        <f t="shared" si="35"/>
        <v>#DIV/0!</v>
      </c>
      <c r="D11" s="21" t="e">
        <f t="shared" si="35"/>
        <v>#DIV/0!</v>
      </c>
      <c r="E11" s="21" t="e">
        <f t="shared" si="35"/>
        <v>#DIV/0!</v>
      </c>
      <c r="F11" s="22" t="e">
        <f t="shared" si="35"/>
        <v>#DIV/0!</v>
      </c>
      <c r="G11" s="21" t="e">
        <f t="shared" si="35"/>
        <v>#DIV/0!</v>
      </c>
      <c r="H11" s="21" t="e">
        <f t="shared" si="35"/>
        <v>#DIV/0!</v>
      </c>
      <c r="I11" s="21" t="e">
        <f t="shared" si="35"/>
        <v>#DIV/0!</v>
      </c>
      <c r="J11" s="21" t="e">
        <f t="shared" si="35"/>
        <v>#DIV/0!</v>
      </c>
      <c r="K11" s="22" t="e">
        <f t="shared" si="35"/>
        <v>#DIV/0!</v>
      </c>
      <c r="L11" s="21" t="e">
        <f t="shared" si="35"/>
        <v>#DIV/0!</v>
      </c>
      <c r="M11" s="21" t="e">
        <f t="shared" si="35"/>
        <v>#DIV/0!</v>
      </c>
      <c r="N11" s="21" t="e">
        <f t="shared" si="35"/>
        <v>#DIV/0!</v>
      </c>
      <c r="O11" s="21" t="e">
        <f t="shared" si="35"/>
        <v>#DIV/0!</v>
      </c>
      <c r="P11" s="22" t="e">
        <f t="shared" si="35"/>
        <v>#DIV/0!</v>
      </c>
      <c r="Q11" s="21" t="e">
        <f t="shared" si="35"/>
        <v>#DIV/0!</v>
      </c>
      <c r="R11" s="21" t="e">
        <f t="shared" si="35"/>
        <v>#DIV/0!</v>
      </c>
      <c r="S11" s="21" t="e">
        <f t="shared" si="35"/>
        <v>#DIV/0!</v>
      </c>
      <c r="T11" s="21" t="e">
        <f t="shared" si="35"/>
        <v>#DIV/0!</v>
      </c>
      <c r="U11" s="22" t="e">
        <f t="shared" si="35"/>
        <v>#DIV/0!</v>
      </c>
      <c r="V11" s="21" t="e">
        <f t="shared" si="35"/>
        <v>#DIV/0!</v>
      </c>
      <c r="W11" s="21" t="e">
        <f t="shared" si="35"/>
        <v>#DIV/0!</v>
      </c>
      <c r="X11" s="21" t="e">
        <f t="shared" si="35"/>
        <v>#DIV/0!</v>
      </c>
      <c r="Y11" s="21" t="e">
        <f t="shared" si="35"/>
        <v>#DIV/0!</v>
      </c>
      <c r="Z11" s="22" t="e">
        <f t="shared" si="35"/>
        <v>#DIV/0!</v>
      </c>
      <c r="AA11" s="21" t="e">
        <f t="shared" si="35"/>
        <v>#DIV/0!</v>
      </c>
      <c r="AB11" s="21" t="e">
        <f t="shared" si="35"/>
        <v>#DIV/0!</v>
      </c>
      <c r="AC11" s="21" t="e">
        <f t="shared" si="35"/>
        <v>#DIV/0!</v>
      </c>
      <c r="AD11" s="21" t="e">
        <f t="shared" si="35"/>
        <v>#DIV/0!</v>
      </c>
      <c r="AE11" s="22" t="e">
        <f t="shared" si="35"/>
        <v>#DIV/0!</v>
      </c>
      <c r="AF11" s="21" t="e">
        <f t="shared" ref="AF11:BM11" si="36">AF10/AF9</f>
        <v>#DIV/0!</v>
      </c>
      <c r="AG11" s="21" t="e">
        <f t="shared" si="36"/>
        <v>#DIV/0!</v>
      </c>
      <c r="AH11" s="21" t="e">
        <f t="shared" si="36"/>
        <v>#DIV/0!</v>
      </c>
      <c r="AI11" s="21" t="e">
        <f t="shared" si="36"/>
        <v>#DIV/0!</v>
      </c>
      <c r="AJ11" s="22" t="e">
        <f t="shared" si="36"/>
        <v>#DIV/0!</v>
      </c>
      <c r="AK11" s="21">
        <f t="shared" si="36"/>
        <v>0.71827528064971646</v>
      </c>
      <c r="AL11" s="21">
        <f t="shared" si="36"/>
        <v>0.89944930621711905</v>
      </c>
      <c r="AM11" s="21">
        <f t="shared" si="36"/>
        <v>0.7645311244773717</v>
      </c>
      <c r="AN11" s="21">
        <f t="shared" si="36"/>
        <v>0.85903200306019079</v>
      </c>
      <c r="AO11" s="22">
        <f t="shared" si="36"/>
        <v>0.81996036614379597</v>
      </c>
      <c r="AP11" s="21">
        <f t="shared" si="36"/>
        <v>0.88687792232580154</v>
      </c>
      <c r="AQ11" s="21">
        <f t="shared" si="36"/>
        <v>0.72596366254018885</v>
      </c>
      <c r="AR11" s="21">
        <f t="shared" si="36"/>
        <v>0.77788297451367883</v>
      </c>
      <c r="AS11" s="21">
        <f t="shared" si="36"/>
        <v>0.77895966809580885</v>
      </c>
      <c r="AT11" s="22">
        <f t="shared" si="36"/>
        <v>0.78253357812272373</v>
      </c>
      <c r="AU11" s="21">
        <f t="shared" si="36"/>
        <v>0.7837608691892024</v>
      </c>
      <c r="AV11" s="21">
        <f t="shared" si="36"/>
        <v>0.75921555416657427</v>
      </c>
      <c r="AW11" s="21">
        <f t="shared" si="36"/>
        <v>0.77602745460631672</v>
      </c>
      <c r="AX11" s="21">
        <f t="shared" si="36"/>
        <v>0.77942237798936653</v>
      </c>
      <c r="AY11" s="22">
        <f t="shared" si="36"/>
        <v>0.77511977195964799</v>
      </c>
      <c r="AZ11" s="21">
        <f t="shared" si="36"/>
        <v>0.72731879700719038</v>
      </c>
      <c r="BA11" s="21">
        <f t="shared" si="36"/>
        <v>0.84978598081314161</v>
      </c>
      <c r="BB11" s="21">
        <f t="shared" si="36"/>
        <v>0.88539701895620038</v>
      </c>
      <c r="BC11" s="21">
        <f t="shared" si="36"/>
        <v>0.91456288250515827</v>
      </c>
      <c r="BD11" s="22">
        <f t="shared" si="36"/>
        <v>0.85838030792150055</v>
      </c>
      <c r="BE11" s="21">
        <f t="shared" si="36"/>
        <v>0.89109543211571707</v>
      </c>
      <c r="BF11" s="21">
        <f t="shared" si="36"/>
        <v>0.90579988221126384</v>
      </c>
      <c r="BG11" s="21">
        <f t="shared" si="36"/>
        <v>0.9372869632983345</v>
      </c>
      <c r="BH11" s="21">
        <f t="shared" si="36"/>
        <v>0.92484757610765533</v>
      </c>
      <c r="BI11" s="22">
        <f t="shared" si="36"/>
        <v>0.91532572067125861</v>
      </c>
      <c r="BJ11" s="21">
        <f t="shared" si="36"/>
        <v>0.93847117377770872</v>
      </c>
      <c r="BK11" s="21">
        <f t="shared" si="36"/>
        <v>0.94130747771561762</v>
      </c>
      <c r="BL11" s="21">
        <f t="shared" si="36"/>
        <v>0.94457476972999832</v>
      </c>
      <c r="BM11" s="21">
        <f t="shared" si="36"/>
        <v>0.95567419310947244</v>
      </c>
      <c r="BN11" s="22">
        <f t="shared" ref="BN11:BW11" si="37">BN10/BN9</f>
        <v>0.94482645032842283</v>
      </c>
      <c r="BO11" s="21">
        <f t="shared" si="37"/>
        <v>0.98360717312422818</v>
      </c>
      <c r="BP11" s="21">
        <f t="shared" si="37"/>
        <v>0.94854582092998818</v>
      </c>
      <c r="BQ11" s="21">
        <f t="shared" si="37"/>
        <v>0.89821070906392808</v>
      </c>
      <c r="BR11" s="21">
        <f t="shared" si="37"/>
        <v>0.93988302181516736</v>
      </c>
      <c r="BS11" s="22">
        <f t="shared" si="37"/>
        <v>0.94397546062625926</v>
      </c>
      <c r="BT11" s="21">
        <f t="shared" si="37"/>
        <v>0.85515438149662082</v>
      </c>
      <c r="BU11" s="21">
        <f t="shared" si="37"/>
        <v>0.93487383125096746</v>
      </c>
      <c r="BV11" s="21">
        <f t="shared" si="37"/>
        <v>0.94602665945960385</v>
      </c>
      <c r="BW11" s="21">
        <f t="shared" si="37"/>
        <v>0.82689282092055616</v>
      </c>
      <c r="BX11" s="22">
        <f>BX10/BX9</f>
        <v>0.8924471551440093</v>
      </c>
      <c r="BY11" s="21">
        <f>BY10/BY9</f>
        <v>0.91150324651557157</v>
      </c>
      <c r="BZ11" s="21">
        <f t="shared" ref="BZ11:CB11" si="38">BZ10/BZ9</f>
        <v>0.88762208373090035</v>
      </c>
      <c r="CA11" s="21">
        <f t="shared" si="38"/>
        <v>0.89228243021346465</v>
      </c>
      <c r="CB11" s="21">
        <f t="shared" si="38"/>
        <v>0.9218659641457303</v>
      </c>
      <c r="CC11" s="22">
        <f>CC10/CC9</f>
        <v>0.90208509990519592</v>
      </c>
      <c r="CD11" s="21">
        <f>CD10/CD9</f>
        <v>0.82166102577453792</v>
      </c>
      <c r="CE11" s="21">
        <f t="shared" ref="CE11" si="39">CE10/CE9</f>
        <v>0.85494989000244437</v>
      </c>
      <c r="CF11" s="21">
        <f>AVERAGE(BZ6:CB6,CD6:CF6)</f>
        <v>0.87280233467461654</v>
      </c>
      <c r="CG11" s="21">
        <f>AVERAGE(CA6:CB6,CD6:CG6)</f>
        <v>0.86763484206835317</v>
      </c>
      <c r="CH11" s="22">
        <f>CH10/CH9</f>
        <v>0.85379343199964086</v>
      </c>
      <c r="CI11" s="21">
        <f t="shared" ref="CI11" si="40">AVERAGE(CB6,CD6:CG6,CI6)</f>
        <v>0.86382057169649118</v>
      </c>
      <c r="CJ11" s="21">
        <f t="shared" ref="CJ11" si="41">AVERAGE(CD6:CG6,CI6:CJ6)</f>
        <v>0.85308966824554122</v>
      </c>
      <c r="CK11" s="21">
        <f t="shared" ref="CK11" si="42">AVERAGE(CE6:CG6,CI6:CK6)</f>
        <v>0.85188569867221997</v>
      </c>
      <c r="CL11" s="21">
        <f t="shared" ref="CL11" si="43">AVERAGE(CF6:CG6,CI6:CL6)</f>
        <v>0.85</v>
      </c>
      <c r="CM11" s="22">
        <f t="shared" ref="CM11" si="44">CM10/CM9</f>
        <v>0.85491908846098352</v>
      </c>
      <c r="CN11" s="21">
        <f t="shared" ref="CN11" si="45">AVERAGE(CG6,CI6:CL6,CN6)</f>
        <v>0.85</v>
      </c>
      <c r="CO11" s="21">
        <f t="shared" ref="CO11" si="46">AVERAGE(CI6:CL6,CN6:CO6)</f>
        <v>0.85</v>
      </c>
      <c r="CP11" s="21">
        <f t="shared" ref="CP11" si="47">AVERAGE(CJ6:CL6,CN6:CP6)</f>
        <v>0.85</v>
      </c>
      <c r="CQ11" s="21">
        <f t="shared" ref="CQ11" si="48">AVERAGE(CK6:CL6,CN6:CQ6)</f>
        <v>0.85</v>
      </c>
      <c r="CR11" s="22">
        <f t="shared" ref="CR11" si="49">CR10/CR9</f>
        <v>0.85</v>
      </c>
      <c r="CS11" s="21">
        <f t="shared" ref="CS11" si="50">AVERAGE(CL6,CN6:CQ6,CS6)</f>
        <v>0.85</v>
      </c>
      <c r="CT11" s="21">
        <f t="shared" ref="CT11" si="51">AVERAGE(CN6:CQ6,CS6:CT6)</f>
        <v>0.85</v>
      </c>
      <c r="CU11" s="21">
        <f t="shared" ref="CU11" si="52">AVERAGE(CO6:CQ6,CS6:CU6)</f>
        <v>0.85</v>
      </c>
      <c r="CV11" s="21">
        <f t="shared" ref="CV11" si="53">AVERAGE(CP6:CQ6,CS6:CV6)</f>
        <v>0.85</v>
      </c>
      <c r="CW11" s="22">
        <f t="shared" ref="CW11" si="54">CW10/CW9</f>
        <v>0.84999999999999987</v>
      </c>
      <c r="CX11" s="21">
        <f t="shared" ref="CX11" si="55">AVERAGE(CQ6,CS6:CV6,CX6)</f>
        <v>0.85</v>
      </c>
      <c r="CY11" s="21">
        <f t="shared" ref="CY11" si="56">AVERAGE(CS6:CV6,CX6:CY6)</f>
        <v>0.85</v>
      </c>
      <c r="CZ11" s="21">
        <f t="shared" ref="CZ11" si="57">AVERAGE(CT6:CV6,CX6:CZ6)</f>
        <v>0.85</v>
      </c>
      <c r="DA11" s="21">
        <f t="shared" ref="DA11" si="58">AVERAGE(CU6:CV6,CX6:DA6)</f>
        <v>0.85</v>
      </c>
      <c r="DB11" s="22">
        <f t="shared" ref="DB11" si="59">DB10/DB9</f>
        <v>0.85000000000000009</v>
      </c>
    </row>
    <row r="12" spans="1:106" ht="11.25" customHeight="1" x14ac:dyDescent="0.35">
      <c r="A12" s="7" t="s">
        <v>32</v>
      </c>
      <c r="B12" s="403"/>
      <c r="C12" s="403"/>
      <c r="D12" s="403"/>
      <c r="E12" s="403"/>
      <c r="F12" s="93">
        <f t="shared" ref="F12" si="60">SUM(B12:E12)</f>
        <v>0</v>
      </c>
      <c r="G12" s="403"/>
      <c r="H12" s="403"/>
      <c r="I12" s="403"/>
      <c r="J12" s="403"/>
      <c r="K12" s="93">
        <f t="shared" ref="K12" si="61">SUM(G12:J12)</f>
        <v>0</v>
      </c>
      <c r="L12" s="403"/>
      <c r="M12" s="403"/>
      <c r="N12" s="403"/>
      <c r="O12" s="403"/>
      <c r="P12" s="93">
        <f t="shared" ref="P12" si="62">SUM(L12:O12)</f>
        <v>0</v>
      </c>
      <c r="Q12" s="403"/>
      <c r="R12" s="403"/>
      <c r="S12" s="403"/>
      <c r="T12" s="403"/>
      <c r="U12" s="93">
        <f t="shared" ref="U12" si="63">SUM(Q12:T12)</f>
        <v>0</v>
      </c>
      <c r="V12" s="403"/>
      <c r="W12" s="403"/>
      <c r="X12" s="403"/>
      <c r="Y12" s="403"/>
      <c r="Z12" s="93">
        <f t="shared" ref="Z12" si="64">SUM(V12:Y12)</f>
        <v>0</v>
      </c>
      <c r="AA12" s="403"/>
      <c r="AB12" s="403"/>
      <c r="AC12" s="403"/>
      <c r="AD12" s="403"/>
      <c r="AE12" s="93">
        <f t="shared" ref="AE12" si="65">SUM(AA12:AD12)</f>
        <v>0</v>
      </c>
      <c r="AF12" s="403"/>
      <c r="AG12" s="403"/>
      <c r="AH12" s="403"/>
      <c r="AI12" s="403"/>
      <c r="AJ12" s="93">
        <f>SUM(AF12:AI12)</f>
        <v>0</v>
      </c>
      <c r="AK12" s="403">
        <v>561</v>
      </c>
      <c r="AL12" s="403">
        <v>589</v>
      </c>
      <c r="AM12" s="403">
        <v>1055</v>
      </c>
      <c r="AN12" s="403">
        <v>1701</v>
      </c>
      <c r="AO12" s="93">
        <f>SUM(AK12:AN12)</f>
        <v>3906</v>
      </c>
      <c r="AP12" s="403">
        <v>698</v>
      </c>
      <c r="AQ12" s="403">
        <v>1085</v>
      </c>
      <c r="AR12" s="403">
        <v>1130</v>
      </c>
      <c r="AS12" s="403">
        <v>1651</v>
      </c>
      <c r="AT12" s="93">
        <f>SUM(AP12:AS12)</f>
        <v>4564</v>
      </c>
      <c r="AU12" s="403">
        <v>973</v>
      </c>
      <c r="AV12" s="403">
        <v>1097</v>
      </c>
      <c r="AW12" s="403">
        <v>1420</v>
      </c>
      <c r="AX12" s="403">
        <v>1703</v>
      </c>
      <c r="AY12" s="93">
        <f>SUM(AU12:AX12)</f>
        <v>5193</v>
      </c>
      <c r="AZ12" s="403">
        <v>1280</v>
      </c>
      <c r="BA12" s="403">
        <v>1622</v>
      </c>
      <c r="BB12" s="403">
        <v>2131</v>
      </c>
      <c r="BC12" s="403">
        <v>2068</v>
      </c>
      <c r="BD12" s="93">
        <f>SUM(AZ12:BC12)</f>
        <v>7101</v>
      </c>
      <c r="BE12" s="403">
        <v>2874</v>
      </c>
      <c r="BF12" s="403">
        <v>3253</v>
      </c>
      <c r="BG12" s="403">
        <v>3080</v>
      </c>
      <c r="BH12" s="403">
        <v>2667</v>
      </c>
      <c r="BI12" s="93">
        <f>SUM(BE12:BH12)</f>
        <v>11874</v>
      </c>
      <c r="BJ12" s="403">
        <v>3264</v>
      </c>
      <c r="BK12" s="403">
        <v>3734</v>
      </c>
      <c r="BL12" s="403">
        <v>3465</v>
      </c>
      <c r="BM12" s="403">
        <v>3073</v>
      </c>
      <c r="BN12" s="93">
        <f>SUM(BJ12:BM12)</f>
        <v>13536</v>
      </c>
      <c r="BO12" s="403">
        <v>4014</v>
      </c>
      <c r="BP12" s="403">
        <v>4292.47</v>
      </c>
      <c r="BQ12" s="403">
        <v>3496</v>
      </c>
      <c r="BR12" s="403">
        <v>3215</v>
      </c>
      <c r="BS12" s="93">
        <f>SUM(BO12:BR12)</f>
        <v>15017.470000000001</v>
      </c>
      <c r="BT12" s="403">
        <v>5321</v>
      </c>
      <c r="BU12" s="403">
        <v>5769</v>
      </c>
      <c r="BV12" s="403">
        <v>4688</v>
      </c>
      <c r="BW12" s="403">
        <v>4464</v>
      </c>
      <c r="BX12" s="93">
        <f>SUM(BT12:BW12)</f>
        <v>20242</v>
      </c>
      <c r="BY12" s="403">
        <v>6790</v>
      </c>
      <c r="BZ12" s="403">
        <v>7712</v>
      </c>
      <c r="CA12" s="403">
        <f>6847</f>
        <v>6847</v>
      </c>
      <c r="CB12" s="403">
        <v>5445</v>
      </c>
      <c r="CC12" s="93">
        <f>SUM(BY12:CB12)</f>
        <v>26794</v>
      </c>
      <c r="CD12" s="403">
        <f>7786*0.91</f>
        <v>7085.26</v>
      </c>
      <c r="CE12" s="403">
        <v>6697</v>
      </c>
      <c r="CF12" s="85">
        <f>CF9/CF13*1000</f>
        <v>6751.207996466328</v>
      </c>
      <c r="CG12" s="85">
        <f>CG9/CG13*1000</f>
        <v>6319.0462046194925</v>
      </c>
      <c r="CH12" s="93">
        <f>SUM(CD12:CG12)</f>
        <v>26852.514201085822</v>
      </c>
      <c r="CI12" s="85">
        <f>CI9/CI13*1000</f>
        <v>7778.490888035104</v>
      </c>
      <c r="CJ12" s="85">
        <f>CJ9/CJ13*1000</f>
        <v>7912.3124440468209</v>
      </c>
      <c r="CK12" s="85">
        <f>CK9/CK13*1000</f>
        <v>6920.4822549219489</v>
      </c>
      <c r="CL12" s="85">
        <f>CL9/CL13*1000</f>
        <v>6481.5711579754079</v>
      </c>
      <c r="CM12" s="93">
        <f>SUM(CI12:CL12)</f>
        <v>29092.856744979283</v>
      </c>
      <c r="CN12" s="85">
        <f>CN9/CN13*1000</f>
        <v>7756.1630328956207</v>
      </c>
      <c r="CO12" s="85">
        <f>CO9/CO13*1000</f>
        <v>7834.0996744374497</v>
      </c>
      <c r="CP12" s="85">
        <f>CP9/CP13*1000</f>
        <v>6878.2571520959427</v>
      </c>
      <c r="CQ12" s="85">
        <f>CQ9/CQ13*1000</f>
        <v>6475.7725922570035</v>
      </c>
      <c r="CR12" s="93">
        <f>SUM(CN12:CQ12)</f>
        <v>28944.292451686015</v>
      </c>
      <c r="CS12" s="85">
        <f>CS9/CS13*1000</f>
        <v>7967.5482785875165</v>
      </c>
      <c r="CT12" s="85">
        <f>CT9/CT13*1000</f>
        <v>7968.7541747809846</v>
      </c>
      <c r="CU12" s="85">
        <f>CU9/CU13*1000</f>
        <v>6961.6342572357025</v>
      </c>
      <c r="CV12" s="85">
        <f>CV9/CV13*1000</f>
        <v>6525.9469525952718</v>
      </c>
      <c r="CW12" s="93">
        <f>SUM(CS12:CV12)</f>
        <v>29423.883663199478</v>
      </c>
      <c r="CX12" s="85">
        <f>CX9/CX13*1000</f>
        <v>8000.8706237116057</v>
      </c>
      <c r="CY12" s="85">
        <f>CY9/CY13*1000</f>
        <v>7989.7241762537042</v>
      </c>
      <c r="CZ12" s="85">
        <f>CZ9/CZ13*1000</f>
        <v>6974.9840698116259</v>
      </c>
      <c r="DA12" s="85">
        <f>DA9/DA13*1000</f>
        <v>6534.4601226162777</v>
      </c>
      <c r="DB12" s="93">
        <f>SUM(CX12:DA12)</f>
        <v>29500.038992393216</v>
      </c>
    </row>
    <row r="13" spans="1:106" ht="11.25" customHeight="1" x14ac:dyDescent="0.35">
      <c r="A13" s="75" t="s">
        <v>62</v>
      </c>
      <c r="B13" s="88" t="e">
        <f t="shared" ref="B13:AE13" si="66">B9/B12*1000</f>
        <v>#DIV/0!</v>
      </c>
      <c r="C13" s="88" t="e">
        <f t="shared" si="66"/>
        <v>#DIV/0!</v>
      </c>
      <c r="D13" s="88" t="e">
        <f t="shared" si="66"/>
        <v>#DIV/0!</v>
      </c>
      <c r="E13" s="88" t="e">
        <f t="shared" si="66"/>
        <v>#DIV/0!</v>
      </c>
      <c r="F13" s="133" t="e">
        <f t="shared" si="66"/>
        <v>#DIV/0!</v>
      </c>
      <c r="G13" s="88" t="e">
        <f t="shared" si="66"/>
        <v>#DIV/0!</v>
      </c>
      <c r="H13" s="88" t="e">
        <f t="shared" si="66"/>
        <v>#DIV/0!</v>
      </c>
      <c r="I13" s="88" t="e">
        <f t="shared" si="66"/>
        <v>#DIV/0!</v>
      </c>
      <c r="J13" s="88" t="e">
        <f t="shared" si="66"/>
        <v>#DIV/0!</v>
      </c>
      <c r="K13" s="133" t="e">
        <f t="shared" si="66"/>
        <v>#DIV/0!</v>
      </c>
      <c r="L13" s="88" t="e">
        <f t="shared" si="66"/>
        <v>#DIV/0!</v>
      </c>
      <c r="M13" s="88" t="e">
        <f t="shared" si="66"/>
        <v>#DIV/0!</v>
      </c>
      <c r="N13" s="88" t="e">
        <f t="shared" si="66"/>
        <v>#DIV/0!</v>
      </c>
      <c r="O13" s="88" t="e">
        <f t="shared" si="66"/>
        <v>#DIV/0!</v>
      </c>
      <c r="P13" s="133" t="e">
        <f t="shared" si="66"/>
        <v>#DIV/0!</v>
      </c>
      <c r="Q13" s="88" t="e">
        <f t="shared" si="66"/>
        <v>#DIV/0!</v>
      </c>
      <c r="R13" s="88" t="e">
        <f t="shared" si="66"/>
        <v>#DIV/0!</v>
      </c>
      <c r="S13" s="88" t="e">
        <f t="shared" si="66"/>
        <v>#DIV/0!</v>
      </c>
      <c r="T13" s="88" t="e">
        <f t="shared" si="66"/>
        <v>#DIV/0!</v>
      </c>
      <c r="U13" s="133" t="e">
        <f t="shared" si="66"/>
        <v>#DIV/0!</v>
      </c>
      <c r="V13" s="88" t="e">
        <f t="shared" si="66"/>
        <v>#DIV/0!</v>
      </c>
      <c r="W13" s="88" t="e">
        <f t="shared" si="66"/>
        <v>#DIV/0!</v>
      </c>
      <c r="X13" s="88" t="e">
        <f t="shared" si="66"/>
        <v>#DIV/0!</v>
      </c>
      <c r="Y13" s="88" t="e">
        <f t="shared" si="66"/>
        <v>#DIV/0!</v>
      </c>
      <c r="Z13" s="133" t="e">
        <f t="shared" si="66"/>
        <v>#DIV/0!</v>
      </c>
      <c r="AA13" s="88" t="e">
        <f t="shared" si="66"/>
        <v>#DIV/0!</v>
      </c>
      <c r="AB13" s="88" t="e">
        <f t="shared" si="66"/>
        <v>#DIV/0!</v>
      </c>
      <c r="AC13" s="88" t="e">
        <f t="shared" si="66"/>
        <v>#DIV/0!</v>
      </c>
      <c r="AD13" s="88" t="e">
        <f t="shared" si="66"/>
        <v>#DIV/0!</v>
      </c>
      <c r="AE13" s="133" t="e">
        <f t="shared" si="66"/>
        <v>#DIV/0!</v>
      </c>
      <c r="AF13" s="88" t="e">
        <f t="shared" ref="AF13:BM13" si="67">AF9/AF12*1000</f>
        <v>#DIV/0!</v>
      </c>
      <c r="AG13" s="88" t="e">
        <f t="shared" si="67"/>
        <v>#DIV/0!</v>
      </c>
      <c r="AH13" s="88" t="e">
        <f t="shared" si="67"/>
        <v>#DIV/0!</v>
      </c>
      <c r="AI13" s="88" t="e">
        <f t="shared" si="67"/>
        <v>#DIV/0!</v>
      </c>
      <c r="AJ13" s="133" t="e">
        <f t="shared" si="67"/>
        <v>#DIV/0!</v>
      </c>
      <c r="AK13" s="88">
        <f t="shared" si="67"/>
        <v>190204.36862745098</v>
      </c>
      <c r="AL13" s="88">
        <f t="shared" si="67"/>
        <v>205652.87358234296</v>
      </c>
      <c r="AM13" s="88">
        <f t="shared" si="67"/>
        <v>188933.15784834122</v>
      </c>
      <c r="AN13" s="88">
        <f t="shared" si="67"/>
        <v>184623.22760728979</v>
      </c>
      <c r="AO13" s="133">
        <f t="shared" si="67"/>
        <v>189760.05761136711</v>
      </c>
      <c r="AP13" s="88">
        <f t="shared" si="67"/>
        <v>193498.43011461318</v>
      </c>
      <c r="AQ13" s="88">
        <f t="shared" si="67"/>
        <v>194464.40565898619</v>
      </c>
      <c r="AR13" s="88">
        <f t="shared" si="67"/>
        <v>184757.91132743363</v>
      </c>
      <c r="AS13" s="88">
        <f t="shared" si="67"/>
        <v>201016.56698970322</v>
      </c>
      <c r="AT13" s="133">
        <f t="shared" si="67"/>
        <v>194283.64948729184</v>
      </c>
      <c r="AU13" s="88">
        <f t="shared" si="67"/>
        <v>191588.25620760533</v>
      </c>
      <c r="AV13" s="88">
        <f t="shared" si="67"/>
        <v>187138.738213309</v>
      </c>
      <c r="AW13" s="88">
        <f t="shared" si="67"/>
        <v>183837.52903521128</v>
      </c>
      <c r="AX13" s="88">
        <f t="shared" si="67"/>
        <v>193414.38852613035</v>
      </c>
      <c r="AY13" s="133">
        <f t="shared" si="67"/>
        <v>189127.78047371461</v>
      </c>
      <c r="AZ13" s="88">
        <f t="shared" si="67"/>
        <v>186623.27359375</v>
      </c>
      <c r="BA13" s="88">
        <f t="shared" si="67"/>
        <v>180075.34358199753</v>
      </c>
      <c r="BB13" s="88">
        <f t="shared" si="67"/>
        <v>192560.11316283434</v>
      </c>
      <c r="BC13" s="88">
        <f t="shared" si="67"/>
        <v>195650.34397969051</v>
      </c>
      <c r="BD13" s="133">
        <f t="shared" si="67"/>
        <v>189538.16504576817</v>
      </c>
      <c r="BE13" s="88">
        <f t="shared" si="67"/>
        <v>205418.69496172582</v>
      </c>
      <c r="BF13" s="88">
        <f t="shared" si="67"/>
        <v>209830.31048263141</v>
      </c>
      <c r="BG13" s="88">
        <f t="shared" si="67"/>
        <v>221548.86648051947</v>
      </c>
      <c r="BH13" s="88">
        <f t="shared" si="67"/>
        <v>229233.63179602547</v>
      </c>
      <c r="BI13" s="133">
        <f t="shared" si="67"/>
        <v>216160.34479366682</v>
      </c>
      <c r="BJ13" s="88">
        <f t="shared" si="67"/>
        <v>230810.69888174019</v>
      </c>
      <c r="BK13" s="88">
        <f t="shared" si="67"/>
        <v>240354.94845206212</v>
      </c>
      <c r="BL13" s="88">
        <f t="shared" si="67"/>
        <v>255651.543044733</v>
      </c>
      <c r="BM13" s="88">
        <f t="shared" si="67"/>
        <v>245057.61378457531</v>
      </c>
      <c r="BN13" s="133">
        <f t="shared" ref="BN13:BW13" si="68">BN9/BN12*1000</f>
        <v>243036.80130614658</v>
      </c>
      <c r="BO13" s="88">
        <f t="shared" si="68"/>
        <v>268782.25559790723</v>
      </c>
      <c r="BP13" s="88">
        <f t="shared" si="68"/>
        <v>278150.05253385578</v>
      </c>
      <c r="BQ13" s="88">
        <f t="shared" si="68"/>
        <v>278216.23176487425</v>
      </c>
      <c r="BR13" s="88">
        <f t="shared" si="68"/>
        <v>281390.85101088649</v>
      </c>
      <c r="BS13" s="133">
        <f t="shared" si="68"/>
        <v>276355.35561049893</v>
      </c>
      <c r="BT13" s="88">
        <f t="shared" si="68"/>
        <v>291699.92845141888</v>
      </c>
      <c r="BU13" s="88">
        <f t="shared" si="68"/>
        <v>303213.71837233496</v>
      </c>
      <c r="BV13" s="88">
        <f t="shared" si="68"/>
        <v>306559.54846843</v>
      </c>
      <c r="BW13" s="88">
        <f t="shared" si="68"/>
        <v>318939.96415770607</v>
      </c>
      <c r="BX13" s="133">
        <f>BX9/BX12*1000</f>
        <v>304430.11677699839</v>
      </c>
      <c r="BY13" s="88">
        <f>BY9/BY12*1000</f>
        <v>310099.98476435937</v>
      </c>
      <c r="BZ13" s="88">
        <f t="shared" ref="BZ13:CB13" si="69">BZ9/BZ12*1000</f>
        <v>293226.55333246896</v>
      </c>
      <c r="CA13" s="88">
        <f t="shared" si="69"/>
        <v>266832.18927997665</v>
      </c>
      <c r="CB13" s="88">
        <f t="shared" si="69"/>
        <v>285821.85491276404</v>
      </c>
      <c r="CC13" s="133">
        <f>CC9/CC12*1000</f>
        <v>289252.89526946336</v>
      </c>
      <c r="CD13" s="88">
        <f>CD9/CD12*1000</f>
        <v>325266.82154218759</v>
      </c>
      <c r="CE13" s="88">
        <f t="shared" ref="CE13" si="70">CE9/CE12*1000</f>
        <v>305435.26952366735</v>
      </c>
      <c r="CF13" s="399">
        <f>AVERAGE(BZ8:CB8,CD8:CF8)</f>
        <v>331331.53756361274</v>
      </c>
      <c r="CG13" s="399">
        <f>AVERAGE(CA8:CB8,CD8:CG8)</f>
        <v>333461.19404958421</v>
      </c>
      <c r="CH13" s="133">
        <f>CH9/CH12*1000</f>
        <v>323773.95849869039</v>
      </c>
      <c r="CI13" s="399">
        <f t="shared" ref="CI13" si="71">AVERAGE(CB8,CD8:CG8,CI8)</f>
        <v>344180.6088734903</v>
      </c>
      <c r="CJ13" s="399">
        <f t="shared" ref="CJ13" si="72">AVERAGE(CD8:CG8,CI8:CJ8)</f>
        <v>348070.29338729271</v>
      </c>
      <c r="CK13" s="399">
        <f t="shared" ref="CK13" si="73">AVERAGE(CE8:CG8,CI8:CK8)</f>
        <v>353214.48254253197</v>
      </c>
      <c r="CL13" s="399">
        <f t="shared" ref="CL13" si="74">AVERAGE(CF8:CG8,CI8:CL8)</f>
        <v>356860.74343848258</v>
      </c>
      <c r="CM13" s="133">
        <f t="shared" ref="CM13" si="75">CM9/CM12*1000</f>
        <v>350212.41103082808</v>
      </c>
      <c r="CN13" s="399">
        <f t="shared" ref="CN13" si="76">AVERAGE(CG8,CI8:CL8,CN8)</f>
        <v>360744.518727538</v>
      </c>
      <c r="CO13" s="399">
        <f t="shared" ref="CO13" si="77">AVERAGE(CI8:CL8,CN8:CO8)</f>
        <v>364610.60680015059</v>
      </c>
      <c r="CP13" s="399">
        <f t="shared" ref="CP13" si="78">AVERAGE(CJ8:CL8,CN8:CP8)</f>
        <v>368203.7895733784</v>
      </c>
      <c r="CQ13" s="399">
        <f t="shared" ref="CQ13" si="79">AVERAGE(CK8:CL8,CN8:CQ8)</f>
        <v>371769.82314129145</v>
      </c>
      <c r="CR13" s="133">
        <f t="shared" ref="CR13" si="80">CR9/CR12*1000</f>
        <v>366030.24014412035</v>
      </c>
      <c r="CS13" s="399">
        <f t="shared" ref="CS13" si="81">AVERAGE(CL8,CN8:CQ8,CS8)</f>
        <v>375634.82530139963</v>
      </c>
      <c r="CT13" s="399">
        <f t="shared" ref="CT13" si="82">AVERAGE(CN8:CQ8,CS8:CT8)</f>
        <v>379320.45085696509</v>
      </c>
      <c r="CU13" s="399">
        <f t="shared" ref="CU13" si="83">AVERAGE(CO8:CQ8,CS8:CU8)</f>
        <v>383034.44938239577</v>
      </c>
      <c r="CV13" s="399">
        <f t="shared" ref="CV13" si="84">AVERAGE(CP8:CQ8,CS8:CV8)</f>
        <v>386777.02315662749</v>
      </c>
      <c r="CW13" s="133">
        <f t="shared" ref="CW13" si="85">CW9/CW12*1000</f>
        <v>380854.96260285866</v>
      </c>
      <c r="CX13" s="399">
        <f t="shared" ref="CX13" si="86">AVERAGE(CQ8,CS8:CV8,CX8)</f>
        <v>390548.37569962727</v>
      </c>
      <c r="CY13" s="399">
        <f t="shared" ref="CY13" si="87">AVERAGE(CS8:CV8,CX8:CY8)</f>
        <v>394348.71177730314</v>
      </c>
      <c r="CZ13" s="399">
        <f t="shared" ref="CZ13" si="88">AVERAGE(CT8:CV8,CX8:CZ8)</f>
        <v>398186.02804796392</v>
      </c>
      <c r="DA13" s="399">
        <f t="shared" ref="DA13" si="89">AVERAGE(CU8:CV8,CX8:DA8)</f>
        <v>402060.68435732974</v>
      </c>
      <c r="DB13" s="133">
        <f t="shared" ref="DB13" si="90">DB9/DB12*1000</f>
        <v>395933.55035590735</v>
      </c>
    </row>
    <row r="14" spans="1:106" ht="11.25" customHeight="1" x14ac:dyDescent="0.35">
      <c r="A14" s="7" t="s">
        <v>266</v>
      </c>
      <c r="B14" s="68">
        <f t="shared" ref="B14:E14" si="91">B15+B17-B19</f>
        <v>0</v>
      </c>
      <c r="C14" s="68">
        <f t="shared" si="91"/>
        <v>0</v>
      </c>
      <c r="D14" s="68">
        <f t="shared" si="91"/>
        <v>0</v>
      </c>
      <c r="E14" s="68">
        <f t="shared" si="91"/>
        <v>0</v>
      </c>
      <c r="F14" s="93">
        <f t="shared" ref="F14:F15" si="92">SUM(B14:E14)</f>
        <v>0</v>
      </c>
      <c r="G14" s="68">
        <f t="shared" ref="G14:J14" si="93">G15+G17-G19</f>
        <v>0</v>
      </c>
      <c r="H14" s="68">
        <f t="shared" si="93"/>
        <v>0</v>
      </c>
      <c r="I14" s="68">
        <f t="shared" si="93"/>
        <v>0</v>
      </c>
      <c r="J14" s="68">
        <f t="shared" si="93"/>
        <v>0</v>
      </c>
      <c r="K14" s="93">
        <f t="shared" ref="K14:K15" si="94">SUM(G14:J14)</f>
        <v>0</v>
      </c>
      <c r="L14" s="68">
        <f t="shared" ref="L14:O14" si="95">L15+L17-L19</f>
        <v>0</v>
      </c>
      <c r="M14" s="68">
        <f t="shared" si="95"/>
        <v>0</v>
      </c>
      <c r="N14" s="68">
        <f t="shared" si="95"/>
        <v>0</v>
      </c>
      <c r="O14" s="68">
        <f t="shared" si="95"/>
        <v>0</v>
      </c>
      <c r="P14" s="93">
        <f t="shared" ref="P14:P15" si="96">SUM(L14:O14)</f>
        <v>0</v>
      </c>
      <c r="Q14" s="68">
        <f t="shared" ref="Q14:T14" si="97">Q15+Q17-Q19</f>
        <v>0</v>
      </c>
      <c r="R14" s="68">
        <f t="shared" si="97"/>
        <v>0</v>
      </c>
      <c r="S14" s="68">
        <f t="shared" si="97"/>
        <v>0</v>
      </c>
      <c r="T14" s="68">
        <f t="shared" si="97"/>
        <v>0</v>
      </c>
      <c r="U14" s="93">
        <f t="shared" ref="U14:U15" si="98">SUM(Q14:T14)</f>
        <v>0</v>
      </c>
      <c r="V14" s="68">
        <f t="shared" ref="V14:Y14" si="99">V15+V17-V19</f>
        <v>0</v>
      </c>
      <c r="W14" s="68">
        <f t="shared" si="99"/>
        <v>0</v>
      </c>
      <c r="X14" s="68">
        <f t="shared" si="99"/>
        <v>0</v>
      </c>
      <c r="Y14" s="68">
        <f t="shared" si="99"/>
        <v>0</v>
      </c>
      <c r="Z14" s="93">
        <f t="shared" ref="Z14:Z15" si="100">SUM(V14:Y14)</f>
        <v>0</v>
      </c>
      <c r="AA14" s="68">
        <f t="shared" ref="AA14:AD14" si="101">AA15+AA17-AA19</f>
        <v>0</v>
      </c>
      <c r="AB14" s="68">
        <f t="shared" si="101"/>
        <v>0</v>
      </c>
      <c r="AC14" s="68">
        <f t="shared" si="101"/>
        <v>0</v>
      </c>
      <c r="AD14" s="68">
        <f t="shared" si="101"/>
        <v>0</v>
      </c>
      <c r="AE14" s="93">
        <f t="shared" ref="AE14:AE15" si="102">SUM(AA14:AD14)</f>
        <v>0</v>
      </c>
      <c r="AF14" s="68">
        <f>AF15+AF17-AF19</f>
        <v>0</v>
      </c>
      <c r="AG14" s="68">
        <f>AG15+AG17-AG19</f>
        <v>0</v>
      </c>
      <c r="AH14" s="68">
        <f>AH15+AH17-AH19</f>
        <v>0</v>
      </c>
      <c r="AI14" s="68">
        <f>AI15+AI17-AI19</f>
        <v>0</v>
      </c>
      <c r="AJ14" s="93">
        <f>SUM(AF14:AI14)</f>
        <v>0</v>
      </c>
      <c r="AK14" s="68">
        <f>AK15+AK17-AK19</f>
        <v>106704.6508</v>
      </c>
      <c r="AL14" s="68">
        <f>AL15+AL17-AL19</f>
        <v>121129.54253999999</v>
      </c>
      <c r="AM14" s="68">
        <f>AM15+AM17-AM19</f>
        <v>199324.48152999999</v>
      </c>
      <c r="AN14" s="68">
        <f>AN15+AN17-AN19</f>
        <v>314044.11015999992</v>
      </c>
      <c r="AO14" s="93">
        <f>SUM(AK14:AN14)</f>
        <v>741202.78502999991</v>
      </c>
      <c r="AP14" s="68">
        <f>AP15+AP17-AP19</f>
        <v>135061.90422</v>
      </c>
      <c r="AQ14" s="68">
        <f>AQ15+AQ17-AQ19</f>
        <v>210993.88014000002</v>
      </c>
      <c r="AR14" s="68">
        <f>AR15+AR17-AR19</f>
        <v>208776.43979999999</v>
      </c>
      <c r="AS14" s="68">
        <f>AS15+AS17-AS19</f>
        <v>331878.35210000002</v>
      </c>
      <c r="AT14" s="93">
        <f>SUM(AP14:AS14)</f>
        <v>886710.57626</v>
      </c>
      <c r="AU14" s="68">
        <f>AU15+AU17-AU19</f>
        <v>186415.37328999999</v>
      </c>
      <c r="AV14" s="68">
        <f>AV15+AV17-AV19</f>
        <v>205291.19581999999</v>
      </c>
      <c r="AW14" s="68">
        <f>AW15+AW17-AW19</f>
        <v>261049.29123</v>
      </c>
      <c r="AX14" s="68">
        <f>AX15+AX17-AX19</f>
        <v>329384.70366</v>
      </c>
      <c r="AY14" s="93">
        <f>SUM(AU14:AX14)</f>
        <v>982140.56400000001</v>
      </c>
      <c r="AZ14" s="68">
        <f>AZ15+AZ17-AZ19</f>
        <v>238877.79020000002</v>
      </c>
      <c r="BA14" s="68">
        <f>BA15+BA17-BA19</f>
        <v>292082.20728999999</v>
      </c>
      <c r="BB14" s="68">
        <f>BB15+BB17-BB19</f>
        <v>410345.60115</v>
      </c>
      <c r="BC14" s="68">
        <f>BC15+BC17-BC19</f>
        <v>404604.91135000001</v>
      </c>
      <c r="BD14" s="93">
        <f>SUM(AZ14:BC14)</f>
        <v>1345910.5099899999</v>
      </c>
      <c r="BE14" s="68">
        <f>BE15+BE17-BE19</f>
        <v>590373.32932000002</v>
      </c>
      <c r="BF14" s="68">
        <f>BF15+BF17-BF19</f>
        <v>682578</v>
      </c>
      <c r="BG14" s="68">
        <f>BG15+BG17-BG19</f>
        <v>682370.50875999988</v>
      </c>
      <c r="BH14" s="68">
        <f>BH15+BH17-BH19</f>
        <v>611366.0959999999</v>
      </c>
      <c r="BI14" s="93">
        <f>SUM(BE14:BH14)</f>
        <v>2566687.93408</v>
      </c>
      <c r="BJ14" s="68">
        <f>BJ15+BJ17-BJ19</f>
        <v>753366.12115000002</v>
      </c>
      <c r="BK14" s="68">
        <f>BK15+BK17-BK19</f>
        <v>897485.37751999986</v>
      </c>
      <c r="BL14" s="68">
        <f>BL15+BL17-BL19</f>
        <v>885832.59664999985</v>
      </c>
      <c r="BM14" s="68">
        <f>BM15+BM17-BM19</f>
        <v>753062.04715999996</v>
      </c>
      <c r="BN14" s="93">
        <f>SUM(BJ14:BM14)</f>
        <v>3289746.1424799999</v>
      </c>
      <c r="BO14" s="68">
        <f>BO15+BO17-BO19</f>
        <v>1078891.9739699997</v>
      </c>
      <c r="BP14" s="68">
        <f>BP15+BP17-BP19</f>
        <v>1193950.7560000001</v>
      </c>
      <c r="BQ14" s="68">
        <f>BQ15+BQ17-BQ19</f>
        <v>972643.94625000027</v>
      </c>
      <c r="BR14" s="68">
        <f>BR15+BR17-BR19</f>
        <v>904671.58600000001</v>
      </c>
      <c r="BS14" s="93">
        <f>SUM(BO14:BR14)</f>
        <v>4150158.2622199999</v>
      </c>
      <c r="BT14" s="68">
        <f>BT15+BT17-BT19</f>
        <v>1552135.31929</v>
      </c>
      <c r="BU14" s="68">
        <f>BU15+BU17-BU19</f>
        <v>1749239.9412900002</v>
      </c>
      <c r="BV14" s="68">
        <f>BV15+BV17-BV19</f>
        <v>1437151.16322</v>
      </c>
      <c r="BW14" s="68">
        <f>BW15+BW17-BW19</f>
        <v>1423748</v>
      </c>
      <c r="BX14" s="93">
        <f>SUM(BT14:BW14)</f>
        <v>6162274.4238000009</v>
      </c>
      <c r="BY14" s="68">
        <f>BY15+BY17-BY19</f>
        <v>2105578.8965500002</v>
      </c>
      <c r="BZ14" s="68">
        <f>BZ15+BZ17-BZ19</f>
        <v>2261363.1793000004</v>
      </c>
      <c r="CA14" s="68">
        <f>CA15+CA17-CA19</f>
        <v>1827000</v>
      </c>
      <c r="CB14" s="68">
        <f>CB15+CB17-CB19</f>
        <v>1556300</v>
      </c>
      <c r="CC14" s="93">
        <f>SUM(BY14:CB14)</f>
        <v>7750242.0758500006</v>
      </c>
      <c r="CD14" s="68">
        <f>CD15+CD17-CD19</f>
        <v>2304600</v>
      </c>
      <c r="CE14" s="68">
        <f>CE15+CE17-CE19</f>
        <v>2045500</v>
      </c>
      <c r="CF14" s="68">
        <f>CF15+CF17-CF19</f>
        <v>2236888.1258809459</v>
      </c>
      <c r="CG14" s="68">
        <f>CG15+CG17-CG19</f>
        <v>2107156.692646909</v>
      </c>
      <c r="CH14" s="93">
        <f>SUM(CD14:CG14)</f>
        <v>8694144.818527855</v>
      </c>
      <c r="CI14" s="68">
        <f>CI15+CI17-CI19</f>
        <v>2677205.7299608183</v>
      </c>
      <c r="CJ14" s="68">
        <f>CJ15+CJ17-CJ19</f>
        <v>2754040.9137713038</v>
      </c>
      <c r="CK14" s="68">
        <f>CK15+CK17-CK19</f>
        <v>2444414.5586170312</v>
      </c>
      <c r="CL14" s="68">
        <f>CL15+CL17-CL19</f>
        <v>2313018.3020845302</v>
      </c>
      <c r="CM14" s="93">
        <f>SUM(CI14:CL14)</f>
        <v>10188679.504433684</v>
      </c>
      <c r="CN14" s="68">
        <f>CN15+CN17-CN19</f>
        <v>2797993.3004742521</v>
      </c>
      <c r="CO14" s="68">
        <f>CO15+CO17-CO19</f>
        <v>2856395.8360295007</v>
      </c>
      <c r="CP14" s="68">
        <f>CP15+CP17-CP19</f>
        <v>2532600.3490619194</v>
      </c>
      <c r="CQ14" s="68">
        <f>CQ15+CQ17-CQ19</f>
        <v>2407496.8313266085</v>
      </c>
      <c r="CR14" s="93">
        <f>SUM(CN14:CQ14)</f>
        <v>10594486.316892281</v>
      </c>
      <c r="CS14" s="68">
        <f>CS15+CS17-CS19</f>
        <v>2992888.6057076892</v>
      </c>
      <c r="CT14" s="68">
        <f>CT15+CT17-CT19</f>
        <v>3022711.4263462462</v>
      </c>
      <c r="CU14" s="68">
        <f>CU15+CU17-CU19</f>
        <v>2666545.744521901</v>
      </c>
      <c r="CV14" s="68">
        <f>CV15+CV17-CV19</f>
        <v>2524086.3356028637</v>
      </c>
      <c r="CW14" s="93">
        <f>SUM(CS14:CV14)</f>
        <v>11206232.112178702</v>
      </c>
      <c r="CX14" s="68">
        <f>CX15+CX17-CX19</f>
        <v>3124727.0262734317</v>
      </c>
      <c r="CY14" s="68">
        <f>CY15+CY17-CY19</f>
        <v>3150737.4363616225</v>
      </c>
      <c r="CZ14" s="68">
        <f>CZ15+CZ17-CZ19</f>
        <v>2777341.2024561134</v>
      </c>
      <c r="DA14" s="68">
        <f>DA15+DA17-DA19</f>
        <v>2627249.5088047814</v>
      </c>
      <c r="DB14" s="93">
        <f>SUM(CX14:DA14)</f>
        <v>11680055.173895949</v>
      </c>
    </row>
    <row r="15" spans="1:106" ht="11.25" customHeight="1" x14ac:dyDescent="0.35">
      <c r="A15" s="16" t="s">
        <v>263</v>
      </c>
      <c r="B15" s="401"/>
      <c r="C15" s="401"/>
      <c r="D15" s="401"/>
      <c r="E15" s="401"/>
      <c r="F15" s="91">
        <f t="shared" si="92"/>
        <v>0</v>
      </c>
      <c r="G15" s="401"/>
      <c r="H15" s="401"/>
      <c r="I15" s="401"/>
      <c r="J15" s="401"/>
      <c r="K15" s="91">
        <f t="shared" si="94"/>
        <v>0</v>
      </c>
      <c r="L15" s="401"/>
      <c r="M15" s="401"/>
      <c r="N15" s="401"/>
      <c r="O15" s="401"/>
      <c r="P15" s="91">
        <f t="shared" si="96"/>
        <v>0</v>
      </c>
      <c r="Q15" s="401"/>
      <c r="R15" s="401"/>
      <c r="S15" s="401"/>
      <c r="T15" s="401"/>
      <c r="U15" s="91">
        <f t="shared" si="98"/>
        <v>0</v>
      </c>
      <c r="V15" s="401"/>
      <c r="W15" s="401"/>
      <c r="X15" s="401"/>
      <c r="Y15" s="401"/>
      <c r="Z15" s="91">
        <f t="shared" si="100"/>
        <v>0</v>
      </c>
      <c r="AA15" s="401"/>
      <c r="AB15" s="401"/>
      <c r="AC15" s="401"/>
      <c r="AD15" s="401"/>
      <c r="AE15" s="91">
        <f t="shared" si="102"/>
        <v>0</v>
      </c>
      <c r="AF15" s="401"/>
      <c r="AG15" s="401"/>
      <c r="AH15" s="401"/>
      <c r="AI15" s="401"/>
      <c r="AJ15" s="91">
        <f>SUM(AF15:AI15)</f>
        <v>0</v>
      </c>
      <c r="AK15" s="401">
        <f>0.502237742012272*AK9</f>
        <v>53591.102879999977</v>
      </c>
      <c r="AL15" s="401">
        <f>0.13264369981992*AL9</f>
        <v>16067.07067999999</v>
      </c>
      <c r="AM15" s="401">
        <f>0.584617095429201*AM9</f>
        <v>116528.49944000003</v>
      </c>
      <c r="AN15" s="401">
        <f>0.451392946034802*AN9</f>
        <v>141757.2960700003</v>
      </c>
      <c r="AO15" s="91">
        <f>SUM(AK15:AN15)</f>
        <v>327943.96907000034</v>
      </c>
      <c r="AP15" s="401">
        <f>0.0888026369039149*AP9</f>
        <v>11993.853239999991</v>
      </c>
      <c r="AQ15" s="401">
        <f>0.377984468350846*AQ9</f>
        <v>79752.409610000017</v>
      </c>
      <c r="AR15" s="401">
        <f>0.448440098316113*AR9</f>
        <v>93623.727190000034</v>
      </c>
      <c r="AS15" s="401">
        <f>0.559361916242322*AS9</f>
        <v>185640.11099000007</v>
      </c>
      <c r="AT15" s="91">
        <f>SUM(AP15:AS15)</f>
        <v>371010.10103000014</v>
      </c>
      <c r="AU15" s="401">
        <f>0.339836595887655*AU9</f>
        <v>63350.765880000086</v>
      </c>
      <c r="AV15" s="401">
        <f>0.132094779621124*AV9</f>
        <v>27117.895269999914</v>
      </c>
      <c r="AW15" s="401">
        <f>0.564313695493653*AW9</f>
        <v>147313.69024000014</v>
      </c>
      <c r="AX15" s="401">
        <f>0.688896867670652*AX9</f>
        <v>226912.09060999993</v>
      </c>
      <c r="AY15" s="91">
        <f>SUM(AU15:AX15)</f>
        <v>464694.44200000004</v>
      </c>
      <c r="AZ15" s="401">
        <f>0.163450867354851*AZ9</f>
        <v>39044.782000000123</v>
      </c>
      <c r="BA15" s="401">
        <f>0.456474748725869*BA9</f>
        <v>133328.15217999995</v>
      </c>
      <c r="BB15" s="401">
        <f>0.512257531531723*BB9</f>
        <v>210202.62471999996</v>
      </c>
      <c r="BC15" s="401">
        <f>0.611853675389153*BC9</f>
        <v>247559.00208999994</v>
      </c>
      <c r="BD15" s="91">
        <f>SUM(AZ15:BC15)</f>
        <v>630134.56099000003</v>
      </c>
      <c r="BE15" s="401">
        <f>0.671839873130534*BE9</f>
        <v>396636.34266999975</v>
      </c>
      <c r="BF15" s="401">
        <f>0.558*BF9</f>
        <v>380878.52400000003</v>
      </c>
      <c r="BG15" s="401">
        <f>0.589057750049063*BG9</f>
        <v>401955.63659000007</v>
      </c>
      <c r="BH15" s="401">
        <f>0.62388257158581*BH9</f>
        <v>381420.6521528571</v>
      </c>
      <c r="BI15" s="91">
        <f>SUM(BE15:BH15)</f>
        <v>1560891.155412857</v>
      </c>
      <c r="BJ15" s="401">
        <f>0.60853478845078*BJ9</f>
        <v>458449.49315999995</v>
      </c>
      <c r="BK15" s="401">
        <f>0.456961256553576*BK9</f>
        <v>410116.0458499997</v>
      </c>
      <c r="BL15" s="401">
        <f>0.4498*BL9</f>
        <v>398447.50197316991</v>
      </c>
      <c r="BM15" s="401">
        <f>0.368591365103048*BM9</f>
        <v>277572.1679700003</v>
      </c>
      <c r="BN15" s="91">
        <f>SUM(BJ15:BM15)</f>
        <v>1544585.2089531699</v>
      </c>
      <c r="BO15" s="401">
        <f>0.733168341552604*BO9</f>
        <v>791009.43926999986</v>
      </c>
      <c r="BP15" s="401">
        <f>0.4055*BP9</f>
        <v>484147.03155800008</v>
      </c>
      <c r="BQ15" s="401">
        <f>0.549489477008093*BQ9</f>
        <v>534457.61334000039</v>
      </c>
      <c r="BR15" s="401">
        <f>0.578982317120156*BR9</f>
        <v>523788.8510950465</v>
      </c>
      <c r="BS15" s="91">
        <f>SUM(BO15:BR15)</f>
        <v>2333402.935263047</v>
      </c>
      <c r="BT15" s="401">
        <f>0.677739106582018*BT9</f>
        <v>1051942.8045899998</v>
      </c>
      <c r="BU15" s="401">
        <f>0.582922170658892*BU9</f>
        <v>1019670.7435799997</v>
      </c>
      <c r="BV15" s="401">
        <f>0.501259290543902*BV9</f>
        <v>720385.3724800006</v>
      </c>
      <c r="BW15" s="401">
        <f>0.6503*BW9</f>
        <v>925863.32440000004</v>
      </c>
      <c r="BX15" s="91">
        <f>SUM(BT15:BW15)</f>
        <v>3717862.24505</v>
      </c>
      <c r="BY15" s="401">
        <f>0.728219343883222*BY9</f>
        <v>1533323.2825399996</v>
      </c>
      <c r="BZ15" s="401">
        <f>0.549802913190115*BZ9</f>
        <v>1243304.0637600005</v>
      </c>
      <c r="CA15" s="401">
        <f>56.2%*CA9</f>
        <v>1026774.0000000001</v>
      </c>
      <c r="CB15" s="401">
        <f>CB9*37.3%</f>
        <v>580499.9</v>
      </c>
      <c r="CC15" s="91">
        <f>SUM(BY15:CB15)</f>
        <v>4383901.2463000007</v>
      </c>
      <c r="CD15" s="401">
        <f>0.577*CD9</f>
        <v>1329754.2</v>
      </c>
      <c r="CE15" s="401">
        <f>0.615*CE9</f>
        <v>1257982.5</v>
      </c>
      <c r="CF15" s="304">
        <f>CF16*CF4</f>
        <v>1145579.0307456825</v>
      </c>
      <c r="CG15" s="304">
        <f>CG16*CG4</f>
        <v>981924.88349629927</v>
      </c>
      <c r="CH15" s="91">
        <f>SUM(CD15:CG15)</f>
        <v>4715240.6142419819</v>
      </c>
      <c r="CI15" s="304">
        <f>CI16*CI4</f>
        <v>1685221.1223651767</v>
      </c>
      <c r="CJ15" s="304">
        <f>CJ16*CJ4</f>
        <v>1474568.4820695296</v>
      </c>
      <c r="CK15" s="304">
        <f>CK16*CK4</f>
        <v>1053263.2014782354</v>
      </c>
      <c r="CL15" s="304">
        <f>CL16*CL4</f>
        <v>1053263.2014782354</v>
      </c>
      <c r="CM15" s="91">
        <f>SUM(CI15:CL15)</f>
        <v>5266316.0073911771</v>
      </c>
      <c r="CN15" s="304">
        <f>CN16*CN4</f>
        <v>1752629.9672597847</v>
      </c>
      <c r="CO15" s="304">
        <f>CO16*CO4</f>
        <v>1533551.2213523118</v>
      </c>
      <c r="CP15" s="304">
        <f>CP16*CP4</f>
        <v>1095393.7295373655</v>
      </c>
      <c r="CQ15" s="304">
        <f>CQ16*CQ4</f>
        <v>1095393.7295373655</v>
      </c>
      <c r="CR15" s="91">
        <f>SUM(CN15:CQ15)</f>
        <v>5476968.6476868279</v>
      </c>
      <c r="CS15" s="304">
        <f>CS16*CS4</f>
        <v>1821849.9094556908</v>
      </c>
      <c r="CT15" s="304">
        <f>CT16*CT4</f>
        <v>1594118.6707737294</v>
      </c>
      <c r="CU15" s="304">
        <f>CU16*CU4</f>
        <v>1138656.1934098068</v>
      </c>
      <c r="CV15" s="304">
        <f>CV16*CV4</f>
        <v>1138656.1934098068</v>
      </c>
      <c r="CW15" s="91">
        <f>SUM(CS15:CV15)</f>
        <v>5693280.9670490343</v>
      </c>
      <c r="CX15" s="304">
        <f>CX16*CX4</f>
        <v>1893803.6862242739</v>
      </c>
      <c r="CY15" s="304">
        <f>CY16*CY4</f>
        <v>1657078.2254462396</v>
      </c>
      <c r="CZ15" s="304">
        <f>CZ16*CZ4</f>
        <v>1183627.3038901712</v>
      </c>
      <c r="DA15" s="304">
        <f>DA16*DA4</f>
        <v>1183627.3038901712</v>
      </c>
      <c r="DB15" s="91">
        <f>SUM(CX15:DA15)</f>
        <v>5918136.5194508564</v>
      </c>
    </row>
    <row r="16" spans="1:106" ht="11.25" customHeight="1" x14ac:dyDescent="0.35">
      <c r="A16" s="150" t="s">
        <v>64</v>
      </c>
      <c r="B16" s="154" t="e">
        <f t="shared" ref="B16:AE16" si="103">B15/B4</f>
        <v>#DIV/0!</v>
      </c>
      <c r="C16" s="154" t="e">
        <f t="shared" si="103"/>
        <v>#DIV/0!</v>
      </c>
      <c r="D16" s="154" t="e">
        <f t="shared" si="103"/>
        <v>#DIV/0!</v>
      </c>
      <c r="E16" s="154" t="e">
        <f t="shared" si="103"/>
        <v>#DIV/0!</v>
      </c>
      <c r="F16" s="24" t="e">
        <f t="shared" si="103"/>
        <v>#DIV/0!</v>
      </c>
      <c r="G16" s="154" t="e">
        <f t="shared" si="103"/>
        <v>#DIV/0!</v>
      </c>
      <c r="H16" s="154" t="e">
        <f t="shared" si="103"/>
        <v>#DIV/0!</v>
      </c>
      <c r="I16" s="154" t="e">
        <f t="shared" si="103"/>
        <v>#DIV/0!</v>
      </c>
      <c r="J16" s="154" t="e">
        <f t="shared" si="103"/>
        <v>#DIV/0!</v>
      </c>
      <c r="K16" s="24" t="e">
        <f t="shared" si="103"/>
        <v>#DIV/0!</v>
      </c>
      <c r="L16" s="154" t="e">
        <f t="shared" si="103"/>
        <v>#DIV/0!</v>
      </c>
      <c r="M16" s="154" t="e">
        <f t="shared" si="103"/>
        <v>#DIV/0!</v>
      </c>
      <c r="N16" s="154" t="e">
        <f t="shared" si="103"/>
        <v>#DIV/0!</v>
      </c>
      <c r="O16" s="154" t="e">
        <f t="shared" si="103"/>
        <v>#DIV/0!</v>
      </c>
      <c r="P16" s="24" t="e">
        <f t="shared" si="103"/>
        <v>#DIV/0!</v>
      </c>
      <c r="Q16" s="154" t="e">
        <f t="shared" si="103"/>
        <v>#DIV/0!</v>
      </c>
      <c r="R16" s="154" t="e">
        <f t="shared" si="103"/>
        <v>#DIV/0!</v>
      </c>
      <c r="S16" s="154" t="e">
        <f t="shared" si="103"/>
        <v>#DIV/0!</v>
      </c>
      <c r="T16" s="154" t="e">
        <f t="shared" si="103"/>
        <v>#DIV/0!</v>
      </c>
      <c r="U16" s="24" t="e">
        <f t="shared" si="103"/>
        <v>#DIV/0!</v>
      </c>
      <c r="V16" s="154" t="e">
        <f t="shared" si="103"/>
        <v>#DIV/0!</v>
      </c>
      <c r="W16" s="154" t="e">
        <f t="shared" si="103"/>
        <v>#DIV/0!</v>
      </c>
      <c r="X16" s="154" t="e">
        <f t="shared" si="103"/>
        <v>#DIV/0!</v>
      </c>
      <c r="Y16" s="154" t="e">
        <f t="shared" si="103"/>
        <v>#DIV/0!</v>
      </c>
      <c r="Z16" s="24" t="e">
        <f t="shared" si="103"/>
        <v>#DIV/0!</v>
      </c>
      <c r="AA16" s="154" t="e">
        <f t="shared" si="103"/>
        <v>#DIV/0!</v>
      </c>
      <c r="AB16" s="154" t="e">
        <f t="shared" si="103"/>
        <v>#DIV/0!</v>
      </c>
      <c r="AC16" s="154" t="e">
        <f t="shared" si="103"/>
        <v>#DIV/0!</v>
      </c>
      <c r="AD16" s="154" t="e">
        <f t="shared" si="103"/>
        <v>#DIV/0!</v>
      </c>
      <c r="AE16" s="24" t="e">
        <f t="shared" si="103"/>
        <v>#DIV/0!</v>
      </c>
      <c r="AF16" s="154" t="e">
        <f t="shared" ref="AF16:BW16" si="104">AF15/AF4</f>
        <v>#DIV/0!</v>
      </c>
      <c r="AG16" s="154" t="e">
        <f t="shared" si="104"/>
        <v>#DIV/0!</v>
      </c>
      <c r="AH16" s="154" t="e">
        <f t="shared" si="104"/>
        <v>#DIV/0!</v>
      </c>
      <c r="AI16" s="154" t="e">
        <f t="shared" si="104"/>
        <v>#DIV/0!</v>
      </c>
      <c r="AJ16" s="24" t="e">
        <f t="shared" si="104"/>
        <v>#DIV/0!</v>
      </c>
      <c r="AK16" s="154">
        <f t="shared" si="104"/>
        <v>0.44323611849271372</v>
      </c>
      <c r="AL16" s="154">
        <f t="shared" si="104"/>
        <v>0.31780946983790326</v>
      </c>
      <c r="AM16" s="154">
        <f t="shared" si="104"/>
        <v>0.3619988216325305</v>
      </c>
      <c r="AN16" s="154">
        <f t="shared" si="104"/>
        <v>0.52761742864225358</v>
      </c>
      <c r="AO16" s="24">
        <f t="shared" si="104"/>
        <v>0.43034908398391603</v>
      </c>
      <c r="AP16" s="154">
        <f t="shared" si="104"/>
        <v>0.11797426095509754</v>
      </c>
      <c r="AQ16" s="154">
        <f t="shared" si="104"/>
        <v>0.3372375720186605</v>
      </c>
      <c r="AR16" s="154">
        <f t="shared" si="104"/>
        <v>0.33670468472974041</v>
      </c>
      <c r="AS16" s="154">
        <f t="shared" si="104"/>
        <v>0.63943902324280266</v>
      </c>
      <c r="AT16" s="24">
        <f t="shared" si="104"/>
        <v>0.40926475591728978</v>
      </c>
      <c r="AU16" s="154">
        <f t="shared" si="104"/>
        <v>0.28998695870943736</v>
      </c>
      <c r="AV16" s="154">
        <f t="shared" si="104"/>
        <v>0.16713793074331559</v>
      </c>
      <c r="AW16" s="154">
        <f t="shared" si="104"/>
        <v>0.37898646025485078</v>
      </c>
      <c r="AX16" s="154">
        <f t="shared" si="104"/>
        <v>0.59851474178527275</v>
      </c>
      <c r="AY16" s="24">
        <f t="shared" si="104"/>
        <v>0.40459612978982312</v>
      </c>
      <c r="AZ16" s="154">
        <f t="shared" si="104"/>
        <v>0.24776612635560541</v>
      </c>
      <c r="BA16" s="154">
        <f t="shared" si="104"/>
        <v>0.42798109448445143</v>
      </c>
      <c r="BB16" s="154">
        <f t="shared" si="104"/>
        <v>0.52959754394773295</v>
      </c>
      <c r="BC16" s="154">
        <f t="shared" si="104"/>
        <v>0.36688789830831858</v>
      </c>
      <c r="BD16" s="24">
        <f t="shared" si="104"/>
        <v>0.40897133119517592</v>
      </c>
      <c r="BE16" s="154">
        <f t="shared" si="104"/>
        <v>0.67170162118029098</v>
      </c>
      <c r="BF16" s="154">
        <f t="shared" si="104"/>
        <v>0.55506385016547677</v>
      </c>
      <c r="BG16" s="154">
        <f t="shared" si="104"/>
        <v>0.55809828224381186</v>
      </c>
      <c r="BH16" s="154">
        <f t="shared" si="104"/>
        <v>0.48397418407049386</v>
      </c>
      <c r="BI16" s="24">
        <f t="shared" si="104"/>
        <v>0.5604619014127461</v>
      </c>
      <c r="BJ16" s="154">
        <f t="shared" si="104"/>
        <v>0.5868904732253728</v>
      </c>
      <c r="BK16" s="154">
        <f t="shared" si="104"/>
        <v>0.38825055130178576</v>
      </c>
      <c r="BL16" s="154">
        <f t="shared" si="104"/>
        <v>0.43349734784634825</v>
      </c>
      <c r="BM16" s="154">
        <f t="shared" si="104"/>
        <v>0.49908770956688203</v>
      </c>
      <c r="BN16" s="24">
        <f t="shared" si="104"/>
        <v>0.4662513868543483</v>
      </c>
      <c r="BO16" s="154">
        <f t="shared" si="104"/>
        <v>0.55705638467228891</v>
      </c>
      <c r="BP16" s="154">
        <f t="shared" si="104"/>
        <v>0.39600917732827207</v>
      </c>
      <c r="BQ16" s="154">
        <f t="shared" si="104"/>
        <v>0.56753520648581057</v>
      </c>
      <c r="BR16" s="154">
        <f t="shared" si="104"/>
        <v>0.61146951084332335</v>
      </c>
      <c r="BS16" s="24">
        <f t="shared" si="104"/>
        <v>0.52543826011507022</v>
      </c>
      <c r="BT16" s="154">
        <f t="shared" si="104"/>
        <v>0.5582558962391253</v>
      </c>
      <c r="BU16" s="154">
        <f t="shared" si="104"/>
        <v>0.58781254249884241</v>
      </c>
      <c r="BV16" s="154">
        <f t="shared" si="104"/>
        <v>0.46157926393143617</v>
      </c>
      <c r="BW16" s="154">
        <f t="shared" si="104"/>
        <v>0.66140795278307407</v>
      </c>
      <c r="BX16" s="24">
        <f>BX15/BX4</f>
        <v>0.56506253237911752</v>
      </c>
      <c r="BY16" s="154">
        <f>BY15/BY4</f>
        <v>0.55085982568764802</v>
      </c>
      <c r="BZ16" s="154">
        <f t="shared" ref="BZ16:CB16" si="105">BZ15/BZ4</f>
        <v>0.55871662388599364</v>
      </c>
      <c r="CA16" s="154">
        <f t="shared" si="105"/>
        <v>0.51690193314538868</v>
      </c>
      <c r="CB16" s="154">
        <f t="shared" si="105"/>
        <v>0.45017440868553704</v>
      </c>
      <c r="CC16" s="24">
        <f>CC15/CC4</f>
        <v>0.52915664996019018</v>
      </c>
      <c r="CD16" s="154">
        <f>CD15/CD4</f>
        <v>0.50240071029167299</v>
      </c>
      <c r="CE16" s="154">
        <f t="shared" ref="CE16" si="106">CE15/CE4</f>
        <v>0.55739399175860693</v>
      </c>
      <c r="CF16" s="181">
        <v>0.5</v>
      </c>
      <c r="CG16" s="154">
        <f>CF16</f>
        <v>0.5</v>
      </c>
      <c r="CH16" s="24">
        <f>CH15/CH4</f>
        <v>0.51483688556778573</v>
      </c>
      <c r="CI16" s="181">
        <f>CG16</f>
        <v>0.5</v>
      </c>
      <c r="CJ16" s="154">
        <f>CI16</f>
        <v>0.5</v>
      </c>
      <c r="CK16" s="154">
        <f>CJ16</f>
        <v>0.5</v>
      </c>
      <c r="CL16" s="154">
        <f>CK16</f>
        <v>0.5</v>
      </c>
      <c r="CM16" s="24">
        <f>CM15/CM4</f>
        <v>0.5</v>
      </c>
      <c r="CN16" s="181">
        <v>0.5</v>
      </c>
      <c r="CO16" s="154">
        <f>CN16</f>
        <v>0.5</v>
      </c>
      <c r="CP16" s="154">
        <f>CO16</f>
        <v>0.5</v>
      </c>
      <c r="CQ16" s="154">
        <f>CP16</f>
        <v>0.5</v>
      </c>
      <c r="CR16" s="24">
        <f>CR15/CR4</f>
        <v>0.5</v>
      </c>
      <c r="CS16" s="154">
        <f>CQ16</f>
        <v>0.5</v>
      </c>
      <c r="CT16" s="154">
        <f>CS16</f>
        <v>0.5</v>
      </c>
      <c r="CU16" s="154">
        <f>CT16</f>
        <v>0.5</v>
      </c>
      <c r="CV16" s="154">
        <f>CU16</f>
        <v>0.5</v>
      </c>
      <c r="CW16" s="24">
        <f>CW15/CW4</f>
        <v>0.5</v>
      </c>
      <c r="CX16" s="154">
        <f>CV16</f>
        <v>0.5</v>
      </c>
      <c r="CY16" s="154">
        <f>CX16</f>
        <v>0.5</v>
      </c>
      <c r="CZ16" s="154">
        <f>CY16</f>
        <v>0.5</v>
      </c>
      <c r="DA16" s="154">
        <f>CZ16</f>
        <v>0.5</v>
      </c>
      <c r="DB16" s="24">
        <f>DB15/DB4</f>
        <v>0.5</v>
      </c>
    </row>
    <row r="17" spans="1:106" ht="11.25" customHeight="1" x14ac:dyDescent="0.35">
      <c r="A17" s="16" t="s">
        <v>264</v>
      </c>
      <c r="B17" s="37">
        <f t="shared" ref="B17:E17" si="107">B9+B19-B15</f>
        <v>0</v>
      </c>
      <c r="C17" s="37">
        <f t="shared" si="107"/>
        <v>0</v>
      </c>
      <c r="D17" s="37">
        <f t="shared" si="107"/>
        <v>0</v>
      </c>
      <c r="E17" s="37">
        <f t="shared" si="107"/>
        <v>0</v>
      </c>
      <c r="F17" s="91">
        <f t="shared" ref="F17" si="108">SUM(B17:E17)</f>
        <v>0</v>
      </c>
      <c r="G17" s="37">
        <f t="shared" ref="G17:J17" si="109">G9+G19-G15</f>
        <v>0</v>
      </c>
      <c r="H17" s="37">
        <f t="shared" si="109"/>
        <v>0</v>
      </c>
      <c r="I17" s="37">
        <f t="shared" si="109"/>
        <v>0</v>
      </c>
      <c r="J17" s="37">
        <f t="shared" si="109"/>
        <v>0</v>
      </c>
      <c r="K17" s="91">
        <f t="shared" ref="K17" si="110">SUM(G17:J17)</f>
        <v>0</v>
      </c>
      <c r="L17" s="37">
        <f t="shared" ref="L17:O17" si="111">L9+L19-L15</f>
        <v>0</v>
      </c>
      <c r="M17" s="37">
        <f t="shared" si="111"/>
        <v>0</v>
      </c>
      <c r="N17" s="37">
        <f t="shared" si="111"/>
        <v>0</v>
      </c>
      <c r="O17" s="37">
        <f t="shared" si="111"/>
        <v>0</v>
      </c>
      <c r="P17" s="91">
        <f t="shared" ref="P17" si="112">SUM(L17:O17)</f>
        <v>0</v>
      </c>
      <c r="Q17" s="37">
        <f t="shared" ref="Q17:T17" si="113">Q9+Q19-Q15</f>
        <v>0</v>
      </c>
      <c r="R17" s="37">
        <f t="shared" si="113"/>
        <v>0</v>
      </c>
      <c r="S17" s="37">
        <f t="shared" si="113"/>
        <v>0</v>
      </c>
      <c r="T17" s="37">
        <f t="shared" si="113"/>
        <v>0</v>
      </c>
      <c r="U17" s="91">
        <f t="shared" ref="U17" si="114">SUM(Q17:T17)</f>
        <v>0</v>
      </c>
      <c r="V17" s="37">
        <f t="shared" ref="V17:Y17" si="115">V9+V19-V15</f>
        <v>0</v>
      </c>
      <c r="W17" s="37">
        <f t="shared" si="115"/>
        <v>0</v>
      </c>
      <c r="X17" s="37">
        <f t="shared" si="115"/>
        <v>0</v>
      </c>
      <c r="Y17" s="37">
        <f t="shared" si="115"/>
        <v>0</v>
      </c>
      <c r="Z17" s="91">
        <f t="shared" ref="Z17" si="116">SUM(V17:Y17)</f>
        <v>0</v>
      </c>
      <c r="AA17" s="37">
        <f t="shared" ref="AA17:AD17" si="117">AA9+AA19-AA15</f>
        <v>0</v>
      </c>
      <c r="AB17" s="37">
        <f t="shared" si="117"/>
        <v>0</v>
      </c>
      <c r="AC17" s="37">
        <f t="shared" si="117"/>
        <v>0</v>
      </c>
      <c r="AD17" s="37">
        <f t="shared" si="117"/>
        <v>0</v>
      </c>
      <c r="AE17" s="91">
        <f t="shared" ref="AE17" si="118">SUM(AA17:AD17)</f>
        <v>0</v>
      </c>
      <c r="AF17" s="37">
        <f>AF9+AF19-AF15</f>
        <v>0</v>
      </c>
      <c r="AG17" s="37">
        <f>AG9+AG19-AG15</f>
        <v>0</v>
      </c>
      <c r="AH17" s="37">
        <f>AH9+AH19-AH15</f>
        <v>0</v>
      </c>
      <c r="AI17" s="37">
        <f>AI9+AI19-AI15</f>
        <v>0</v>
      </c>
      <c r="AJ17" s="91">
        <f>SUM(AF17:AI17)</f>
        <v>0</v>
      </c>
      <c r="AK17" s="37">
        <f>AK9+AK19-AK15</f>
        <v>99401.668170000034</v>
      </c>
      <c r="AL17" s="37">
        <f>AL9+AL19-AL15</f>
        <v>150163.31683999998</v>
      </c>
      <c r="AM17" s="37">
        <f>AM9+AM19-AM15</f>
        <v>116860.85986999997</v>
      </c>
      <c r="AN17" s="37">
        <f>AN9+AN19-AN15</f>
        <v>224734.02600999965</v>
      </c>
      <c r="AO17" s="91">
        <f>SUM(AK17:AN17)</f>
        <v>591159.87088999967</v>
      </c>
      <c r="AP17" s="37">
        <f>AP9+AP19-AP15</f>
        <v>164760.55371000001</v>
      </c>
      <c r="AQ17" s="37">
        <f>AQ9+AQ19-AQ15</f>
        <v>187213.17090999999</v>
      </c>
      <c r="AR17" s="37">
        <f>AR9+AR19-AR15</f>
        <v>162368.27923999997</v>
      </c>
      <c r="AS17" s="37">
        <f>AS9+AS19-AS15</f>
        <v>181006.39475999994</v>
      </c>
      <c r="AT17" s="91">
        <f>SUM(AP17:AS17)</f>
        <v>695348.39861999988</v>
      </c>
      <c r="AU17" s="37">
        <f>AU9+AU19-AU15</f>
        <v>159005.29899999991</v>
      </c>
      <c r="AV17" s="37">
        <f>AV9+AV19-AV15</f>
        <v>228729.87619000007</v>
      </c>
      <c r="AW17" s="37">
        <f>AW9+AW19-AW15</f>
        <v>154775.39782999986</v>
      </c>
      <c r="AX17" s="37">
        <f>AX9+AX19-AX15</f>
        <v>144760.48553000009</v>
      </c>
      <c r="AY17" s="91">
        <f>SUM(AU17:AX17)</f>
        <v>687271.05854999984</v>
      </c>
      <c r="AZ17" s="37">
        <f>AZ9+AZ19-AZ15</f>
        <v>240285.2700299999</v>
      </c>
      <c r="BA17" s="37">
        <f>BA9+BA19-BA15</f>
        <v>200441.69403000004</v>
      </c>
      <c r="BB17" s="37">
        <f>BB9+BB19-BB15</f>
        <v>257230.31890000007</v>
      </c>
      <c r="BC17" s="37">
        <f>BC9+BC19-BC15</f>
        <v>200601.52530000007</v>
      </c>
      <c r="BD17" s="91">
        <f>SUM(AZ17:BC17)</f>
        <v>898558.80826000008</v>
      </c>
      <c r="BE17" s="37">
        <f>BE9+BE19-BE15</f>
        <v>236882.25235000026</v>
      </c>
      <c r="BF17" s="37">
        <f>BF9+BF19-BF15</f>
        <v>355590.19088999991</v>
      </c>
      <c r="BG17" s="37">
        <f>BG9+BG19-BG15</f>
        <v>346746.15623999987</v>
      </c>
      <c r="BH17" s="37">
        <f>BH9+BH19-BH15</f>
        <v>290273.12640714279</v>
      </c>
      <c r="BI17" s="91">
        <f>SUM(BE17:BH17)</f>
        <v>1229491.7258871428</v>
      </c>
      <c r="BJ17" s="37">
        <f>BJ9+BJ19-BJ15</f>
        <v>354290.67031000007</v>
      </c>
      <c r="BK17" s="37">
        <f>BK9+BK19-BK15</f>
        <v>577304.68921000022</v>
      </c>
      <c r="BL17" s="37">
        <f>BL9+BL19-BL15</f>
        <v>568815.79518682999</v>
      </c>
      <c r="BM17" s="37">
        <f>BM9+BM19-BM15</f>
        <v>557938.95142999967</v>
      </c>
      <c r="BN17" s="91">
        <f>SUM(BJ17:BM17)</f>
        <v>2058350.1061368298</v>
      </c>
      <c r="BO17" s="37">
        <f>BO9+BO19-BO15</f>
        <v>373027.5789699998</v>
      </c>
      <c r="BP17" s="37">
        <f>BP9+BP19-BP15</f>
        <v>858121.64744199999</v>
      </c>
      <c r="BQ17" s="37">
        <f>BQ9+BQ19-BQ15</f>
        <v>619865.50000999984</v>
      </c>
      <c r="BR17" s="37">
        <f>BR9+BR19-BR15</f>
        <v>501345.26490495354</v>
      </c>
      <c r="BS17" s="91">
        <f>SUM(BO17:BR17)</f>
        <v>2352359.9913269533</v>
      </c>
      <c r="BT17" s="37">
        <f>BT9+BT19-BT15</f>
        <v>627546.11127000023</v>
      </c>
      <c r="BU17" s="37">
        <f>BU9+BU19-BU15</f>
        <v>906549.75553000055</v>
      </c>
      <c r="BV17" s="37">
        <f>BV9+BV19-BV15</f>
        <v>869855.79073999939</v>
      </c>
      <c r="BW17" s="37">
        <f>BW9+BW19-BW15</f>
        <v>605139.67559999996</v>
      </c>
      <c r="BX17" s="91">
        <f>SUM(BT17:BW17)</f>
        <v>3009091.3331399998</v>
      </c>
      <c r="BY17" s="37">
        <f>BY9+BY19-BY15</f>
        <v>692093.84195000073</v>
      </c>
      <c r="BZ17" s="37">
        <f>BZ9+BZ19-BZ15</f>
        <v>1254700.7742600001</v>
      </c>
      <c r="CA17" s="37">
        <f>CA9+CA19-CA15</f>
        <v>1025025.9999999999</v>
      </c>
      <c r="CB17" s="37">
        <f>CB9+CB19-CB15</f>
        <v>1133500.1000000001</v>
      </c>
      <c r="CC17" s="91">
        <f>SUM(BY17:CB17)</f>
        <v>4105320.7162100007</v>
      </c>
      <c r="CD17" s="37">
        <f>CD9+CD19-CD15</f>
        <v>1204145.8</v>
      </c>
      <c r="CE17" s="37">
        <f>CE9+CE19-CE15</f>
        <v>958717.5</v>
      </c>
      <c r="CF17" s="304">
        <f>CF18*CE24</f>
        <v>1278527.5</v>
      </c>
      <c r="CG17" s="304">
        <f>CG18*CF24</f>
        <v>1301592.2226344282</v>
      </c>
      <c r="CH17" s="91">
        <f>SUM(CD17:CG17)</f>
        <v>4742983.022634428</v>
      </c>
      <c r="CI17" s="304">
        <f>CI18*CH24</f>
        <v>1240686.779231346</v>
      </c>
      <c r="CJ17" s="304">
        <f>CJ18*CI24</f>
        <v>1535312.2980083984</v>
      </c>
      <c r="CK17" s="304">
        <f>CK18*CJ24</f>
        <v>1618228.1194146944</v>
      </c>
      <c r="CL17" s="304">
        <f>CL18*CK24</f>
        <v>1474625.6532589563</v>
      </c>
      <c r="CM17" s="91">
        <f>SUM(CI17:CL17)</f>
        <v>5868852.849913395</v>
      </c>
      <c r="CN17" s="304">
        <f>CN18*CM24</f>
        <v>1305286.2081219116</v>
      </c>
      <c r="CO17" s="304">
        <f>CO18*CN24</f>
        <v>1588192.8617400387</v>
      </c>
      <c r="CP17" s="304">
        <f>CP18*CO24</f>
        <v>1672475.5044100878</v>
      </c>
      <c r="CQ17" s="304">
        <f>CQ18*CP24</f>
        <v>1535750.3484152125</v>
      </c>
      <c r="CR17" s="91">
        <f>SUM(CN17:CQ17)</f>
        <v>6101704.9226872511</v>
      </c>
      <c r="CS17" s="304">
        <f>CS18*CR24</f>
        <v>1449066.5995144614</v>
      </c>
      <c r="CT17" s="304">
        <f>CT18*CS24</f>
        <v>1709391.0847959386</v>
      </c>
      <c r="CU17" s="304">
        <f>CU18*CT24</f>
        <v>1775601.4508764239</v>
      </c>
      <c r="CV17" s="304">
        <f>CV18*CU24</f>
        <v>1619908.1077955088</v>
      </c>
      <c r="CW17" s="91">
        <f>SUM(CS17:CV17)</f>
        <v>6553967.2429823326</v>
      </c>
      <c r="CX17" s="304">
        <f>CX18*CW24</f>
        <v>1521198.5282822088</v>
      </c>
      <c r="CY17" s="304">
        <f>CY18*CX24</f>
        <v>1786350.6667522551</v>
      </c>
      <c r="CZ17" s="304">
        <f>CZ18*CY24</f>
        <v>1851718.2725645974</v>
      </c>
      <c r="DA17" s="304">
        <f>DA18*CZ24</f>
        <v>1687683.6346942892</v>
      </c>
      <c r="DB17" s="91">
        <f>SUM(CX17:DA17)</f>
        <v>6846951.1022933507</v>
      </c>
    </row>
    <row r="18" spans="1:106" ht="11.25" customHeight="1" x14ac:dyDescent="0.35">
      <c r="A18" s="150" t="s">
        <v>63</v>
      </c>
      <c r="B18" s="154" t="e">
        <f t="shared" ref="B18:E18" si="119">B17/A24</f>
        <v>#VALUE!</v>
      </c>
      <c r="C18" s="154" t="e">
        <f t="shared" si="119"/>
        <v>#DIV/0!</v>
      </c>
      <c r="D18" s="154" t="e">
        <f t="shared" si="119"/>
        <v>#DIV/0!</v>
      </c>
      <c r="E18" s="154" t="e">
        <f t="shared" si="119"/>
        <v>#DIV/0!</v>
      </c>
      <c r="F18" s="24" t="e">
        <f t="shared" ref="F18" si="120">F17/AVERAGE(B24:E24)</f>
        <v>#DIV/0!</v>
      </c>
      <c r="G18" s="154" t="e">
        <f t="shared" ref="G18:J18" si="121">G17/F24</f>
        <v>#DIV/0!</v>
      </c>
      <c r="H18" s="154" t="e">
        <f t="shared" si="121"/>
        <v>#DIV/0!</v>
      </c>
      <c r="I18" s="154" t="e">
        <f t="shared" si="121"/>
        <v>#DIV/0!</v>
      </c>
      <c r="J18" s="154" t="e">
        <f t="shared" si="121"/>
        <v>#DIV/0!</v>
      </c>
      <c r="K18" s="24" t="e">
        <f t="shared" ref="K18" si="122">K17/AVERAGE(G24:J24)</f>
        <v>#DIV/0!</v>
      </c>
      <c r="L18" s="154" t="e">
        <f t="shared" ref="L18:O18" si="123">L17/K24</f>
        <v>#DIV/0!</v>
      </c>
      <c r="M18" s="154" t="e">
        <f t="shared" si="123"/>
        <v>#DIV/0!</v>
      </c>
      <c r="N18" s="154" t="e">
        <f t="shared" si="123"/>
        <v>#DIV/0!</v>
      </c>
      <c r="O18" s="154" t="e">
        <f t="shared" si="123"/>
        <v>#DIV/0!</v>
      </c>
      <c r="P18" s="24" t="e">
        <f t="shared" ref="P18" si="124">P17/AVERAGE(L24:O24)</f>
        <v>#DIV/0!</v>
      </c>
      <c r="Q18" s="154" t="e">
        <f t="shared" ref="Q18:T18" si="125">Q17/P24</f>
        <v>#DIV/0!</v>
      </c>
      <c r="R18" s="154" t="e">
        <f t="shared" si="125"/>
        <v>#DIV/0!</v>
      </c>
      <c r="S18" s="154" t="e">
        <f t="shared" si="125"/>
        <v>#DIV/0!</v>
      </c>
      <c r="T18" s="154" t="e">
        <f t="shared" si="125"/>
        <v>#DIV/0!</v>
      </c>
      <c r="U18" s="24" t="e">
        <f t="shared" ref="U18" si="126">U17/AVERAGE(Q24:T24)</f>
        <v>#DIV/0!</v>
      </c>
      <c r="V18" s="154" t="e">
        <f t="shared" ref="V18:Y18" si="127">V17/U24</f>
        <v>#DIV/0!</v>
      </c>
      <c r="W18" s="154" t="e">
        <f t="shared" si="127"/>
        <v>#DIV/0!</v>
      </c>
      <c r="X18" s="154" t="e">
        <f t="shared" si="127"/>
        <v>#DIV/0!</v>
      </c>
      <c r="Y18" s="154" t="e">
        <f t="shared" si="127"/>
        <v>#DIV/0!</v>
      </c>
      <c r="Z18" s="24" t="e">
        <f t="shared" ref="Z18" si="128">Z17/AVERAGE(V24:Y24)</f>
        <v>#DIV/0!</v>
      </c>
      <c r="AA18" s="154" t="e">
        <f t="shared" ref="AA18:AD18" si="129">AA17/Z24</f>
        <v>#DIV/0!</v>
      </c>
      <c r="AB18" s="154" t="e">
        <f t="shared" si="129"/>
        <v>#DIV/0!</v>
      </c>
      <c r="AC18" s="154" t="e">
        <f t="shared" si="129"/>
        <v>#DIV/0!</v>
      </c>
      <c r="AD18" s="154" t="e">
        <f t="shared" si="129"/>
        <v>#DIV/0!</v>
      </c>
      <c r="AE18" s="24" t="e">
        <f t="shared" ref="AE18" si="130">AE17/AVERAGE(AA24:AD24)</f>
        <v>#DIV/0!</v>
      </c>
      <c r="AF18" s="154" t="e">
        <f>AF17/AE24</f>
        <v>#DIV/0!</v>
      </c>
      <c r="AG18" s="154" t="e">
        <f>AG17/AF24</f>
        <v>#DIV/0!</v>
      </c>
      <c r="AH18" s="154" t="e">
        <f>AH17/AG24</f>
        <v>#DIV/0!</v>
      </c>
      <c r="AI18" s="154" t="e">
        <f>AI17/AH24</f>
        <v>#DIV/0!</v>
      </c>
      <c r="AJ18" s="24" t="e">
        <f>AJ17/AVERAGE(AF24:AI24)</f>
        <v>#DIV/0!</v>
      </c>
      <c r="AK18" s="154" t="e">
        <f>AK17/AJ24</f>
        <v>#DIV/0!</v>
      </c>
      <c r="AL18" s="154">
        <f>AL17/AK24</f>
        <v>0.41138464448500295</v>
      </c>
      <c r="AM18" s="154">
        <f>AM17/AL24</f>
        <v>0.39656129452401101</v>
      </c>
      <c r="AN18" s="154">
        <f>AN17/AM24</f>
        <v>0.53029319535702302</v>
      </c>
      <c r="AO18" s="24">
        <f>AO17/AVERAGE(AK24:AN24)</f>
        <v>1.5855248515443006</v>
      </c>
      <c r="AP18" s="154">
        <f>AP17/AO24</f>
        <v>0.40392835871841687</v>
      </c>
      <c r="AQ18" s="154">
        <f>AQ17/AP24</f>
        <v>0.48589472748902307</v>
      </c>
      <c r="AR18" s="154">
        <f>AR17/AQ24</f>
        <v>0.4548242672214497</v>
      </c>
      <c r="AS18" s="154">
        <f>AS17/AR24</f>
        <v>0.40785107005761206</v>
      </c>
      <c r="AT18" s="24">
        <f>AT17/AVERAGE(AP24:AS24)</f>
        <v>1.770253945428476</v>
      </c>
      <c r="AU18" s="154">
        <f>AU17/AT24</f>
        <v>0.41290288053510105</v>
      </c>
      <c r="AV18" s="154">
        <f>AV17/AU24</f>
        <v>0.58822325253754149</v>
      </c>
      <c r="AW18" s="154">
        <f>AW17/AV24</f>
        <v>0.45958497746187771</v>
      </c>
      <c r="AX18" s="154">
        <f>AX17/AW24</f>
        <v>0.31239691540764331</v>
      </c>
      <c r="AY18" s="24">
        <f>AY17/AVERAGE(AU24:AX24)</f>
        <v>1.5959778868702226</v>
      </c>
      <c r="AZ18" s="154">
        <f>AZ17/AY24</f>
        <v>0.4503937435471328</v>
      </c>
      <c r="BA18" s="154">
        <f>BA17/AZ24</f>
        <v>0.43719879643666748</v>
      </c>
      <c r="BB18" s="154">
        <f>BB17/BA24</f>
        <v>0.54032071149752758</v>
      </c>
      <c r="BC18" s="154">
        <f>BC17/BB24</f>
        <v>0.42411581271996918</v>
      </c>
      <c r="BD18" s="24">
        <f>BD17/AVERAGE(AZ24:BC24)</f>
        <v>1.6673759606462222</v>
      </c>
      <c r="BE18" s="154">
        <f>BE17/BD24</f>
        <v>0.31664586377508241</v>
      </c>
      <c r="BF18" s="154">
        <f>BF17/BE24</f>
        <v>0.46438605526382037</v>
      </c>
      <c r="BG18" s="154">
        <f>BG17/BF24</f>
        <v>0.44601591942682928</v>
      </c>
      <c r="BH18" s="154">
        <f>BH17/BG24</f>
        <v>0.35094012492289312</v>
      </c>
      <c r="BI18" s="24">
        <f>BI17/AVERAGE(BE24:BH24)</f>
        <v>1.4594147381436029</v>
      </c>
      <c r="BJ18" s="154">
        <f>BJ17/BI24</f>
        <v>0.35445365330859929</v>
      </c>
      <c r="BK18" s="154">
        <f>BK17/BJ24</f>
        <v>0.54082543450559495</v>
      </c>
      <c r="BL18" s="154">
        <f>BL17/BK24</f>
        <v>0.45201289570165015</v>
      </c>
      <c r="BM18" s="154">
        <f>BM17/BL24</f>
        <v>0.42540431861001943</v>
      </c>
      <c r="BN18" s="24">
        <f>BN17/AVERAGE(BJ24:BM24)</f>
        <v>1.7446672739808047</v>
      </c>
      <c r="BO18" s="154">
        <f>BO17/BN24</f>
        <v>0.34482953296165131</v>
      </c>
      <c r="BP18" s="154">
        <f>BP17/BO24</f>
        <v>0.60993827340225992</v>
      </c>
      <c r="BQ18" s="154">
        <f>BQ17/BP24</f>
        <v>0.4315837604538742</v>
      </c>
      <c r="BR18" s="154">
        <f>BR17/BQ24</f>
        <v>0.34901806868367963</v>
      </c>
      <c r="BS18" s="24">
        <f>BS17/AVERAGE(BO24:BR24)</f>
        <v>1.6498004824417849</v>
      </c>
      <c r="BT18" s="154">
        <f>BT17/BS24</f>
        <v>0.44076100450513489</v>
      </c>
      <c r="BU18" s="154">
        <f>BU17/BT24</f>
        <v>0.53651619831924258</v>
      </c>
      <c r="BV18" s="154">
        <f>BV17/BU24</f>
        <v>0.50785204144210594</v>
      </c>
      <c r="BW18" s="154">
        <f>BW17/BV24</f>
        <v>0.32884856490431819</v>
      </c>
      <c r="BX18" s="24">
        <f>BX17/AVERAGE(BT24:BW24)</f>
        <v>1.7010167957462641</v>
      </c>
      <c r="BY18" s="154">
        <f>BY17/BX24</f>
        <v>0.37751362543944139</v>
      </c>
      <c r="BZ18" s="154">
        <f>BZ17/BY24</f>
        <v>0.49572399954026486</v>
      </c>
      <c r="CA18" s="154">
        <f>CA17/BZ24</f>
        <v>0.41038415630329184</v>
      </c>
      <c r="CB18" s="154">
        <f>CB17/CA24</f>
        <v>0.42323205884549325</v>
      </c>
      <c r="CC18" s="24">
        <f>CC17/AVERAGE(BY24:CB24)</f>
        <v>1.6237361946439437</v>
      </c>
      <c r="CD18" s="154">
        <f>CD17/CC24</f>
        <v>0.50041383036196652</v>
      </c>
      <c r="CE18" s="154">
        <f>CE17/CD24</f>
        <v>0.34176440182518181</v>
      </c>
      <c r="CF18" s="181">
        <v>0.42499999999999999</v>
      </c>
      <c r="CG18" s="181">
        <v>0.42499999999999999</v>
      </c>
      <c r="CH18" s="24">
        <f>CH17/AVERAGE(CD24:CG24)</f>
        <v>1.6084270090628199</v>
      </c>
      <c r="CI18" s="181">
        <v>0.42499999999999999</v>
      </c>
      <c r="CJ18" s="154">
        <f>CI18</f>
        <v>0.42499999999999999</v>
      </c>
      <c r="CK18" s="154">
        <f t="shared" ref="CK18:CL18" si="131">CJ18</f>
        <v>0.42499999999999999</v>
      </c>
      <c r="CL18" s="154">
        <f t="shared" si="131"/>
        <v>0.42499999999999999</v>
      </c>
      <c r="CM18" s="24">
        <f>CM17/AVERAGE(CH24:CK24)</f>
        <v>1.6999999999999997</v>
      </c>
      <c r="CN18" s="181">
        <v>0.4</v>
      </c>
      <c r="CO18" s="154">
        <f>CN18</f>
        <v>0.4</v>
      </c>
      <c r="CP18" s="154">
        <f t="shared" ref="CP18:CQ18" si="132">CO18</f>
        <v>0.4</v>
      </c>
      <c r="CQ18" s="154">
        <f t="shared" si="132"/>
        <v>0.4</v>
      </c>
      <c r="CR18" s="24">
        <f>CR17/AVERAGE(CM24:CP24)</f>
        <v>1.6</v>
      </c>
      <c r="CS18" s="154">
        <f>CN18</f>
        <v>0.4</v>
      </c>
      <c r="CT18" s="154">
        <f>CO18</f>
        <v>0.4</v>
      </c>
      <c r="CU18" s="154">
        <f>CP18</f>
        <v>0.4</v>
      </c>
      <c r="CV18" s="154">
        <f>CQ18</f>
        <v>0.4</v>
      </c>
      <c r="CW18" s="24">
        <f>CW17/AVERAGE(CR24:CU24)</f>
        <v>1.6</v>
      </c>
      <c r="CX18" s="154">
        <f>CS18</f>
        <v>0.4</v>
      </c>
      <c r="CY18" s="154">
        <f>CT18</f>
        <v>0.4</v>
      </c>
      <c r="CZ18" s="154">
        <f>CU18</f>
        <v>0.4</v>
      </c>
      <c r="DA18" s="154">
        <f>CV18</f>
        <v>0.4</v>
      </c>
      <c r="DB18" s="24">
        <f>DB17/AVERAGE(CW24:CZ24)</f>
        <v>1.6000000000000003</v>
      </c>
    </row>
    <row r="19" spans="1:106" ht="11.25" customHeight="1" x14ac:dyDescent="0.35">
      <c r="A19" s="16" t="s">
        <v>265</v>
      </c>
      <c r="B19" s="402"/>
      <c r="C19" s="402"/>
      <c r="D19" s="402"/>
      <c r="E19" s="401"/>
      <c r="F19" s="91">
        <f t="shared" ref="F19" si="133">SUM(B19:E19)</f>
        <v>0</v>
      </c>
      <c r="G19" s="402"/>
      <c r="H19" s="402"/>
      <c r="I19" s="402"/>
      <c r="J19" s="401"/>
      <c r="K19" s="91">
        <f t="shared" ref="K19" si="134">SUM(G19:J19)</f>
        <v>0</v>
      </c>
      <c r="L19" s="402"/>
      <c r="M19" s="402"/>
      <c r="N19" s="402"/>
      <c r="O19" s="401"/>
      <c r="P19" s="91">
        <f t="shared" ref="P19" si="135">SUM(L19:O19)</f>
        <v>0</v>
      </c>
      <c r="Q19" s="402"/>
      <c r="R19" s="402"/>
      <c r="S19" s="402"/>
      <c r="T19" s="401"/>
      <c r="U19" s="91">
        <f t="shared" ref="U19" si="136">SUM(Q19:T19)</f>
        <v>0</v>
      </c>
      <c r="V19" s="402"/>
      <c r="W19" s="402"/>
      <c r="X19" s="402"/>
      <c r="Y19" s="401"/>
      <c r="Z19" s="91">
        <f t="shared" ref="Z19" si="137">SUM(V19:Y19)</f>
        <v>0</v>
      </c>
      <c r="AA19" s="402"/>
      <c r="AB19" s="402"/>
      <c r="AC19" s="402"/>
      <c r="AD19" s="401"/>
      <c r="AE19" s="91">
        <f t="shared" ref="AE19" si="138">SUM(AA19:AD19)</f>
        <v>0</v>
      </c>
      <c r="AF19" s="402"/>
      <c r="AG19" s="402"/>
      <c r="AH19" s="402"/>
      <c r="AI19" s="401"/>
      <c r="AJ19" s="91">
        <f>SUM(AF19:AI19)</f>
        <v>0</v>
      </c>
      <c r="AK19" s="402">
        <v>46288.12025</v>
      </c>
      <c r="AL19" s="402">
        <v>45100.844980000002</v>
      </c>
      <c r="AM19" s="402">
        <v>34064.877780000003</v>
      </c>
      <c r="AN19" s="401">
        <v>52447.211920000002</v>
      </c>
      <c r="AO19" s="91">
        <f>SUM(AK19:AN19)</f>
        <v>177901.05493000001</v>
      </c>
      <c r="AP19" s="402">
        <v>41692.50273</v>
      </c>
      <c r="AQ19" s="402">
        <v>55971.700380000002</v>
      </c>
      <c r="AR19" s="402">
        <v>47215.566630000001</v>
      </c>
      <c r="AS19" s="401">
        <v>34768.15365</v>
      </c>
      <c r="AT19" s="91">
        <f>SUM(AP19:AS19)</f>
        <v>179647.92339000001</v>
      </c>
      <c r="AU19" s="402">
        <v>35940.691590000002</v>
      </c>
      <c r="AV19" s="402">
        <v>50556.575640000003</v>
      </c>
      <c r="AW19" s="402">
        <v>41039.796840000003</v>
      </c>
      <c r="AX19" s="401">
        <v>42287.872479999998</v>
      </c>
      <c r="AY19" s="91">
        <f>SUM(AU19:AX19)</f>
        <v>169824.93654999998</v>
      </c>
      <c r="AZ19" s="402">
        <v>40452.261830000003</v>
      </c>
      <c r="BA19" s="402">
        <v>41687.638919999998</v>
      </c>
      <c r="BB19" s="402">
        <v>57087.342470000003</v>
      </c>
      <c r="BC19" s="401">
        <v>43555.616040000001</v>
      </c>
      <c r="BD19" s="91">
        <f>SUM(AZ19:BC19)</f>
        <v>182782.85926</v>
      </c>
      <c r="BE19" s="402">
        <v>43145.265700000004</v>
      </c>
      <c r="BF19" s="402">
        <v>53890.714890000003</v>
      </c>
      <c r="BG19" s="402">
        <v>66331.284069999994</v>
      </c>
      <c r="BH19" s="401">
        <v>60327.682560000001</v>
      </c>
      <c r="BI19" s="91">
        <f>SUM(BE19:BH19)</f>
        <v>223694.94721999997</v>
      </c>
      <c r="BJ19" s="402">
        <v>59374.042319999993</v>
      </c>
      <c r="BK19" s="402">
        <v>89935.357540000012</v>
      </c>
      <c r="BL19" s="402">
        <v>81430.700509999995</v>
      </c>
      <c r="BM19" s="401">
        <v>82449.072239999994</v>
      </c>
      <c r="BN19" s="91">
        <f>SUM(BJ19:BM19)</f>
        <v>313189.17261000001</v>
      </c>
      <c r="BO19" s="402">
        <v>85145.044269999984</v>
      </c>
      <c r="BP19" s="402">
        <v>148317.92300000001</v>
      </c>
      <c r="BQ19" s="402">
        <v>181679.16709999999</v>
      </c>
      <c r="BR19" s="401">
        <v>120462.53</v>
      </c>
      <c r="BS19" s="91">
        <f>SUM(BO19:BR19)</f>
        <v>535604.66437000001</v>
      </c>
      <c r="BT19" s="402">
        <v>127353.59656999999</v>
      </c>
      <c r="BU19" s="402">
        <v>176980.55781999999</v>
      </c>
      <c r="BV19" s="402">
        <v>153090</v>
      </c>
      <c r="BW19" s="401">
        <v>107255</v>
      </c>
      <c r="BX19" s="91">
        <f>SUM(BT19:BW19)</f>
        <v>564679.15439000004</v>
      </c>
      <c r="BY19" s="402">
        <v>119838.22794</v>
      </c>
      <c r="BZ19" s="402">
        <v>236641.65872000004</v>
      </c>
      <c r="CA19" s="402">
        <v>224800</v>
      </c>
      <c r="CB19" s="401">
        <v>157700</v>
      </c>
      <c r="CC19" s="91">
        <f>SUM(BY19:CB19)</f>
        <v>738979.88666000008</v>
      </c>
      <c r="CD19" s="402">
        <v>229300</v>
      </c>
      <c r="CE19" s="402">
        <v>171200</v>
      </c>
      <c r="CF19" s="304">
        <f t="shared" ref="CF19:CG19" si="139">(CF15+CF17)*CF20</f>
        <v>187218.40486473622</v>
      </c>
      <c r="CG19" s="304">
        <f t="shared" si="139"/>
        <v>176360.41348381853</v>
      </c>
      <c r="CH19" s="91">
        <f>SUM(CD19:CG19)</f>
        <v>764078.81834855478</v>
      </c>
      <c r="CI19" s="304">
        <f t="shared" ref="CI19" si="140">(CI15+CI17)*CI20</f>
        <v>248702.17163570446</v>
      </c>
      <c r="CJ19" s="304">
        <f t="shared" ref="CJ19" si="141">(CJ15+CJ17)*CJ20</f>
        <v>255839.86630662388</v>
      </c>
      <c r="CK19" s="304">
        <f t="shared" ref="CK19" si="142">(CK15+CK17)*CK20</f>
        <v>227076.76227589906</v>
      </c>
      <c r="CL19" s="304">
        <f t="shared" ref="CL19" si="143">(CL15+CL17)*CL20</f>
        <v>214870.55265266128</v>
      </c>
      <c r="CM19" s="91">
        <f t="shared" ref="CM19" si="144">SUM(CI19:CL19)</f>
        <v>946489.35287088878</v>
      </c>
      <c r="CN19" s="304">
        <f t="shared" ref="CN19" si="145">(CN15+CN17)*CN20</f>
        <v>259922.8749074442</v>
      </c>
      <c r="CO19" s="304">
        <f t="shared" ref="CO19" si="146">(CO15+CO17)*CO20</f>
        <v>265348.24706284981</v>
      </c>
      <c r="CP19" s="304">
        <f t="shared" ref="CP19" si="147">(CP15+CP17)*CP20</f>
        <v>235268.88488553354</v>
      </c>
      <c r="CQ19" s="304">
        <f t="shared" ref="CQ19" si="148">(CQ15+CQ17)*CQ20</f>
        <v>223647.24662596913</v>
      </c>
      <c r="CR19" s="91">
        <f t="shared" ref="CR19" si="149">SUM(CN19:CQ19)</f>
        <v>984187.25348179671</v>
      </c>
      <c r="CS19" s="304">
        <f t="shared" ref="CS19" si="150">(CS15+CS17)*CS20</f>
        <v>278027.90326246293</v>
      </c>
      <c r="CT19" s="304">
        <f t="shared" ref="CT19" si="151">(CT15+CT17)*CT20</f>
        <v>280798.32922342181</v>
      </c>
      <c r="CU19" s="304">
        <f t="shared" ref="CU19" si="152">(CU15+CU17)*CU20</f>
        <v>247711.89976432963</v>
      </c>
      <c r="CV19" s="304">
        <f t="shared" ref="CV19" si="153">(CV15+CV17)*CV20</f>
        <v>234477.96560245185</v>
      </c>
      <c r="CW19" s="91">
        <f t="shared" ref="CW19" si="154">SUM(CS19:CV19)</f>
        <v>1041016.0978526663</v>
      </c>
      <c r="CX19" s="304">
        <f t="shared" ref="CX19" si="155">(CX15+CX17)*CX20</f>
        <v>290275.18823305104</v>
      </c>
      <c r="CY19" s="304">
        <f t="shared" ref="CY19" si="156">(CY15+CY17)*CY20</f>
        <v>292691.45583687205</v>
      </c>
      <c r="CZ19" s="304">
        <f t="shared" ref="CZ19" si="157">(CZ15+CZ17)*CZ20</f>
        <v>258004.37399865538</v>
      </c>
      <c r="DA19" s="304">
        <f t="shared" ref="DA19" si="158">(DA15+DA17)*DA20</f>
        <v>244061.42977967917</v>
      </c>
      <c r="DB19" s="91">
        <f t="shared" ref="DB19" si="159">SUM(CX19:DA19)</f>
        <v>1085032.4478482576</v>
      </c>
    </row>
    <row r="20" spans="1:106" ht="11.25" customHeight="1" x14ac:dyDescent="0.35">
      <c r="A20" s="150" t="s">
        <v>357</v>
      </c>
      <c r="B20" s="400" t="e">
        <f>B19/('BS &amp; FCF'!AB8+IS!AB107)</f>
        <v>#DIV/0!</v>
      </c>
      <c r="C20" s="400" t="e">
        <f>C19/('BS &amp; FCF'!AC8+IS!AC107)</f>
        <v>#DIV/0!</v>
      </c>
      <c r="D20" s="400" t="e">
        <f>D19/('BS &amp; FCF'!AD8+IS!AD107)</f>
        <v>#DIV/0!</v>
      </c>
      <c r="E20" s="400" t="e">
        <f>E19/('BS &amp; FCF'!AE8+IS!AE107)</f>
        <v>#DIV/0!</v>
      </c>
      <c r="F20" s="24" t="e">
        <f>F19/('BS &amp; FCF'!AE8+IS!AE107)</f>
        <v>#DIV/0!</v>
      </c>
      <c r="G20" s="400" t="e">
        <f>G19/('BS &amp; FCF'!AG8+IS!AG107)</f>
        <v>#DIV/0!</v>
      </c>
      <c r="H20" s="400" t="e">
        <f>H19/('BS &amp; FCF'!AH8+IS!AH107)</f>
        <v>#DIV/0!</v>
      </c>
      <c r="I20" s="400" t="e">
        <f>I19/('BS &amp; FCF'!AI8+IS!AI107)</f>
        <v>#DIV/0!</v>
      </c>
      <c r="J20" s="400" t="e">
        <f>J19/('BS &amp; FCF'!AJ8+IS!AJ107)</f>
        <v>#DIV/0!</v>
      </c>
      <c r="K20" s="24" t="e">
        <f>K19/('BS &amp; FCF'!AJ8+IS!AJ107)</f>
        <v>#DIV/0!</v>
      </c>
      <c r="L20" s="400">
        <f>L19/('BS &amp; FCF'!AL8+IS!AL107)</f>
        <v>0</v>
      </c>
      <c r="M20" s="400">
        <f>M19/('BS &amp; FCF'!AM8+IS!AM107)</f>
        <v>0</v>
      </c>
      <c r="N20" s="400">
        <f>N19/('BS &amp; FCF'!AN8+IS!AN107)</f>
        <v>0</v>
      </c>
      <c r="O20" s="400">
        <f>O19/('BS &amp; FCF'!AO8+IS!AO107)</f>
        <v>0</v>
      </c>
      <c r="P20" s="24">
        <f>P19/('BS &amp; FCF'!AO8+IS!AO107)</f>
        <v>0</v>
      </c>
      <c r="Q20" s="400">
        <f>Q19/('BS &amp; FCF'!AQ8+IS!AQ107)</f>
        <v>0</v>
      </c>
      <c r="R20" s="400">
        <f>R19/('BS &amp; FCF'!AR8+IS!AR107)</f>
        <v>0</v>
      </c>
      <c r="S20" s="400">
        <f>S19/('BS &amp; FCF'!AS8+IS!AS107)</f>
        <v>0</v>
      </c>
      <c r="T20" s="400">
        <f>T19/('BS &amp; FCF'!AT8+IS!AT107)</f>
        <v>0</v>
      </c>
      <c r="U20" s="24">
        <f>U19/('BS &amp; FCF'!AT8+IS!AT107)</f>
        <v>0</v>
      </c>
      <c r="V20" s="400">
        <f>V19/('BS &amp; FCF'!AV8+IS!AV107)</f>
        <v>0</v>
      </c>
      <c r="W20" s="400">
        <f>W19/('BS &amp; FCF'!AW8+IS!AW107)</f>
        <v>0</v>
      </c>
      <c r="X20" s="400">
        <f>X19/('BS &amp; FCF'!AX8+IS!AX107)</f>
        <v>0</v>
      </c>
      <c r="Y20" s="400">
        <f>Y19/('BS &amp; FCF'!AY8+IS!AY107)</f>
        <v>0</v>
      </c>
      <c r="Z20" s="24">
        <f>Z19/('BS &amp; FCF'!AY8+IS!AY107)</f>
        <v>0</v>
      </c>
      <c r="AA20" s="400">
        <f>AA19/('BS &amp; FCF'!BA8+IS!BA107)</f>
        <v>0</v>
      </c>
      <c r="AB20" s="400">
        <f>AB19/('BS &amp; FCF'!BB8+IS!BB107)</f>
        <v>0</v>
      </c>
      <c r="AC20" s="400">
        <f>AC19/('BS &amp; FCF'!BC8+IS!BC107)</f>
        <v>0</v>
      </c>
      <c r="AD20" s="400">
        <f>AD19/('BS &amp; FCF'!BD8+IS!BD107)</f>
        <v>0</v>
      </c>
      <c r="AE20" s="24">
        <f>AE19/('BS &amp; FCF'!BD8+IS!BD107)</f>
        <v>0</v>
      </c>
      <c r="AF20" s="400">
        <f>AF19/('BS &amp; FCF'!BF8+IS!BF107)</f>
        <v>0</v>
      </c>
      <c r="AG20" s="400">
        <f>AG19/('BS &amp; FCF'!BG8+IS!BG107)</f>
        <v>0</v>
      </c>
      <c r="AH20" s="400">
        <f>AH19/('BS &amp; FCF'!BH8+IS!BH107)</f>
        <v>0</v>
      </c>
      <c r="AI20" s="400">
        <f>AI19/('BS &amp; FCF'!BI8+IS!BI107)</f>
        <v>0</v>
      </c>
      <c r="AJ20" s="24">
        <f>AJ19/('BS &amp; FCF'!BI8+IS!BI107)</f>
        <v>0</v>
      </c>
      <c r="AK20" s="400">
        <f t="shared" ref="AK20:BY20" si="160">AK19/(AK17+AK15)</f>
        <v>0.30255102860299488</v>
      </c>
      <c r="AL20" s="400">
        <f t="shared" si="160"/>
        <v>0.27131528508633057</v>
      </c>
      <c r="AM20" s="400">
        <f t="shared" si="160"/>
        <v>0.14595728734467814</v>
      </c>
      <c r="AN20" s="400">
        <f t="shared" si="160"/>
        <v>0.14310628590695937</v>
      </c>
      <c r="AO20" s="24">
        <f t="shared" si="160"/>
        <v>0.19355925543488359</v>
      </c>
      <c r="AP20" s="400">
        <f t="shared" si="160"/>
        <v>0.23587815121234237</v>
      </c>
      <c r="AQ20" s="400">
        <f t="shared" si="160"/>
        <v>0.20965886415386353</v>
      </c>
      <c r="AR20" s="400">
        <f t="shared" si="160"/>
        <v>0.18444156631473144</v>
      </c>
      <c r="AS20" s="400">
        <f t="shared" si="160"/>
        <v>9.4827451250024633E-2</v>
      </c>
      <c r="AT20" s="24">
        <f t="shared" si="160"/>
        <v>0.16846859986483345</v>
      </c>
      <c r="AU20" s="400">
        <f t="shared" si="160"/>
        <v>0.1616357602361613</v>
      </c>
      <c r="AV20" s="400">
        <f t="shared" si="160"/>
        <v>0.19760412745242212</v>
      </c>
      <c r="AW20" s="400">
        <f t="shared" si="160"/>
        <v>0.13585329116717473</v>
      </c>
      <c r="AX20" s="400">
        <f t="shared" si="160"/>
        <v>0.11377722004453507</v>
      </c>
      <c r="AY20" s="24">
        <f t="shared" si="160"/>
        <v>0.14742189455232638</v>
      </c>
      <c r="AZ20" s="400">
        <f t="shared" si="160"/>
        <v>0.14481886762995139</v>
      </c>
      <c r="BA20" s="400">
        <f t="shared" si="160"/>
        <v>0.12489935622815709</v>
      </c>
      <c r="BB20" s="400">
        <f t="shared" si="160"/>
        <v>0.1221294802798692</v>
      </c>
      <c r="BC20" s="400">
        <f t="shared" si="160"/>
        <v>9.7187532988814218E-2</v>
      </c>
      <c r="BD20" s="24">
        <f t="shared" si="160"/>
        <v>0.11956803302527309</v>
      </c>
      <c r="BE20" s="400">
        <f t="shared" si="160"/>
        <v>6.8104182006903713E-2</v>
      </c>
      <c r="BF20" s="400">
        <f t="shared" si="160"/>
        <v>7.3174479513429438E-2</v>
      </c>
      <c r="BG20" s="400">
        <f t="shared" si="160"/>
        <v>8.8595065091638114E-2</v>
      </c>
      <c r="BH20" s="400">
        <f t="shared" si="160"/>
        <v>8.9814264305577693E-2</v>
      </c>
      <c r="BI20" s="24">
        <f t="shared" si="160"/>
        <v>8.0166398926509938E-2</v>
      </c>
      <c r="BJ20" s="400">
        <f t="shared" si="160"/>
        <v>7.3054150623616393E-2</v>
      </c>
      <c r="BK20" s="400">
        <f t="shared" si="160"/>
        <v>9.1081090711078852E-2</v>
      </c>
      <c r="BL20" s="400">
        <f t="shared" si="160"/>
        <v>8.4186695338373974E-2</v>
      </c>
      <c r="BM20" s="400">
        <f t="shared" si="160"/>
        <v>9.8680999361455052E-2</v>
      </c>
      <c r="BN20" s="24">
        <f t="shared" si="160"/>
        <v>8.6926115852894989E-2</v>
      </c>
      <c r="BO20" s="400">
        <f t="shared" si="160"/>
        <v>7.3146337217640689E-2</v>
      </c>
      <c r="BP20" s="400">
        <f t="shared" si="160"/>
        <v>0.11049793928775717</v>
      </c>
      <c r="BQ20" s="400">
        <f t="shared" si="160"/>
        <v>0.15739021856085228</v>
      </c>
      <c r="BR20" s="400">
        <f t="shared" si="160"/>
        <v>0.11750904405565603</v>
      </c>
      <c r="BS20" s="24">
        <f t="shared" si="160"/>
        <v>0.11430468693382637</v>
      </c>
      <c r="BT20" s="400">
        <f t="shared" si="160"/>
        <v>7.5828780629247111E-2</v>
      </c>
      <c r="BU20" s="400">
        <f t="shared" si="160"/>
        <v>9.1879698041721025E-2</v>
      </c>
      <c r="BV20" s="400">
        <f t="shared" si="160"/>
        <v>9.6268417357538216E-2</v>
      </c>
      <c r="BW20" s="400">
        <f t="shared" si="160"/>
        <v>7.0055381994679311E-2</v>
      </c>
      <c r="BX20" s="24">
        <f t="shared" si="160"/>
        <v>8.394277555605438E-2</v>
      </c>
      <c r="BY20" s="400">
        <f t="shared" si="160"/>
        <v>5.3849782416617004E-2</v>
      </c>
      <c r="BZ20" s="400">
        <f>BZ19/(BZ17+BZ15)</f>
        <v>9.4732265974140334E-2</v>
      </c>
      <c r="CA20" s="400">
        <f t="shared" ref="CA20:CB20" si="161">CA19/(CA17+CA15)</f>
        <v>0.10956233551028366</v>
      </c>
      <c r="CB20" s="400">
        <f t="shared" si="161"/>
        <v>9.2007001166861141E-2</v>
      </c>
      <c r="CC20" s="24">
        <f t="shared" ref="CC20:CD20" si="162">CC19/(CC17+CC15)</f>
        <v>8.7049188950821893E-2</v>
      </c>
      <c r="CD20" s="400">
        <f t="shared" si="162"/>
        <v>9.0492916058250134E-2</v>
      </c>
      <c r="CE20" s="400">
        <f>CE19/(CE17+CE15)</f>
        <v>7.7231921324491359E-2</v>
      </c>
      <c r="CF20" s="154">
        <f t="shared" ref="CF20:CG20" si="163">CE20</f>
        <v>7.7231921324491359E-2</v>
      </c>
      <c r="CG20" s="154">
        <f t="shared" si="163"/>
        <v>7.7231921324491359E-2</v>
      </c>
      <c r="CH20" s="24">
        <f t="shared" ref="CH20" si="164">CH19/(CH17+CH15)</f>
        <v>8.0784600542696913E-2</v>
      </c>
      <c r="CI20" s="181">
        <v>8.5000000000000006E-2</v>
      </c>
      <c r="CJ20" s="154">
        <f t="shared" ref="CJ20:CL20" si="165">CI20</f>
        <v>8.5000000000000006E-2</v>
      </c>
      <c r="CK20" s="154">
        <f t="shared" si="165"/>
        <v>8.5000000000000006E-2</v>
      </c>
      <c r="CL20" s="154">
        <f t="shared" si="165"/>
        <v>8.5000000000000006E-2</v>
      </c>
      <c r="CM20" s="24">
        <f t="shared" ref="CM20" si="166">CM19/(CM17+CM15)</f>
        <v>8.5000000000000006E-2</v>
      </c>
      <c r="CN20" s="181">
        <v>8.5000000000000006E-2</v>
      </c>
      <c r="CO20" s="154">
        <f t="shared" ref="CO20:CQ20" si="167">CN20</f>
        <v>8.5000000000000006E-2</v>
      </c>
      <c r="CP20" s="154">
        <f t="shared" si="167"/>
        <v>8.5000000000000006E-2</v>
      </c>
      <c r="CQ20" s="154">
        <f t="shared" si="167"/>
        <v>8.5000000000000006E-2</v>
      </c>
      <c r="CR20" s="24">
        <f t="shared" ref="CR20" si="168">CR19/(CR17+CR15)</f>
        <v>8.5000000000000006E-2</v>
      </c>
      <c r="CS20" s="181">
        <v>8.5000000000000006E-2</v>
      </c>
      <c r="CT20" s="154">
        <f t="shared" ref="CT20:CV20" si="169">CS20</f>
        <v>8.5000000000000006E-2</v>
      </c>
      <c r="CU20" s="154">
        <f t="shared" si="169"/>
        <v>8.5000000000000006E-2</v>
      </c>
      <c r="CV20" s="154">
        <f t="shared" si="169"/>
        <v>8.5000000000000006E-2</v>
      </c>
      <c r="CW20" s="24">
        <f t="shared" ref="CW20" si="170">CW19/(CW17+CW15)</f>
        <v>8.5000000000000006E-2</v>
      </c>
      <c r="CX20" s="181">
        <v>8.5000000000000006E-2</v>
      </c>
      <c r="CY20" s="154">
        <f t="shared" ref="CY20:DA20" si="171">CX20</f>
        <v>8.5000000000000006E-2</v>
      </c>
      <c r="CZ20" s="154">
        <f t="shared" si="171"/>
        <v>8.5000000000000006E-2</v>
      </c>
      <c r="DA20" s="154">
        <f t="shared" si="171"/>
        <v>8.5000000000000006E-2</v>
      </c>
      <c r="DB20" s="24">
        <f t="shared" ref="DB20" si="172">DB19/(DB17+DB15)</f>
        <v>8.4999999999999992E-2</v>
      </c>
    </row>
    <row r="21" spans="1:106" ht="11.25" customHeight="1" x14ac:dyDescent="0.35">
      <c r="A21" s="75" t="s">
        <v>65</v>
      </c>
      <c r="B21" s="98">
        <f t="shared" ref="B21:E21" si="173">B17-B19</f>
        <v>0</v>
      </c>
      <c r="C21" s="98">
        <f t="shared" si="173"/>
        <v>0</v>
      </c>
      <c r="D21" s="98">
        <f t="shared" si="173"/>
        <v>0</v>
      </c>
      <c r="E21" s="98">
        <f t="shared" si="173"/>
        <v>0</v>
      </c>
      <c r="F21" s="133">
        <f t="shared" ref="F21" si="174">SUM(B21:E21)</f>
        <v>0</v>
      </c>
      <c r="G21" s="98">
        <f t="shared" ref="G21:J21" si="175">G17-G19</f>
        <v>0</v>
      </c>
      <c r="H21" s="98">
        <f t="shared" si="175"/>
        <v>0</v>
      </c>
      <c r="I21" s="98">
        <f t="shared" si="175"/>
        <v>0</v>
      </c>
      <c r="J21" s="98">
        <f t="shared" si="175"/>
        <v>0</v>
      </c>
      <c r="K21" s="133">
        <f t="shared" ref="K21" si="176">SUM(G21:J21)</f>
        <v>0</v>
      </c>
      <c r="L21" s="98">
        <f t="shared" ref="L21:O21" si="177">L17-L19</f>
        <v>0</v>
      </c>
      <c r="M21" s="98">
        <f t="shared" si="177"/>
        <v>0</v>
      </c>
      <c r="N21" s="98">
        <f t="shared" si="177"/>
        <v>0</v>
      </c>
      <c r="O21" s="98">
        <f t="shared" si="177"/>
        <v>0</v>
      </c>
      <c r="P21" s="133">
        <f t="shared" ref="P21" si="178">SUM(L21:O21)</f>
        <v>0</v>
      </c>
      <c r="Q21" s="98">
        <f t="shared" ref="Q21:T21" si="179">Q17-Q19</f>
        <v>0</v>
      </c>
      <c r="R21" s="98">
        <f t="shared" si="179"/>
        <v>0</v>
      </c>
      <c r="S21" s="98">
        <f t="shared" si="179"/>
        <v>0</v>
      </c>
      <c r="T21" s="98">
        <f t="shared" si="179"/>
        <v>0</v>
      </c>
      <c r="U21" s="133">
        <f t="shared" ref="U21" si="180">SUM(Q21:T21)</f>
        <v>0</v>
      </c>
      <c r="V21" s="98">
        <f t="shared" ref="V21:Y21" si="181">V17-V19</f>
        <v>0</v>
      </c>
      <c r="W21" s="98">
        <f t="shared" si="181"/>
        <v>0</v>
      </c>
      <c r="X21" s="98">
        <f t="shared" si="181"/>
        <v>0</v>
      </c>
      <c r="Y21" s="98">
        <f t="shared" si="181"/>
        <v>0</v>
      </c>
      <c r="Z21" s="133">
        <f t="shared" ref="Z21" si="182">SUM(V21:Y21)</f>
        <v>0</v>
      </c>
      <c r="AA21" s="98">
        <f t="shared" ref="AA21:AD21" si="183">AA17-AA19</f>
        <v>0</v>
      </c>
      <c r="AB21" s="98">
        <f t="shared" si="183"/>
        <v>0</v>
      </c>
      <c r="AC21" s="98">
        <f t="shared" si="183"/>
        <v>0</v>
      </c>
      <c r="AD21" s="98">
        <f t="shared" si="183"/>
        <v>0</v>
      </c>
      <c r="AE21" s="133">
        <f t="shared" ref="AE21" si="184">SUM(AA21:AD21)</f>
        <v>0</v>
      </c>
      <c r="AF21" s="98">
        <f>AF17-AF19</f>
        <v>0</v>
      </c>
      <c r="AG21" s="98">
        <f>AG17-AG19</f>
        <v>0</v>
      </c>
      <c r="AH21" s="98">
        <f>AH17-AH19</f>
        <v>0</v>
      </c>
      <c r="AI21" s="98">
        <f>AI17-AI19</f>
        <v>0</v>
      </c>
      <c r="AJ21" s="133">
        <f>SUM(AF21:AI21)</f>
        <v>0</v>
      </c>
      <c r="AK21" s="98">
        <f>AK17-AK19</f>
        <v>53113.547920000034</v>
      </c>
      <c r="AL21" s="98">
        <f>AL17-AL19</f>
        <v>105062.47185999999</v>
      </c>
      <c r="AM21" s="98">
        <f>AM17-AM19</f>
        <v>82795.982089999976</v>
      </c>
      <c r="AN21" s="98">
        <f>AN17-AN19</f>
        <v>172286.81408999965</v>
      </c>
      <c r="AO21" s="133">
        <f>SUM(AK21:AN21)</f>
        <v>413258.81595999969</v>
      </c>
      <c r="AP21" s="98">
        <f>AP17-AP19</f>
        <v>123068.05098</v>
      </c>
      <c r="AQ21" s="98">
        <f>AQ17-AQ19</f>
        <v>131241.47052999999</v>
      </c>
      <c r="AR21" s="98">
        <f>AR17-AR19</f>
        <v>115152.71260999997</v>
      </c>
      <c r="AS21" s="98">
        <f>AS17-AS19</f>
        <v>146238.24110999994</v>
      </c>
      <c r="AT21" s="133">
        <f>SUM(AP21:AS21)</f>
        <v>515700.47522999992</v>
      </c>
      <c r="AU21" s="98">
        <f>AU17-AU19</f>
        <v>123064.60740999991</v>
      </c>
      <c r="AV21" s="98">
        <f>AV17-AV19</f>
        <v>178173.30055000007</v>
      </c>
      <c r="AW21" s="98">
        <f>AW17-AW19</f>
        <v>113735.60098999986</v>
      </c>
      <c r="AX21" s="98">
        <f>AX17-AX19</f>
        <v>102472.6130500001</v>
      </c>
      <c r="AY21" s="133">
        <f>SUM(AU21:AX21)</f>
        <v>517446.12199999992</v>
      </c>
      <c r="AZ21" s="98">
        <f>AZ17-AZ19</f>
        <v>199833.00819999989</v>
      </c>
      <c r="BA21" s="98">
        <f>BA17-BA19</f>
        <v>158754.05511000004</v>
      </c>
      <c r="BB21" s="98">
        <f>BB17-BB19</f>
        <v>200142.97643000007</v>
      </c>
      <c r="BC21" s="98">
        <f>BC17-BC19</f>
        <v>157045.90926000007</v>
      </c>
      <c r="BD21" s="133">
        <f>SUM(AZ21:BC21)</f>
        <v>715775.94900000014</v>
      </c>
      <c r="BE21" s="98">
        <f>BE17-BE19</f>
        <v>193736.98665000027</v>
      </c>
      <c r="BF21" s="98">
        <f>BF17-BF19</f>
        <v>301699.47599999991</v>
      </c>
      <c r="BG21" s="98">
        <f>BG17-BG19</f>
        <v>280414.87216999987</v>
      </c>
      <c r="BH21" s="98">
        <f>BH17-BH19</f>
        <v>229945.4438471428</v>
      </c>
      <c r="BI21" s="133">
        <f>SUM(BE21:BH21)</f>
        <v>1005796.7786671428</v>
      </c>
      <c r="BJ21" s="98">
        <f>BJ17-BJ19</f>
        <v>294916.62799000007</v>
      </c>
      <c r="BK21" s="98">
        <f>BK17-BK19</f>
        <v>487369.33167000022</v>
      </c>
      <c r="BL21" s="98">
        <f>BL17-BL19</f>
        <v>487385.09467682999</v>
      </c>
      <c r="BM21" s="98">
        <f>BM17-BM19</f>
        <v>475489.87918999966</v>
      </c>
      <c r="BN21" s="133">
        <f>SUM(BJ21:BM21)</f>
        <v>1745160.9335268298</v>
      </c>
      <c r="BO21" s="98">
        <f>BO17-BO19</f>
        <v>287882.53469999984</v>
      </c>
      <c r="BP21" s="98">
        <f>BP17-BP19</f>
        <v>709803.72444200004</v>
      </c>
      <c r="BQ21" s="98">
        <f>BQ17-BQ19</f>
        <v>438186.33290999988</v>
      </c>
      <c r="BR21" s="98">
        <f>BR17-BR19</f>
        <v>380882.73490495351</v>
      </c>
      <c r="BS21" s="133">
        <f>SUM(BO21:BR21)</f>
        <v>1816755.3269569532</v>
      </c>
      <c r="BT21" s="98">
        <f>BT17-BT19</f>
        <v>500192.51470000023</v>
      </c>
      <c r="BU21" s="98">
        <f>BU17-BU19</f>
        <v>729569.19771000056</v>
      </c>
      <c r="BV21" s="98">
        <f>BV17-BV19</f>
        <v>716765.79073999939</v>
      </c>
      <c r="BW21" s="98">
        <f>BW17-BW19</f>
        <v>497884.67559999996</v>
      </c>
      <c r="BX21" s="133">
        <f>SUM(BT21:BW21)</f>
        <v>2444412.17875</v>
      </c>
      <c r="BY21" s="98">
        <f>BY17-BY19</f>
        <v>572255.61401000072</v>
      </c>
      <c r="BZ21" s="98">
        <f>BZ17-BZ19</f>
        <v>1018059.11554</v>
      </c>
      <c r="CA21" s="98">
        <f>CA17-CA19</f>
        <v>800225.99999999988</v>
      </c>
      <c r="CB21" s="98">
        <f>CB17-CB19</f>
        <v>975800.10000000009</v>
      </c>
      <c r="CC21" s="133">
        <f>SUM(BY21:CB21)</f>
        <v>3366340.8295500008</v>
      </c>
      <c r="CD21" s="98">
        <f>CD17-CD19</f>
        <v>974845.8</v>
      </c>
      <c r="CE21" s="98">
        <f>CE17-CE19</f>
        <v>787517.5</v>
      </c>
      <c r="CF21" s="98">
        <f>CF17-CF19</f>
        <v>1091309.0951352639</v>
      </c>
      <c r="CG21" s="98">
        <f>CG17-CG19</f>
        <v>1125231.8091506097</v>
      </c>
      <c r="CH21" s="133">
        <f>SUM(CD21:CG21)</f>
        <v>3978904.2042858736</v>
      </c>
      <c r="CI21" s="98">
        <f>CI17-CI19</f>
        <v>991984.60759564152</v>
      </c>
      <c r="CJ21" s="98">
        <f>CJ17-CJ19</f>
        <v>1279472.4317017745</v>
      </c>
      <c r="CK21" s="98">
        <f>CK17-CK19</f>
        <v>1391151.3571387953</v>
      </c>
      <c r="CL21" s="98">
        <f>CL17-CL19</f>
        <v>1259755.100606295</v>
      </c>
      <c r="CM21" s="133">
        <f>SUM(CI21:CL21)</f>
        <v>4922363.497042506</v>
      </c>
      <c r="CN21" s="98">
        <f>CN17-CN19</f>
        <v>1045363.3332144674</v>
      </c>
      <c r="CO21" s="98">
        <f>CO17-CO19</f>
        <v>1322844.6146771889</v>
      </c>
      <c r="CP21" s="98">
        <f>CP17-CP19</f>
        <v>1437206.6195245543</v>
      </c>
      <c r="CQ21" s="98">
        <f>CQ17-CQ19</f>
        <v>1312103.1017892433</v>
      </c>
      <c r="CR21" s="133">
        <f>SUM(CN21:CQ21)</f>
        <v>5117517.6692054542</v>
      </c>
      <c r="CS21" s="98">
        <f>CS17-CS19</f>
        <v>1171038.6962519984</v>
      </c>
      <c r="CT21" s="98">
        <f>CT17-CT19</f>
        <v>1428592.7555725167</v>
      </c>
      <c r="CU21" s="98">
        <f>CU17-CU19</f>
        <v>1527889.5511120942</v>
      </c>
      <c r="CV21" s="98">
        <f>CV17-CV19</f>
        <v>1385430.1421930569</v>
      </c>
      <c r="CW21" s="133">
        <f>SUM(CS21:CV21)</f>
        <v>5512951.1451296657</v>
      </c>
      <c r="CX21" s="98">
        <f>CX17-CX19</f>
        <v>1230923.3400491579</v>
      </c>
      <c r="CY21" s="98">
        <f>CY17-CY19</f>
        <v>1493659.210915383</v>
      </c>
      <c r="CZ21" s="98">
        <f>CZ17-CZ19</f>
        <v>1593713.898565942</v>
      </c>
      <c r="DA21" s="98">
        <f>DA17-DA19</f>
        <v>1443622.2049146099</v>
      </c>
      <c r="DB21" s="133">
        <f>SUM(CX21:DA21)</f>
        <v>5761918.6544450922</v>
      </c>
    </row>
    <row r="22" spans="1:106" ht="11.25" customHeight="1" x14ac:dyDescent="0.35">
      <c r="B22" s="23"/>
      <c r="C22" s="137"/>
      <c r="D22" s="138" t="e">
        <f t="shared" ref="D22" si="185">C24/SUM(D9:E9,G9:H9)</f>
        <v>#DIV/0!</v>
      </c>
      <c r="E22" s="135"/>
      <c r="F22" s="79"/>
      <c r="G22" s="23"/>
      <c r="H22" s="137"/>
      <c r="I22" s="138" t="e">
        <f t="shared" ref="I22" si="186">H24/SUM(I9:J9,L9:M9)</f>
        <v>#DIV/0!</v>
      </c>
      <c r="J22" s="135"/>
      <c r="K22" s="79"/>
      <c r="L22" s="23"/>
      <c r="M22" s="137"/>
      <c r="N22" s="138" t="e">
        <f t="shared" ref="N22" si="187">M24/SUM(N9:O9,Q9:R9)</f>
        <v>#DIV/0!</v>
      </c>
      <c r="O22" s="135"/>
      <c r="P22" s="79"/>
      <c r="Q22" s="23"/>
      <c r="R22" s="137"/>
      <c r="S22" s="138" t="e">
        <f t="shared" ref="S22" si="188">R24/SUM(S9:T9,V9:W9)</f>
        <v>#DIV/0!</v>
      </c>
      <c r="T22" s="135"/>
      <c r="U22" s="79"/>
      <c r="V22" s="23"/>
      <c r="W22" s="137"/>
      <c r="X22" s="138" t="e">
        <f t="shared" ref="X22" si="189">W24/SUM(X9:Y9,AA9:AB9)</f>
        <v>#DIV/0!</v>
      </c>
      <c r="Y22" s="135"/>
      <c r="Z22" s="79"/>
      <c r="AA22" s="23"/>
      <c r="AB22" s="137"/>
      <c r="AC22" s="138" t="e">
        <f t="shared" ref="AC22" si="190">AB24/SUM(AC9:AD9,AF9:AG9)</f>
        <v>#DIV/0!</v>
      </c>
      <c r="AD22" s="135"/>
      <c r="AE22" s="79"/>
      <c r="AF22" s="23"/>
      <c r="AG22" s="137"/>
      <c r="AH22" s="138">
        <f>AG24/SUM(AH9:AI9,AK9:AL9)</f>
        <v>0</v>
      </c>
      <c r="AI22" s="135"/>
      <c r="AJ22" s="79"/>
      <c r="AK22" s="23"/>
      <c r="AL22" s="137"/>
      <c r="AM22" s="138"/>
      <c r="AN22" s="135"/>
      <c r="AO22" s="79"/>
      <c r="AP22" s="23"/>
      <c r="AQ22" s="137"/>
      <c r="AR22" s="138"/>
      <c r="AS22" s="135"/>
      <c r="AT22" s="79"/>
      <c r="AU22" s="23"/>
      <c r="AV22" s="137"/>
      <c r="AW22" s="138"/>
      <c r="AX22" s="135"/>
      <c r="AY22" s="79"/>
      <c r="AZ22" s="135"/>
      <c r="BA22" s="135"/>
      <c r="BB22" s="135"/>
      <c r="BC22" s="135"/>
      <c r="BD22" s="79"/>
      <c r="BE22" s="135"/>
      <c r="BF22" s="139"/>
      <c r="BG22" s="139"/>
      <c r="BH22" s="135"/>
      <c r="BI22" s="79"/>
      <c r="BJ22" s="135"/>
      <c r="BK22" s="52"/>
      <c r="BL22" s="52"/>
      <c r="BM22" s="52"/>
      <c r="BN22" s="79"/>
      <c r="BO22" s="52"/>
      <c r="BP22" s="52"/>
      <c r="BQ22" s="52"/>
      <c r="BR22" s="52"/>
      <c r="BS22" s="79"/>
      <c r="BT22" s="135"/>
      <c r="BU22" s="135"/>
      <c r="BV22" s="135"/>
      <c r="BW22" s="135"/>
      <c r="BX22" s="79"/>
      <c r="BY22" s="135"/>
      <c r="BZ22" s="52"/>
      <c r="CA22" s="52"/>
      <c r="CB22" s="52"/>
      <c r="CC22" s="79"/>
      <c r="CD22" s="136"/>
      <c r="CE22" s="52"/>
      <c r="CF22" s="52"/>
      <c r="CG22" s="52"/>
      <c r="CH22" s="79"/>
      <c r="CI22" s="52"/>
      <c r="CJ22" s="52"/>
      <c r="CK22" s="52"/>
      <c r="CL22" s="52"/>
      <c r="CM22" s="79"/>
      <c r="CN22" s="52"/>
      <c r="CO22" s="52"/>
      <c r="CP22" s="52"/>
      <c r="CQ22" s="52"/>
      <c r="CR22" s="79"/>
      <c r="CS22" s="52"/>
      <c r="CT22" s="52"/>
      <c r="CU22" s="52"/>
      <c r="CV22" s="52"/>
      <c r="CW22" s="79"/>
      <c r="CX22" s="52"/>
      <c r="CY22" s="52"/>
      <c r="CZ22" s="52"/>
      <c r="DA22" s="52"/>
      <c r="DB22" s="79"/>
    </row>
    <row r="23" spans="1:106" s="15" customFormat="1" ht="11.25" customHeight="1" thickBot="1" x14ac:dyDescent="0.4">
      <c r="A23" s="119" t="s">
        <v>33</v>
      </c>
      <c r="B23" s="120" t="str">
        <f>Macro!B$3</f>
        <v>1Q10</v>
      </c>
      <c r="C23" s="120" t="str">
        <f>Macro!C$3</f>
        <v>2Q10</v>
      </c>
      <c r="D23" s="120" t="str">
        <f>Macro!D$3</f>
        <v>3Q10</v>
      </c>
      <c r="E23" s="120" t="str">
        <f>Macro!E$3</f>
        <v>4Q10</v>
      </c>
      <c r="F23" s="121" t="str">
        <f>Macro!F$3</f>
        <v>2010</v>
      </c>
      <c r="G23" s="120" t="str">
        <f>Macro!G$3</f>
        <v>1Q11</v>
      </c>
      <c r="H23" s="120" t="str">
        <f>Macro!H$3</f>
        <v>2Q11</v>
      </c>
      <c r="I23" s="120" t="str">
        <f>Macro!I$3</f>
        <v>3Q11</v>
      </c>
      <c r="J23" s="120" t="str">
        <f>Macro!J$3</f>
        <v>4Q11</v>
      </c>
      <c r="K23" s="121" t="str">
        <f>Macro!K$3</f>
        <v>2011</v>
      </c>
      <c r="L23" s="120" t="str">
        <f>Macro!L$3</f>
        <v>1Q12</v>
      </c>
      <c r="M23" s="120" t="str">
        <f>Macro!M$3</f>
        <v>2Q12</v>
      </c>
      <c r="N23" s="120" t="str">
        <f>Macro!N$3</f>
        <v>3Q12</v>
      </c>
      <c r="O23" s="120" t="str">
        <f>Macro!O$3</f>
        <v>4Q12</v>
      </c>
      <c r="P23" s="121" t="str">
        <f>Macro!P$3</f>
        <v>2012</v>
      </c>
      <c r="Q23" s="120" t="str">
        <f>Macro!Q$3</f>
        <v>1Q13</v>
      </c>
      <c r="R23" s="120" t="str">
        <f>Macro!R$3</f>
        <v>2Q13</v>
      </c>
      <c r="S23" s="120" t="str">
        <f>Macro!S$3</f>
        <v>3Q13</v>
      </c>
      <c r="T23" s="120" t="str">
        <f>Macro!T$3</f>
        <v>4Q13</v>
      </c>
      <c r="U23" s="121" t="str">
        <f>Macro!U$3</f>
        <v>2013</v>
      </c>
      <c r="V23" s="120" t="str">
        <f>Macro!V$3</f>
        <v>1Q14</v>
      </c>
      <c r="W23" s="120" t="str">
        <f>Macro!W$3</f>
        <v>2Q14</v>
      </c>
      <c r="X23" s="120" t="str">
        <f>Macro!X$3</f>
        <v>3Q14</v>
      </c>
      <c r="Y23" s="120" t="str">
        <f>Macro!Y$3</f>
        <v>4Q14</v>
      </c>
      <c r="Z23" s="121" t="str">
        <f>Macro!Z$3</f>
        <v>2014</v>
      </c>
      <c r="AA23" s="120" t="str">
        <f>Macro!AA$3</f>
        <v>1Q15</v>
      </c>
      <c r="AB23" s="120" t="str">
        <f>Macro!AB$3</f>
        <v>2Q15</v>
      </c>
      <c r="AC23" s="120" t="str">
        <f>Macro!AC$3</f>
        <v>3Q15</v>
      </c>
      <c r="AD23" s="120" t="str">
        <f>Macro!AD$3</f>
        <v>4Q15</v>
      </c>
      <c r="AE23" s="121" t="str">
        <f>Macro!AE$3</f>
        <v>2015</v>
      </c>
      <c r="AF23" s="120" t="str">
        <f>Macro!AF$3</f>
        <v>1Q16</v>
      </c>
      <c r="AG23" s="120" t="str">
        <f>Macro!AG$3</f>
        <v>2Q16</v>
      </c>
      <c r="AH23" s="120" t="str">
        <f>Macro!AH$3</f>
        <v>3Q16</v>
      </c>
      <c r="AI23" s="120" t="str">
        <f>Macro!AI$3</f>
        <v>4Q16</v>
      </c>
      <c r="AJ23" s="121" t="str">
        <f>Macro!AJ$3</f>
        <v>2016</v>
      </c>
      <c r="AK23" s="120" t="str">
        <f>Macro!AK$3</f>
        <v>1Q17</v>
      </c>
      <c r="AL23" s="120" t="str">
        <f>Macro!AL$3</f>
        <v>2Q17</v>
      </c>
      <c r="AM23" s="120" t="str">
        <f>Macro!AM$3</f>
        <v>3Q17</v>
      </c>
      <c r="AN23" s="120" t="str">
        <f>Macro!AN$3</f>
        <v>4Q17</v>
      </c>
      <c r="AO23" s="121" t="str">
        <f>Macro!AO$3</f>
        <v>2017</v>
      </c>
      <c r="AP23" s="120" t="str">
        <f>Macro!AP$3</f>
        <v>1Q18</v>
      </c>
      <c r="AQ23" s="120" t="str">
        <f>Macro!AQ$3</f>
        <v>2Q18</v>
      </c>
      <c r="AR23" s="120" t="str">
        <f>Macro!AR$3</f>
        <v>3Q18</v>
      </c>
      <c r="AS23" s="120" t="str">
        <f>Macro!AS$3</f>
        <v>4Q18</v>
      </c>
      <c r="AT23" s="121" t="str">
        <f>Macro!AT$3</f>
        <v>2018</v>
      </c>
      <c r="AU23" s="120" t="str">
        <f>Macro!AU$3</f>
        <v>1Q19</v>
      </c>
      <c r="AV23" s="120" t="str">
        <f>Macro!AV$3</f>
        <v>2Q19</v>
      </c>
      <c r="AW23" s="120" t="str">
        <f>Macro!AW$3</f>
        <v>3Q19</v>
      </c>
      <c r="AX23" s="120" t="str">
        <f>Macro!AX$3</f>
        <v>4Q19</v>
      </c>
      <c r="AY23" s="121" t="str">
        <f>Macro!AY$3</f>
        <v>2019</v>
      </c>
      <c r="AZ23" s="120" t="str">
        <f>Macro!AZ$3</f>
        <v>1Q20</v>
      </c>
      <c r="BA23" s="120" t="str">
        <f>Macro!BA$3</f>
        <v>2Q20</v>
      </c>
      <c r="BB23" s="120" t="str">
        <f>Macro!BB$3</f>
        <v>3Q20</v>
      </c>
      <c r="BC23" s="120" t="str">
        <f>Macro!BC$3</f>
        <v>4Q20</v>
      </c>
      <c r="BD23" s="121" t="str">
        <f>Macro!BD$3</f>
        <v>2020</v>
      </c>
      <c r="BE23" s="120" t="str">
        <f>Macro!BE$3</f>
        <v>1Q21</v>
      </c>
      <c r="BF23" s="120" t="str">
        <f>Macro!BF$3</f>
        <v>2Q21</v>
      </c>
      <c r="BG23" s="120" t="str">
        <f>Macro!BG$3</f>
        <v>3Q21</v>
      </c>
      <c r="BH23" s="120" t="str">
        <f>Macro!BH$3</f>
        <v>4Q21</v>
      </c>
      <c r="BI23" s="121" t="str">
        <f>Macro!BI$3</f>
        <v>2021</v>
      </c>
      <c r="BJ23" s="120" t="str">
        <f>Macro!BJ$3</f>
        <v>1Q22</v>
      </c>
      <c r="BK23" s="120" t="str">
        <f>Macro!BK$3</f>
        <v>2Q22</v>
      </c>
      <c r="BL23" s="120" t="str">
        <f>Macro!BL$3</f>
        <v>3Q22</v>
      </c>
      <c r="BM23" s="120" t="str">
        <f>Macro!BM$3</f>
        <v>4Q22</v>
      </c>
      <c r="BN23" s="121" t="str">
        <f>Macro!BN$3</f>
        <v>2022</v>
      </c>
      <c r="BO23" s="120" t="str">
        <f>Macro!BO$3</f>
        <v>1Q23</v>
      </c>
      <c r="BP23" s="120" t="str">
        <f>Macro!BP$3</f>
        <v>2Q23</v>
      </c>
      <c r="BQ23" s="120" t="str">
        <f>Macro!BQ$3</f>
        <v>3Q23</v>
      </c>
      <c r="BR23" s="120" t="str">
        <f>Macro!BR$3</f>
        <v>4Q23</v>
      </c>
      <c r="BS23" s="121" t="str">
        <f>Macro!BS$3</f>
        <v>2023</v>
      </c>
      <c r="BT23" s="120" t="str">
        <f>Macro!BT$3</f>
        <v>1Q24</v>
      </c>
      <c r="BU23" s="120" t="str">
        <f>Macro!BU$3</f>
        <v>2Q24</v>
      </c>
      <c r="BV23" s="120" t="str">
        <f>Macro!BV$3</f>
        <v>3Q24</v>
      </c>
      <c r="BW23" s="120" t="str">
        <f>Macro!BW$3</f>
        <v>4Q24</v>
      </c>
      <c r="BX23" s="121" t="str">
        <f>Macro!BX$3</f>
        <v>2024</v>
      </c>
      <c r="BY23" s="120" t="str">
        <f>Macro!BY$3</f>
        <v>1Q25</v>
      </c>
      <c r="BZ23" s="120" t="str">
        <f>Macro!BZ$3</f>
        <v>2Q25</v>
      </c>
      <c r="CA23" s="120" t="str">
        <f>Macro!CA$3</f>
        <v>3Q25</v>
      </c>
      <c r="CB23" s="120" t="str">
        <f>Macro!CB$3</f>
        <v>4Q25</v>
      </c>
      <c r="CC23" s="121" t="str">
        <f>Macro!CC$3</f>
        <v>2025</v>
      </c>
      <c r="CD23" s="120" t="str">
        <f>Macro!CD$3</f>
        <v>1Q26</v>
      </c>
      <c r="CE23" s="120" t="str">
        <f>Macro!CE$3</f>
        <v>2Q26E</v>
      </c>
      <c r="CF23" s="120" t="str">
        <f>Macro!CF$3</f>
        <v>3Q26E</v>
      </c>
      <c r="CG23" s="120" t="str">
        <f>Macro!CG$3</f>
        <v>4Q26E</v>
      </c>
      <c r="CH23" s="121" t="str">
        <f>Macro!CH$3</f>
        <v>2026E</v>
      </c>
      <c r="CI23" s="120" t="str">
        <f>Macro!CI$3</f>
        <v>1Q27E</v>
      </c>
      <c r="CJ23" s="120" t="str">
        <f>Macro!CJ$3</f>
        <v>2Q27E</v>
      </c>
      <c r="CK23" s="120" t="str">
        <f>Macro!CK$3</f>
        <v>3Q27E</v>
      </c>
      <c r="CL23" s="120" t="str">
        <f>Macro!CL$3</f>
        <v>4Q27E</v>
      </c>
      <c r="CM23" s="121" t="str">
        <f>Macro!CM$3</f>
        <v>2027E</v>
      </c>
      <c r="CN23" s="120" t="str">
        <f>Macro!CN$3</f>
        <v>1Q28E</v>
      </c>
      <c r="CO23" s="120" t="str">
        <f>Macro!CO$3</f>
        <v>2Q28E</v>
      </c>
      <c r="CP23" s="120" t="str">
        <f>Macro!CP$3</f>
        <v>3Q28E</v>
      </c>
      <c r="CQ23" s="120" t="str">
        <f>Macro!CQ$3</f>
        <v>4Q28E</v>
      </c>
      <c r="CR23" s="121" t="str">
        <f>Macro!CR$3</f>
        <v>2028E</v>
      </c>
      <c r="CS23" s="120" t="str">
        <f>Macro!CS$3</f>
        <v>1Q29E</v>
      </c>
      <c r="CT23" s="120" t="str">
        <f>Macro!CT$3</f>
        <v>2Q29E</v>
      </c>
      <c r="CU23" s="120" t="str">
        <f>Macro!CU$3</f>
        <v>3Q29E</v>
      </c>
      <c r="CV23" s="120" t="str">
        <f>Macro!CV$3</f>
        <v>4Q29E</v>
      </c>
      <c r="CW23" s="121" t="str">
        <f>Macro!CW$3</f>
        <v>2029E</v>
      </c>
      <c r="CX23" s="120" t="str">
        <f>Macro!CX$3</f>
        <v>1Q30E</v>
      </c>
      <c r="CY23" s="120" t="str">
        <f>Macro!CY$3</f>
        <v>2Q30E</v>
      </c>
      <c r="CZ23" s="120" t="str">
        <f>Macro!CZ$3</f>
        <v>3Q30E</v>
      </c>
      <c r="DA23" s="120" t="str">
        <f>Macro!DA$3</f>
        <v>4Q30E</v>
      </c>
      <c r="DB23" s="121" t="str">
        <f>Macro!DB$3</f>
        <v>2030E</v>
      </c>
    </row>
    <row r="24" spans="1:106" ht="11.25" customHeight="1" thickTop="1" x14ac:dyDescent="0.35">
      <c r="A24" s="127" t="s">
        <v>258</v>
      </c>
      <c r="B24" s="492"/>
      <c r="C24" s="492"/>
      <c r="D24" s="492"/>
      <c r="E24" s="492"/>
      <c r="F24" s="493">
        <f t="shared" ref="F24" si="191">E24</f>
        <v>0</v>
      </c>
      <c r="G24" s="492"/>
      <c r="H24" s="492"/>
      <c r="I24" s="492"/>
      <c r="J24" s="492"/>
      <c r="K24" s="493">
        <f t="shared" ref="K24" si="192">J24</f>
        <v>0</v>
      </c>
      <c r="L24" s="492"/>
      <c r="M24" s="492"/>
      <c r="N24" s="492"/>
      <c r="O24" s="492"/>
      <c r="P24" s="493">
        <f t="shared" ref="P24" si="193">O24</f>
        <v>0</v>
      </c>
      <c r="Q24" s="492"/>
      <c r="R24" s="492"/>
      <c r="S24" s="492"/>
      <c r="T24" s="492"/>
      <c r="U24" s="493">
        <f t="shared" ref="U24" si="194">T24</f>
        <v>0</v>
      </c>
      <c r="V24" s="492"/>
      <c r="W24" s="492"/>
      <c r="X24" s="492"/>
      <c r="Y24" s="492"/>
      <c r="Z24" s="493">
        <f t="shared" ref="Z24" si="195">Y24</f>
        <v>0</v>
      </c>
      <c r="AA24" s="492"/>
      <c r="AB24" s="492"/>
      <c r="AC24" s="492"/>
      <c r="AD24" s="492"/>
      <c r="AE24" s="493">
        <f t="shared" ref="AE24" si="196">AD24</f>
        <v>0</v>
      </c>
      <c r="AF24" s="492"/>
      <c r="AG24" s="492"/>
      <c r="AH24" s="492"/>
      <c r="AI24" s="492"/>
      <c r="AJ24" s="493">
        <f>AI24</f>
        <v>0</v>
      </c>
      <c r="AK24" s="492">
        <v>365019.255952015</v>
      </c>
      <c r="AL24" s="492">
        <v>294685.49120575929</v>
      </c>
      <c r="AM24" s="492">
        <v>423792.02293685125</v>
      </c>
      <c r="AN24" s="492">
        <v>407895.48481505975</v>
      </c>
      <c r="AO24" s="493">
        <f>AN24</f>
        <v>407895.48481505975</v>
      </c>
      <c r="AP24" s="492">
        <v>385295.74477473489</v>
      </c>
      <c r="AQ24" s="492">
        <v>356991.240225413</v>
      </c>
      <c r="AR24" s="492">
        <v>443805.12409696856</v>
      </c>
      <c r="AS24" s="492">
        <v>385091.28053051402</v>
      </c>
      <c r="AT24" s="493">
        <f>AS24</f>
        <v>385091.28053051402</v>
      </c>
      <c r="AU24" s="492">
        <v>388848.74952372292</v>
      </c>
      <c r="AV24" s="492">
        <v>336772.09965558193</v>
      </c>
      <c r="AW24" s="492">
        <v>463386.41129379824</v>
      </c>
      <c r="AX24" s="492">
        <v>533500.46147977747</v>
      </c>
      <c r="AY24" s="493">
        <f>AX24</f>
        <v>533500.46147977747</v>
      </c>
      <c r="AZ24" s="492">
        <v>458468.08285767084</v>
      </c>
      <c r="BA24" s="492">
        <v>476069.6997660381</v>
      </c>
      <c r="BB24" s="492">
        <v>472987.61159950239</v>
      </c>
      <c r="BC24" s="492">
        <v>748098.36302886542</v>
      </c>
      <c r="BD24" s="493">
        <f>BC24</f>
        <v>748098.36302886542</v>
      </c>
      <c r="BE24" s="492">
        <v>765721.07809737546</v>
      </c>
      <c r="BF24" s="492">
        <v>777430</v>
      </c>
      <c r="BG24" s="492">
        <v>827130.059496389</v>
      </c>
      <c r="BH24" s="492">
        <v>999540.1853046855</v>
      </c>
      <c r="BI24" s="493">
        <f>BH24</f>
        <v>999540.1853046855</v>
      </c>
      <c r="BJ24" s="492">
        <v>1067451.0708575558</v>
      </c>
      <c r="BK24" s="492">
        <v>1258406.1220285965</v>
      </c>
      <c r="BL24" s="492">
        <v>1311549.8057307655</v>
      </c>
      <c r="BM24" s="492">
        <v>1081773.871762557</v>
      </c>
      <c r="BN24" s="493">
        <f>BM24</f>
        <v>1081773.871762557</v>
      </c>
      <c r="BO24" s="492">
        <v>1406899.1648209963</v>
      </c>
      <c r="BP24" s="492">
        <v>1436257.702</v>
      </c>
      <c r="BQ24" s="492">
        <v>1436445.0149981501</v>
      </c>
      <c r="BR24" s="492">
        <v>1423778.6574939373</v>
      </c>
      <c r="BS24" s="493">
        <f>BR24</f>
        <v>1423778.6574939373</v>
      </c>
      <c r="BT24" s="492">
        <v>1689696.8970740701</v>
      </c>
      <c r="BU24" s="492">
        <v>1712813.4176047435</v>
      </c>
      <c r="BV24" s="492">
        <v>1840177.3344398551</v>
      </c>
      <c r="BW24" s="492">
        <v>1833295</v>
      </c>
      <c r="BX24" s="493">
        <f>BW24</f>
        <v>1833295</v>
      </c>
      <c r="BY24" s="492">
        <v>2531047.0653500967</v>
      </c>
      <c r="BZ24" s="492">
        <v>2497723.131500381</v>
      </c>
      <c r="CA24" s="492">
        <v>2678200</v>
      </c>
      <c r="CB24" s="492">
        <v>2406300</v>
      </c>
      <c r="CC24" s="493">
        <f>CB24</f>
        <v>2406300</v>
      </c>
      <c r="CD24" s="492">
        <v>2805200</v>
      </c>
      <c r="CE24" s="492">
        <v>3008300</v>
      </c>
      <c r="CF24" s="494">
        <f>CE24+(CF4-CF9)</f>
        <v>3062569.9356104191</v>
      </c>
      <c r="CG24" s="494">
        <f>CF24+(CG4-CG9)</f>
        <v>2919263.0099561084</v>
      </c>
      <c r="CH24" s="493">
        <f>CG24</f>
        <v>2919263.0099561084</v>
      </c>
      <c r="CI24" s="494">
        <f>CH24+(CI4-CI9)</f>
        <v>3612499.5247256435</v>
      </c>
      <c r="CJ24" s="494">
        <f>CI24+(CJ4-CJ9)</f>
        <v>3807595.5750933988</v>
      </c>
      <c r="CK24" s="494">
        <f>CJ24+(CK4-CK9)</f>
        <v>3469707.4194328384</v>
      </c>
      <c r="CL24" s="494">
        <f>CK24+(CL4-CL9)</f>
        <v>3263215.5203047791</v>
      </c>
      <c r="CM24" s="493">
        <f>CL24</f>
        <v>3263215.5203047791</v>
      </c>
      <c r="CN24" s="494">
        <f>CM24+(CN4-CN9)</f>
        <v>3970482.1543500964</v>
      </c>
      <c r="CO24" s="494">
        <f>CN24+(CO4-CO9)</f>
        <v>4181188.7610252192</v>
      </c>
      <c r="CP24" s="494">
        <f>CO24+(CP4-CP9)</f>
        <v>3839375.8710380308</v>
      </c>
      <c r="CQ24" s="494">
        <f>CP24+(CQ4-CQ9)</f>
        <v>3622666.4987861533</v>
      </c>
      <c r="CR24" s="493">
        <f>CQ24</f>
        <v>3622666.4987861533</v>
      </c>
      <c r="CS24" s="494">
        <f>CR24+(CS4-CS9)</f>
        <v>4273477.7119898461</v>
      </c>
      <c r="CT24" s="494">
        <f>CS24+(CT4-CT9)</f>
        <v>4439003.6271910593</v>
      </c>
      <c r="CU24" s="494">
        <f>CT24+(CU4-CU9)</f>
        <v>4049770.2694887719</v>
      </c>
      <c r="CV24" s="494">
        <f>CU24+(CV4-CV9)</f>
        <v>3802996.3207055219</v>
      </c>
      <c r="CW24" s="493">
        <f>CV24</f>
        <v>3802996.3207055219</v>
      </c>
      <c r="CX24" s="494">
        <f>CW24+(CX4-CX9)</f>
        <v>4465876.6668806374</v>
      </c>
      <c r="CY24" s="494">
        <f>CX24+(CY4-CY9)</f>
        <v>4629295.6814114936</v>
      </c>
      <c r="CZ24" s="494">
        <f>CY24+(CZ4-CZ9)</f>
        <v>4219209.0867357226</v>
      </c>
      <c r="DA24" s="494">
        <f>CZ24+(DA4-DA9)</f>
        <v>3959214.1857112837</v>
      </c>
      <c r="DB24" s="493">
        <f>DA24</f>
        <v>3959214.1857112837</v>
      </c>
    </row>
    <row r="25" spans="1:106" s="30" customFormat="1" ht="11.25" customHeight="1" outlineLevel="1" x14ac:dyDescent="0.35">
      <c r="A25" s="29" t="s">
        <v>257</v>
      </c>
      <c r="B25" s="404"/>
      <c r="C25" s="404"/>
      <c r="D25" s="404"/>
      <c r="E25" s="404"/>
      <c r="F25" s="69">
        <f t="shared" ref="F25" si="197">E25</f>
        <v>0</v>
      </c>
      <c r="G25" s="404"/>
      <c r="H25" s="404"/>
      <c r="I25" s="404"/>
      <c r="J25" s="404"/>
      <c r="K25" s="69">
        <f t="shared" ref="K25" si="198">J25</f>
        <v>0</v>
      </c>
      <c r="L25" s="404"/>
      <c r="M25" s="404"/>
      <c r="N25" s="404"/>
      <c r="O25" s="404"/>
      <c r="P25" s="69">
        <f t="shared" ref="P25" si="199">O25</f>
        <v>0</v>
      </c>
      <c r="Q25" s="404"/>
      <c r="R25" s="404"/>
      <c r="S25" s="404"/>
      <c r="T25" s="404"/>
      <c r="U25" s="69">
        <f t="shared" ref="U25" si="200">T25</f>
        <v>0</v>
      </c>
      <c r="V25" s="404"/>
      <c r="W25" s="404"/>
      <c r="X25" s="404"/>
      <c r="Y25" s="404"/>
      <c r="Z25" s="69">
        <f t="shared" ref="Z25" si="201">Y25</f>
        <v>0</v>
      </c>
      <c r="AA25" s="404"/>
      <c r="AB25" s="404"/>
      <c r="AC25" s="404"/>
      <c r="AD25" s="404"/>
      <c r="AE25" s="69">
        <f t="shared" ref="AE25" si="202">AD25</f>
        <v>0</v>
      </c>
      <c r="AF25" s="404"/>
      <c r="AG25" s="404"/>
      <c r="AH25" s="404"/>
      <c r="AI25" s="404"/>
      <c r="AJ25" s="69">
        <f>AI25</f>
        <v>0</v>
      </c>
      <c r="AK25" s="404">
        <f>AK4*50%</f>
        <v>60454.35</v>
      </c>
      <c r="AL25" s="404">
        <f t="shared" ref="AL25:AN25" si="203">AL4*50%</f>
        <v>25277.834999999999</v>
      </c>
      <c r="AM25" s="404">
        <f t="shared" si="203"/>
        <v>160951.49</v>
      </c>
      <c r="AN25" s="404">
        <f t="shared" si="203"/>
        <v>134337.20000000001</v>
      </c>
      <c r="AO25" s="69">
        <f>AN25</f>
        <v>134337.20000000001</v>
      </c>
      <c r="AP25" s="404">
        <f t="shared" ref="AP25:DA25" si="204">AP4*50%</f>
        <v>50832.5</v>
      </c>
      <c r="AQ25" s="404">
        <f t="shared" si="204"/>
        <v>118243.66</v>
      </c>
      <c r="AR25" s="404">
        <f t="shared" si="204"/>
        <v>139029.43950000001</v>
      </c>
      <c r="AS25" s="404">
        <f t="shared" si="204"/>
        <v>145158.57199999999</v>
      </c>
      <c r="AT25" s="69">
        <f t="shared" ref="AT25" si="205">AS25</f>
        <v>145158.57199999999</v>
      </c>
      <c r="AU25" s="404">
        <f t="shared" ref="AU25" si="206">AU4*50%</f>
        <v>109230.3705</v>
      </c>
      <c r="AV25" s="404">
        <f t="shared" si="204"/>
        <v>81124.3</v>
      </c>
      <c r="AW25" s="404">
        <f t="shared" si="204"/>
        <v>194352.18100000001</v>
      </c>
      <c r="AX25" s="404">
        <f t="shared" si="204"/>
        <v>189562.658</v>
      </c>
      <c r="AY25" s="69">
        <f t="shared" ref="AY25" si="207">AX25</f>
        <v>189562.658</v>
      </c>
      <c r="AZ25" s="404">
        <f t="shared" ref="AZ25" si="208">AZ4*50%</f>
        <v>78793.623999999996</v>
      </c>
      <c r="BA25" s="404">
        <f t="shared" si="204"/>
        <v>155764.0675</v>
      </c>
      <c r="BB25" s="404">
        <f t="shared" si="204"/>
        <v>198455.06</v>
      </c>
      <c r="BC25" s="404">
        <f t="shared" si="204"/>
        <v>337376.89799999999</v>
      </c>
      <c r="BD25" s="69">
        <f t="shared" ref="BD25" si="209">BC25</f>
        <v>337376.89799999999</v>
      </c>
      <c r="BE25" s="404">
        <f t="shared" ref="BE25" si="210">BE4*50%</f>
        <v>295247.42099999997</v>
      </c>
      <c r="BF25" s="404">
        <f t="shared" si="204"/>
        <v>343094.33399999997</v>
      </c>
      <c r="BG25" s="404">
        <f t="shared" si="204"/>
        <v>360111.87400000001</v>
      </c>
      <c r="BH25" s="404">
        <f t="shared" si="204"/>
        <v>394050.61747808103</v>
      </c>
      <c r="BI25" s="69">
        <f t="shared" ref="BI25" si="211">BH25</f>
        <v>394050.61747808103</v>
      </c>
      <c r="BJ25" s="404">
        <f t="shared" ref="BJ25" si="212">BJ4*50%</f>
        <v>390575</v>
      </c>
      <c r="BK25" s="404">
        <f t="shared" si="204"/>
        <v>528159</v>
      </c>
      <c r="BL25" s="404">
        <f t="shared" si="204"/>
        <v>459573.1715</v>
      </c>
      <c r="BM25" s="404">
        <f t="shared" si="204"/>
        <v>278079.54658999998</v>
      </c>
      <c r="BN25" s="69">
        <f t="shared" ref="BN25" si="213">BM25</f>
        <v>278079.54658999998</v>
      </c>
      <c r="BO25" s="404">
        <f t="shared" ref="BO25" si="214">BO4*50%</f>
        <v>709990.46149999998</v>
      </c>
      <c r="BP25" s="404">
        <f t="shared" si="204"/>
        <v>611282.59050000005</v>
      </c>
      <c r="BQ25" s="404">
        <f t="shared" si="204"/>
        <v>470858.554</v>
      </c>
      <c r="BR25" s="404">
        <f t="shared" si="204"/>
        <v>428303.32650000002</v>
      </c>
      <c r="BS25" s="69">
        <f t="shared" ref="BS25" si="215">BR25</f>
        <v>428303.32650000002</v>
      </c>
      <c r="BT25" s="404">
        <f t="shared" ref="BT25" si="216">BT4*50%</f>
        <v>942169.005</v>
      </c>
      <c r="BU25" s="404">
        <f t="shared" si="204"/>
        <v>867343.47250000003</v>
      </c>
      <c r="BV25" s="404">
        <f t="shared" si="204"/>
        <v>780348.5</v>
      </c>
      <c r="BW25" s="404">
        <f t="shared" si="204"/>
        <v>699918.5</v>
      </c>
      <c r="BX25" s="69">
        <f t="shared" ref="BX25" si="217">BW25</f>
        <v>699918.5</v>
      </c>
      <c r="BY25" s="404">
        <f t="shared" si="204"/>
        <v>1391754.5</v>
      </c>
      <c r="BZ25" s="404">
        <f t="shared" si="204"/>
        <v>1112642.8055</v>
      </c>
      <c r="CA25" s="404">
        <f t="shared" si="204"/>
        <v>993200</v>
      </c>
      <c r="CB25" s="404">
        <f t="shared" ref="CB25" si="218">CB4*50%</f>
        <v>644750</v>
      </c>
      <c r="CC25" s="69">
        <f>CB25</f>
        <v>644750</v>
      </c>
      <c r="CD25" s="404">
        <f t="shared" ref="CD25:CE25" si="219">CD4*50%</f>
        <v>1323400</v>
      </c>
      <c r="CE25" s="404">
        <f t="shared" si="219"/>
        <v>1128450</v>
      </c>
      <c r="CF25" s="406">
        <f t="shared" si="204"/>
        <v>1145579.0307456825</v>
      </c>
      <c r="CG25" s="406">
        <f t="shared" si="204"/>
        <v>981924.88349629927</v>
      </c>
      <c r="CH25" s="69">
        <f>CG25</f>
        <v>981924.88349629927</v>
      </c>
      <c r="CI25" s="406">
        <f t="shared" si="204"/>
        <v>1685221.1223651767</v>
      </c>
      <c r="CJ25" s="406">
        <f t="shared" si="204"/>
        <v>1474568.4820695296</v>
      </c>
      <c r="CK25" s="406">
        <f t="shared" si="204"/>
        <v>1053263.2014782354</v>
      </c>
      <c r="CL25" s="406">
        <f t="shared" si="204"/>
        <v>1053263.2014782354</v>
      </c>
      <c r="CM25" s="69">
        <f t="shared" ref="CM25" si="220">CL25</f>
        <v>1053263.2014782354</v>
      </c>
      <c r="CN25" s="406">
        <f t="shared" si="204"/>
        <v>1752629.9672597847</v>
      </c>
      <c r="CO25" s="406">
        <f t="shared" si="204"/>
        <v>1533551.2213523118</v>
      </c>
      <c r="CP25" s="406">
        <f t="shared" si="204"/>
        <v>1095393.7295373655</v>
      </c>
      <c r="CQ25" s="406">
        <f t="shared" si="204"/>
        <v>1095393.7295373655</v>
      </c>
      <c r="CR25" s="69">
        <f t="shared" ref="CR25" si="221">CQ25</f>
        <v>1095393.7295373655</v>
      </c>
      <c r="CS25" s="406">
        <f t="shared" si="204"/>
        <v>1821849.9094556908</v>
      </c>
      <c r="CT25" s="406">
        <f t="shared" si="204"/>
        <v>1594118.6707737294</v>
      </c>
      <c r="CU25" s="406">
        <f t="shared" si="204"/>
        <v>1138656.1934098068</v>
      </c>
      <c r="CV25" s="406">
        <f t="shared" si="204"/>
        <v>1138656.1934098068</v>
      </c>
      <c r="CW25" s="69">
        <f t="shared" ref="CW25" si="222">CV25</f>
        <v>1138656.1934098068</v>
      </c>
      <c r="CX25" s="406">
        <f t="shared" si="204"/>
        <v>1893803.6862242739</v>
      </c>
      <c r="CY25" s="406">
        <f t="shared" si="204"/>
        <v>1657078.2254462396</v>
      </c>
      <c r="CZ25" s="406">
        <f t="shared" si="204"/>
        <v>1183627.3038901712</v>
      </c>
      <c r="DA25" s="406">
        <f t="shared" si="204"/>
        <v>1183627.3038901712</v>
      </c>
      <c r="DB25" s="69">
        <f t="shared" ref="DB25" si="223">DA25</f>
        <v>1183627.3038901712</v>
      </c>
    </row>
    <row r="26" spans="1:106" s="30" customFormat="1" ht="11.25" customHeight="1" outlineLevel="1" x14ac:dyDescent="0.35">
      <c r="A26" s="29" t="s">
        <v>313</v>
      </c>
      <c r="B26" s="140">
        <f t="shared" ref="B26:E26" si="224">B24-B25-B27</f>
        <v>0</v>
      </c>
      <c r="C26" s="140">
        <f t="shared" si="224"/>
        <v>0</v>
      </c>
      <c r="D26" s="140">
        <f t="shared" si="224"/>
        <v>0</v>
      </c>
      <c r="E26" s="140">
        <f t="shared" si="224"/>
        <v>0</v>
      </c>
      <c r="F26" s="69">
        <f t="shared" ref="F26" si="225">E26</f>
        <v>0</v>
      </c>
      <c r="G26" s="140">
        <f t="shared" ref="G26:J26" si="226">G24-G25-G27</f>
        <v>0</v>
      </c>
      <c r="H26" s="140">
        <f t="shared" si="226"/>
        <v>0</v>
      </c>
      <c r="I26" s="140">
        <f t="shared" si="226"/>
        <v>0</v>
      </c>
      <c r="J26" s="140">
        <f t="shared" si="226"/>
        <v>0</v>
      </c>
      <c r="K26" s="69">
        <f t="shared" ref="K26" si="227">J26</f>
        <v>0</v>
      </c>
      <c r="L26" s="140">
        <f t="shared" ref="L26:O26" si="228">L24-L25-L27</f>
        <v>0</v>
      </c>
      <c r="M26" s="140">
        <f t="shared" si="228"/>
        <v>0</v>
      </c>
      <c r="N26" s="140">
        <f t="shared" si="228"/>
        <v>0</v>
      </c>
      <c r="O26" s="140">
        <f t="shared" si="228"/>
        <v>0</v>
      </c>
      <c r="P26" s="69">
        <f t="shared" ref="P26" si="229">O26</f>
        <v>0</v>
      </c>
      <c r="Q26" s="140">
        <f t="shared" ref="Q26:T26" si="230">Q24-Q25-Q27</f>
        <v>0</v>
      </c>
      <c r="R26" s="140">
        <f t="shared" si="230"/>
        <v>0</v>
      </c>
      <c r="S26" s="140">
        <f t="shared" si="230"/>
        <v>0</v>
      </c>
      <c r="T26" s="140">
        <f t="shared" si="230"/>
        <v>0</v>
      </c>
      <c r="U26" s="69">
        <f t="shared" ref="U26" si="231">T26</f>
        <v>0</v>
      </c>
      <c r="V26" s="140">
        <f t="shared" ref="V26:Y26" si="232">V24-V25-V27</f>
        <v>0</v>
      </c>
      <c r="W26" s="140">
        <f t="shared" si="232"/>
        <v>0</v>
      </c>
      <c r="X26" s="140">
        <f t="shared" si="232"/>
        <v>0</v>
      </c>
      <c r="Y26" s="140">
        <f t="shared" si="232"/>
        <v>0</v>
      </c>
      <c r="Z26" s="69">
        <f t="shared" ref="Z26" si="233">Y26</f>
        <v>0</v>
      </c>
      <c r="AA26" s="140">
        <f t="shared" ref="AA26:AD26" si="234">AA24-AA25-AA27</f>
        <v>0</v>
      </c>
      <c r="AB26" s="140">
        <f t="shared" si="234"/>
        <v>0</v>
      </c>
      <c r="AC26" s="140">
        <f t="shared" si="234"/>
        <v>0</v>
      </c>
      <c r="AD26" s="140">
        <f t="shared" si="234"/>
        <v>0</v>
      </c>
      <c r="AE26" s="69">
        <f t="shared" ref="AE26" si="235">AD26</f>
        <v>0</v>
      </c>
      <c r="AF26" s="140">
        <f>AF24-AF25-AF27</f>
        <v>0</v>
      </c>
      <c r="AG26" s="140">
        <f>AG24-AG25-AG27</f>
        <v>0</v>
      </c>
      <c r="AH26" s="140">
        <f>AH24-AH25-AH27</f>
        <v>0</v>
      </c>
      <c r="AI26" s="140">
        <f>AI24-AI25-AI27</f>
        <v>0</v>
      </c>
      <c r="AJ26" s="69">
        <f>AI26</f>
        <v>0</v>
      </c>
      <c r="AK26" s="140">
        <f>AK24-AK25-AK27</f>
        <v>255958.85557707708</v>
      </c>
      <c r="AL26" s="140">
        <f>AL24-AL25-AL27</f>
        <v>228918.0204423707</v>
      </c>
      <c r="AM26" s="140">
        <f>AM24-AM25-AM27</f>
        <v>225903.87336140423</v>
      </c>
      <c r="AN26" s="140">
        <f>AN24-AN25-AN27</f>
        <v>252294.37742520554</v>
      </c>
      <c r="AO26" s="69">
        <f>AN26</f>
        <v>252294.37742520554</v>
      </c>
      <c r="AP26" s="140">
        <f>AP24-AP25-AP27</f>
        <v>307488.80405383091</v>
      </c>
      <c r="AQ26" s="140">
        <f>AQ24-AQ25-AQ27</f>
        <v>220614.92869190892</v>
      </c>
      <c r="AR26" s="140">
        <f>AR24-AR25-AR27</f>
        <v>269847.14076147834</v>
      </c>
      <c r="AS26" s="140">
        <f>AS24-AS25-AS27</f>
        <v>217072.77014969121</v>
      </c>
      <c r="AT26" s="69">
        <f>AS26</f>
        <v>217072.77014969121</v>
      </c>
      <c r="AU26" s="140">
        <f>AU24-AU25-AU27</f>
        <v>251976.10346640117</v>
      </c>
      <c r="AV26" s="140">
        <f>AV24-AV25-AV27</f>
        <v>228126.41202192765</v>
      </c>
      <c r="AW26" s="140">
        <f>AW24-AW25-AW27</f>
        <v>233845.23029379826</v>
      </c>
      <c r="AX26" s="140">
        <f>AX24-AX25-AX27</f>
        <v>329593.80347977747</v>
      </c>
      <c r="AY26" s="69">
        <f>AX26</f>
        <v>329593.80347977747</v>
      </c>
      <c r="AZ26" s="140">
        <f>AZ24-AZ25-AZ27</f>
        <v>363772.69097189809</v>
      </c>
      <c r="BA26" s="140">
        <f>BA24-BA25-BA27</f>
        <v>302103.6322660381</v>
      </c>
      <c r="BB26" s="140">
        <f>BB24-BB25-BB27</f>
        <v>258000.55159950239</v>
      </c>
      <c r="BC26" s="140">
        <f>BC24-BC25-BC27</f>
        <v>394396.46502886544</v>
      </c>
      <c r="BD26" s="69">
        <f>BC26</f>
        <v>394396.46502886544</v>
      </c>
      <c r="BE26" s="140">
        <f>BE24-BE25-BE27</f>
        <v>453396.65709737549</v>
      </c>
      <c r="BF26" s="140">
        <f>BF24-BF25-BF27</f>
        <v>411009.66600000003</v>
      </c>
      <c r="BG26" s="140">
        <f>BG24-BG25-BG27</f>
        <v>445994.17438143352</v>
      </c>
      <c r="BH26" s="140">
        <f>BH24-BH25-BH27</f>
        <v>584614.54125466943</v>
      </c>
      <c r="BI26" s="69">
        <f>BH26</f>
        <v>584614.54125466943</v>
      </c>
      <c r="BJ26" s="140">
        <f>BJ24-BJ25-BJ27</f>
        <v>655748.77254655887</v>
      </c>
      <c r="BK26" s="140">
        <f>BK24-BK25-BK27</f>
        <v>704564.55040230753</v>
      </c>
      <c r="BL26" s="140">
        <f>BL24-BL25-BL27</f>
        <v>825905.45598565217</v>
      </c>
      <c r="BM26" s="140">
        <f>BM24-BM25-BM27</f>
        <v>778162.62725073006</v>
      </c>
      <c r="BN26" s="69">
        <f>BM26</f>
        <v>778162.62725073006</v>
      </c>
      <c r="BO26" s="140">
        <f>BO24-BO25-BO27</f>
        <v>669879.12066287594</v>
      </c>
      <c r="BP26" s="140">
        <f>BP24-BP25-BP27</f>
        <v>800475.5405</v>
      </c>
      <c r="BQ26" s="140">
        <f>BQ24-BQ25-BQ27</f>
        <v>939989.43971342826</v>
      </c>
      <c r="BR26" s="140">
        <f>BR24-BR25-BR27</f>
        <v>968716.48862054036</v>
      </c>
      <c r="BS26" s="69">
        <f>BR26</f>
        <v>968716.48862054036</v>
      </c>
      <c r="BT26" s="140">
        <f>BT24-BT25-BT27</f>
        <v>721690.98496686108</v>
      </c>
      <c r="BU26" s="140">
        <f>BU24-BU25-BU27</f>
        <v>820257.35640278889</v>
      </c>
      <c r="BV26" s="140">
        <f>BV24-BV25-BV27</f>
        <v>1036621.5484095825</v>
      </c>
      <c r="BW26" s="140">
        <f>BW24-BW25-BW27</f>
        <v>1108237.67</v>
      </c>
      <c r="BX26" s="69">
        <f>BW26</f>
        <v>1108237.67</v>
      </c>
      <c r="BY26" s="140">
        <f>BY24-BY25-BY27</f>
        <v>1113636.8239674161</v>
      </c>
      <c r="BZ26" s="140">
        <f>BZ24-BZ25-BZ27</f>
        <v>1351665.9541085265</v>
      </c>
      <c r="CA26" s="140">
        <f>CA24-CA25-CA27</f>
        <v>1632200</v>
      </c>
      <c r="CB26" s="140">
        <f>CB24-CB25-CB27</f>
        <v>1699750</v>
      </c>
      <c r="CC26" s="69">
        <f>CB26</f>
        <v>1699750</v>
      </c>
      <c r="CD26" s="140">
        <f>CD24-CD25-CD27</f>
        <v>1415600</v>
      </c>
      <c r="CE26" s="140">
        <f>CE24-CE25-CE27</f>
        <v>1816750</v>
      </c>
      <c r="CF26" s="140">
        <f>CF24-CF25-CF27</f>
        <v>1848449.8140870361</v>
      </c>
      <c r="CG26" s="140">
        <f>CG24-CG25-CG27</f>
        <v>1870157.1497237375</v>
      </c>
      <c r="CH26" s="69">
        <f>CG26</f>
        <v>1870157.1497237375</v>
      </c>
      <c r="CI26" s="140">
        <f>CI24-CI25-CI27</f>
        <v>1846111.3766093911</v>
      </c>
      <c r="CJ26" s="140">
        <f>CJ24-CJ25-CJ27</f>
        <v>2248434.8274711999</v>
      </c>
      <c r="CK26" s="140">
        <f>CK24-CK25-CK27</f>
        <v>2338391.8583263927</v>
      </c>
      <c r="CL26" s="140">
        <f>CL24-CL25-CL27</f>
        <v>2136461.7580670076</v>
      </c>
      <c r="CM26" s="69">
        <f>CL26</f>
        <v>2136461.7580670076</v>
      </c>
      <c r="CN26" s="140">
        <f>CN24-CN25-CN27</f>
        <v>2128836.3485224731</v>
      </c>
      <c r="CO26" s="140">
        <f>CO24-CO25-CO27</f>
        <v>2553948.7693183492</v>
      </c>
      <c r="CP26" s="140">
        <f>CP24-CP25-CP27</f>
        <v>2657765.3517461624</v>
      </c>
      <c r="CQ26" s="140">
        <f>CQ24-CQ25-CQ27</f>
        <v>2445954.8851523674</v>
      </c>
      <c r="CR26" s="69">
        <f>CQ26</f>
        <v>2445954.8851523674</v>
      </c>
      <c r="CS26" s="140">
        <f>CS24-CS25-CS27</f>
        <v>2355767.212458259</v>
      </c>
      <c r="CT26" s="140">
        <f>CT24-CT25-CT27</f>
        <v>2745297.9539133431</v>
      </c>
      <c r="CU26" s="140">
        <f>CU24-CU25-CU27</f>
        <v>2820230.7327799774</v>
      </c>
      <c r="CV26" s="140">
        <f>CV24-CV25-CV27</f>
        <v>2579007.5610596021</v>
      </c>
      <c r="CW26" s="69">
        <f>CV26</f>
        <v>2579007.5610596021</v>
      </c>
      <c r="CX26" s="140">
        <f>CX24-CX25-CX27</f>
        <v>2471875.0621523419</v>
      </c>
      <c r="CY26" s="140">
        <f>CY24-CY25-CY27</f>
        <v>2868347.3223443669</v>
      </c>
      <c r="CZ26" s="140">
        <f>CZ24-CZ25-CZ27</f>
        <v>2940909.6488238634</v>
      </c>
      <c r="DA26" s="140">
        <f>DA24-DA25-DA27</f>
        <v>2686751.6459994651</v>
      </c>
      <c r="DB26" s="69">
        <f>DA26</f>
        <v>2686751.6459994651</v>
      </c>
    </row>
    <row r="27" spans="1:106" s="30" customFormat="1" ht="11.25" customHeight="1" outlineLevel="1" x14ac:dyDescent="0.35">
      <c r="A27" s="29" t="s">
        <v>34</v>
      </c>
      <c r="B27" s="405"/>
      <c r="C27" s="405"/>
      <c r="D27" s="405"/>
      <c r="E27" s="405"/>
      <c r="F27" s="69">
        <f t="shared" ref="F27" si="236">E27</f>
        <v>0</v>
      </c>
      <c r="G27" s="405"/>
      <c r="H27" s="405"/>
      <c r="I27" s="405"/>
      <c r="J27" s="405"/>
      <c r="K27" s="69">
        <f t="shared" ref="K27" si="237">J27</f>
        <v>0</v>
      </c>
      <c r="L27" s="405"/>
      <c r="M27" s="405"/>
      <c r="N27" s="405"/>
      <c r="O27" s="405"/>
      <c r="P27" s="69">
        <f t="shared" ref="P27" si="238">O27</f>
        <v>0</v>
      </c>
      <c r="Q27" s="405"/>
      <c r="R27" s="405"/>
      <c r="S27" s="405"/>
      <c r="T27" s="405"/>
      <c r="U27" s="69">
        <f t="shared" ref="U27" si="239">T27</f>
        <v>0</v>
      </c>
      <c r="V27" s="405"/>
      <c r="W27" s="405"/>
      <c r="X27" s="405"/>
      <c r="Y27" s="405"/>
      <c r="Z27" s="69">
        <f t="shared" ref="Z27" si="240">Y27</f>
        <v>0</v>
      </c>
      <c r="AA27" s="405"/>
      <c r="AB27" s="405"/>
      <c r="AC27" s="405"/>
      <c r="AD27" s="405"/>
      <c r="AE27" s="69">
        <f t="shared" ref="AE27" si="241">AD27</f>
        <v>0</v>
      </c>
      <c r="AF27" s="405"/>
      <c r="AG27" s="405"/>
      <c r="AH27" s="405"/>
      <c r="AI27" s="405"/>
      <c r="AJ27" s="69">
        <f>AI27</f>
        <v>0</v>
      </c>
      <c r="AK27" s="405">
        <v>48606.050374937942</v>
      </c>
      <c r="AL27" s="405">
        <v>40489.635763388564</v>
      </c>
      <c r="AM27" s="405">
        <v>36936.659575447025</v>
      </c>
      <c r="AN27" s="405">
        <v>21263.907389854183</v>
      </c>
      <c r="AO27" s="69">
        <f>AN27</f>
        <v>21263.907389854183</v>
      </c>
      <c r="AP27" s="405">
        <v>26974.440720904007</v>
      </c>
      <c r="AQ27" s="405">
        <v>18132.651533504079</v>
      </c>
      <c r="AR27" s="405">
        <v>34928.543835490214</v>
      </c>
      <c r="AS27" s="405">
        <v>22859.938380822816</v>
      </c>
      <c r="AT27" s="69">
        <f>AS27</f>
        <v>22859.938380822816</v>
      </c>
      <c r="AU27" s="405">
        <v>27642.27555732174</v>
      </c>
      <c r="AV27" s="405">
        <v>27521.387633654289</v>
      </c>
      <c r="AW27" s="405">
        <v>35189</v>
      </c>
      <c r="AX27" s="405">
        <v>14344</v>
      </c>
      <c r="AY27" s="69">
        <f>AX27</f>
        <v>14344</v>
      </c>
      <c r="AZ27" s="405">
        <v>15901.767885772741</v>
      </c>
      <c r="BA27" s="405">
        <v>18202</v>
      </c>
      <c r="BB27" s="405">
        <v>16532</v>
      </c>
      <c r="BC27" s="405">
        <v>16325</v>
      </c>
      <c r="BD27" s="69">
        <f>BC27</f>
        <v>16325</v>
      </c>
      <c r="BE27" s="405">
        <v>17077</v>
      </c>
      <c r="BF27" s="405">
        <v>23326</v>
      </c>
      <c r="BG27" s="405">
        <v>21024.011114955469</v>
      </c>
      <c r="BH27" s="405">
        <v>20875.026571934985</v>
      </c>
      <c r="BI27" s="69">
        <f>BH27</f>
        <v>20875.026571934985</v>
      </c>
      <c r="BJ27" s="405">
        <v>21127.298310996932</v>
      </c>
      <c r="BK27" s="405">
        <v>25682.571626288958</v>
      </c>
      <c r="BL27" s="405">
        <v>26071.178245113337</v>
      </c>
      <c r="BM27" s="405">
        <v>25531.69792182701</v>
      </c>
      <c r="BN27" s="69">
        <f>BM27</f>
        <v>25531.69792182701</v>
      </c>
      <c r="BO27" s="405">
        <v>27029.582658120438</v>
      </c>
      <c r="BP27" s="405">
        <v>24499.571</v>
      </c>
      <c r="BQ27" s="405">
        <v>25597.021284721799</v>
      </c>
      <c r="BR27" s="405">
        <v>26758.842373396939</v>
      </c>
      <c r="BS27" s="69">
        <f>BR27</f>
        <v>26758.842373396939</v>
      </c>
      <c r="BT27" s="405">
        <v>25836.907107209001</v>
      </c>
      <c r="BU27" s="405">
        <v>25212.588701954566</v>
      </c>
      <c r="BV27" s="405">
        <v>23207.286030272626</v>
      </c>
      <c r="BW27" s="405">
        <v>25138.83</v>
      </c>
      <c r="BX27" s="69">
        <f>BW27</f>
        <v>25138.83</v>
      </c>
      <c r="BY27" s="405">
        <v>25655.741382680517</v>
      </c>
      <c r="BZ27" s="405">
        <v>33414.371891854622</v>
      </c>
      <c r="CA27" s="405">
        <v>52800</v>
      </c>
      <c r="CB27" s="405">
        <v>61800</v>
      </c>
      <c r="CC27" s="69">
        <f>CB27</f>
        <v>61800</v>
      </c>
      <c r="CD27" s="405">
        <v>66200</v>
      </c>
      <c r="CE27" s="405">
        <v>63100</v>
      </c>
      <c r="CF27" s="140">
        <f>AVERAGE(CD27:CE27,CA27:CB27)/AVERAGE(CD24:CE24,CA24:CB24)*CF24</f>
        <v>68541.090777700607</v>
      </c>
      <c r="CG27" s="140">
        <f>AVERAGE(CD27:CF27,CB27)/AVERAGE(CD24:CF24,CB24)*CG24</f>
        <v>67180.976736071621</v>
      </c>
      <c r="CH27" s="69">
        <f t="shared" ref="CH27" si="242">CG27</f>
        <v>67180.976736071621</v>
      </c>
      <c r="CI27" s="140">
        <f t="shared" ref="CI27" si="243">AVERAGE(CD27:CG27)/AVERAGE(CD24:CG24)*CI24</f>
        <v>81167.025751075678</v>
      </c>
      <c r="CJ27" s="140">
        <f t="shared" ref="CJ27" si="244">AVERAGE(CI27,CE27:CG27)/AVERAGE(CI24,CE24:CG24)*CJ24</f>
        <v>84592.265552669298</v>
      </c>
      <c r="CK27" s="140">
        <f t="shared" ref="CK27" si="245">AVERAGE(CI27:CJ27,CF27:CG27)/AVERAGE(CI24:CJ24,CF24:CG24)*CK24</f>
        <v>78052.359628210397</v>
      </c>
      <c r="CL27" s="140">
        <f t="shared" ref="CL27" si="246">AVERAGE(CI27:CK27,CG27)/AVERAGE(CI24:CK24,CG24)*CL24</f>
        <v>73490.560759535816</v>
      </c>
      <c r="CM27" s="69">
        <f t="shared" ref="CM27" si="247">CL27</f>
        <v>73490.560759535816</v>
      </c>
      <c r="CN27" s="140">
        <f t="shared" ref="CN27" si="248">AVERAGE(CI27:CL27)/AVERAGE(CI24:CL24)*CN24</f>
        <v>89015.838567838538</v>
      </c>
      <c r="CO27" s="140">
        <f t="shared" ref="CO27" si="249">AVERAGE(CN27,CJ27:CL27)/AVERAGE(CN24,CJ24:CL24)*CO24</f>
        <v>93688.770354558044</v>
      </c>
      <c r="CP27" s="140">
        <f t="shared" ref="CP27" si="250">AVERAGE(CN27:CO27,CK27:CL27)/AVERAGE(CN24:CO24,CK24:CL24)*CP24</f>
        <v>86216.789754503014</v>
      </c>
      <c r="CQ27" s="140">
        <f t="shared" ref="CQ27" si="251">AVERAGE(CN27:CP27,CL27)/AVERAGE(CN24:CP24,CL24)*CQ24</f>
        <v>81317.884096420326</v>
      </c>
      <c r="CR27" s="69">
        <f t="shared" ref="CR27" si="252">CQ27</f>
        <v>81317.884096420326</v>
      </c>
      <c r="CS27" s="140">
        <f t="shared" ref="CS27" si="253">AVERAGE(CN27:CQ27)/AVERAGE(CN24:CQ24)*CS24</f>
        <v>95860.590075896733</v>
      </c>
      <c r="CT27" s="140">
        <f t="shared" ref="CT27" si="254">AVERAGE(CS27,CO27:CQ27)/AVERAGE(CS24,CO24:CQ24)*CT24</f>
        <v>99587.002503986339</v>
      </c>
      <c r="CU27" s="140">
        <f t="shared" ref="CU27" si="255">AVERAGE(CS27:CT27,CP27:CQ27)/AVERAGE(CS24:CT24,CP24:CQ24)*CU24</f>
        <v>90883.343298988097</v>
      </c>
      <c r="CV27" s="140">
        <f t="shared" ref="CV27" si="256">AVERAGE(CS27:CU27,CQ27)/AVERAGE(CS24:CU24,CQ24)*CV24</f>
        <v>85332.566236112878</v>
      </c>
      <c r="CW27" s="69">
        <f t="shared" ref="CW27" si="257">CV27</f>
        <v>85332.566236112878</v>
      </c>
      <c r="CX27" s="140">
        <f t="shared" ref="CX27" si="258">AVERAGE(CS27:CV27)/AVERAGE(CS24:CV24)*CX24</f>
        <v>100197.91850402163</v>
      </c>
      <c r="CY27" s="140">
        <f t="shared" ref="CY27" si="259">AVERAGE(CX27,CT27:CV27)/AVERAGE(CX24,CT24:CV24)*CY24</f>
        <v>103870.13362088698</v>
      </c>
      <c r="CZ27" s="140">
        <f t="shared" ref="CZ27" si="260">AVERAGE(CX27:CY27,CU27:CV27)/AVERAGE(CX24:CY24,CU24:CV24)*CZ24</f>
        <v>94672.134021687991</v>
      </c>
      <c r="DA27" s="140">
        <f t="shared" ref="DA27" si="261">AVERAGE(CX27:CZ27,CV27)/AVERAGE(CX24:CZ24,CV24)*DA24</f>
        <v>88835.235821647657</v>
      </c>
      <c r="DB27" s="69">
        <f t="shared" ref="DB27" si="262">DA27</f>
        <v>88835.235821647657</v>
      </c>
    </row>
    <row r="28" spans="1:106" ht="11.25" customHeight="1" x14ac:dyDescent="0.35">
      <c r="A28" s="19" t="s">
        <v>268</v>
      </c>
      <c r="B28" s="92" t="e">
        <f t="shared" ref="B28" si="263">A24+B4</f>
        <v>#VALUE!</v>
      </c>
      <c r="C28" s="92">
        <f t="shared" ref="C28" si="264">B24+C4</f>
        <v>0</v>
      </c>
      <c r="D28" s="92">
        <f t="shared" ref="D28" si="265">C24+D4</f>
        <v>0</v>
      </c>
      <c r="E28" s="92">
        <f t="shared" ref="E28" si="266">D24+E4</f>
        <v>0</v>
      </c>
      <c r="F28" s="28" t="e">
        <f t="shared" ref="F28" si="267">A24+SUM(B4:E4)</f>
        <v>#VALUE!</v>
      </c>
      <c r="G28" s="92">
        <f t="shared" ref="G28" si="268">F24+G4</f>
        <v>0</v>
      </c>
      <c r="H28" s="92">
        <f t="shared" ref="H28" si="269">G24+H4</f>
        <v>0</v>
      </c>
      <c r="I28" s="92">
        <f t="shared" ref="I28" si="270">H24+I4</f>
        <v>0</v>
      </c>
      <c r="J28" s="92">
        <f t="shared" ref="J28" si="271">I24+J4</f>
        <v>0</v>
      </c>
      <c r="K28" s="28">
        <f t="shared" ref="K28" si="272">F24+SUM(G4:J4)</f>
        <v>0</v>
      </c>
      <c r="L28" s="92">
        <f t="shared" ref="L28" si="273">K24+L4</f>
        <v>0</v>
      </c>
      <c r="M28" s="92">
        <f t="shared" ref="M28" si="274">L24+M4</f>
        <v>0</v>
      </c>
      <c r="N28" s="92">
        <f t="shared" ref="N28" si="275">M24+N4</f>
        <v>0</v>
      </c>
      <c r="O28" s="92">
        <f t="shared" ref="O28" si="276">N24+O4</f>
        <v>0</v>
      </c>
      <c r="P28" s="28">
        <f t="shared" ref="P28" si="277">K24+SUM(L4:O4)</f>
        <v>0</v>
      </c>
      <c r="Q28" s="92">
        <f t="shared" ref="Q28" si="278">P24+Q4</f>
        <v>0</v>
      </c>
      <c r="R28" s="92">
        <f t="shared" ref="R28" si="279">Q24+R4</f>
        <v>0</v>
      </c>
      <c r="S28" s="92">
        <f t="shared" ref="S28" si="280">R24+S4</f>
        <v>0</v>
      </c>
      <c r="T28" s="92">
        <f t="shared" ref="T28" si="281">S24+T4</f>
        <v>0</v>
      </c>
      <c r="U28" s="28">
        <f t="shared" ref="U28" si="282">P24+SUM(Q4:T4)</f>
        <v>0</v>
      </c>
      <c r="V28" s="92">
        <f t="shared" ref="V28" si="283">U24+V4</f>
        <v>0</v>
      </c>
      <c r="W28" s="92">
        <f t="shared" ref="W28" si="284">V24+W4</f>
        <v>0</v>
      </c>
      <c r="X28" s="92">
        <f t="shared" ref="X28" si="285">W24+X4</f>
        <v>0</v>
      </c>
      <c r="Y28" s="92">
        <f t="shared" ref="Y28" si="286">X24+Y4</f>
        <v>0</v>
      </c>
      <c r="Z28" s="28">
        <f t="shared" ref="Z28" si="287">U24+SUM(V4:Y4)</f>
        <v>0</v>
      </c>
      <c r="AA28" s="92">
        <f t="shared" ref="AA28" si="288">Z24+AA4</f>
        <v>0</v>
      </c>
      <c r="AB28" s="92">
        <f t="shared" ref="AB28" si="289">AA24+AB4</f>
        <v>0</v>
      </c>
      <c r="AC28" s="92">
        <f t="shared" ref="AC28" si="290">AB24+AC4</f>
        <v>0</v>
      </c>
      <c r="AD28" s="92">
        <f t="shared" ref="AD28" si="291">AC24+AD4</f>
        <v>0</v>
      </c>
      <c r="AE28" s="28">
        <f t="shared" ref="AE28" si="292">Z24+SUM(AA4:AD4)</f>
        <v>0</v>
      </c>
      <c r="AF28" s="92">
        <f t="shared" ref="AF28:BR28" si="293">AE24+AF4</f>
        <v>0</v>
      </c>
      <c r="AG28" s="92">
        <f t="shared" si="293"/>
        <v>0</v>
      </c>
      <c r="AH28" s="92">
        <f t="shared" si="293"/>
        <v>0</v>
      </c>
      <c r="AI28" s="92">
        <f t="shared" si="293"/>
        <v>0</v>
      </c>
      <c r="AJ28" s="28">
        <f>AE24+SUM(AF4:AI4)</f>
        <v>0</v>
      </c>
      <c r="AK28" s="92">
        <f t="shared" si="293"/>
        <v>120908.7</v>
      </c>
      <c r="AL28" s="92">
        <f>AK24+AL4</f>
        <v>415574.92595201498</v>
      </c>
      <c r="AM28" s="92">
        <f t="shared" si="293"/>
        <v>616588.47120575933</v>
      </c>
      <c r="AN28" s="92">
        <f t="shared" si="293"/>
        <v>692466.42293685128</v>
      </c>
      <c r="AO28" s="28">
        <f>(AK24-AK4+AK9)+SUM(AK4:AN4)</f>
        <v>1112856.956752015</v>
      </c>
      <c r="AP28" s="92">
        <f t="shared" si="293"/>
        <v>509560.48481505975</v>
      </c>
      <c r="AQ28" s="92">
        <f t="shared" si="293"/>
        <v>621783.0647747349</v>
      </c>
      <c r="AR28" s="92">
        <f t="shared" si="293"/>
        <v>635050.11922541307</v>
      </c>
      <c r="AS28" s="92">
        <f t="shared" si="293"/>
        <v>734122.26809696853</v>
      </c>
      <c r="AT28" s="28">
        <f>AO24+SUM(AP4:AS4)</f>
        <v>1314423.8278150598</v>
      </c>
      <c r="AU28" s="92">
        <f t="shared" si="293"/>
        <v>603552.021530514</v>
      </c>
      <c r="AV28" s="92">
        <f t="shared" si="293"/>
        <v>551097.34952372289</v>
      </c>
      <c r="AW28" s="92">
        <f t="shared" si="293"/>
        <v>725476.46165558195</v>
      </c>
      <c r="AX28" s="92">
        <f t="shared" si="293"/>
        <v>842511.72729379823</v>
      </c>
      <c r="AY28" s="28">
        <f>AT24+SUM(AU4:AX4)</f>
        <v>1533630.2995305138</v>
      </c>
      <c r="AZ28" s="92">
        <f t="shared" si="293"/>
        <v>691087.70947977749</v>
      </c>
      <c r="BA28" s="92">
        <f t="shared" si="293"/>
        <v>769996.21785767085</v>
      </c>
      <c r="BB28" s="92">
        <f t="shared" si="293"/>
        <v>872979.8197660381</v>
      </c>
      <c r="BC28" s="92">
        <f t="shared" si="293"/>
        <v>1147741.4075995022</v>
      </c>
      <c r="BD28" s="28">
        <f>AY24+SUM(AZ4:BC4)</f>
        <v>2074279.7604797776</v>
      </c>
      <c r="BE28" s="92">
        <f t="shared" si="293"/>
        <v>1338593.2050288655</v>
      </c>
      <c r="BF28" s="92">
        <f t="shared" si="293"/>
        <v>1451909.7460973754</v>
      </c>
      <c r="BG28" s="92">
        <f t="shared" si="293"/>
        <v>1497653.7480000001</v>
      </c>
      <c r="BH28" s="92">
        <f t="shared" si="293"/>
        <v>1615231.2944525511</v>
      </c>
      <c r="BI28" s="28">
        <f>BD24+SUM(BE4:BH4)</f>
        <v>3533106.8559850273</v>
      </c>
      <c r="BJ28" s="92">
        <f t="shared" si="293"/>
        <v>1780690.1853046855</v>
      </c>
      <c r="BK28" s="92">
        <f t="shared" si="293"/>
        <v>2123769.0708575556</v>
      </c>
      <c r="BL28" s="92">
        <f t="shared" si="293"/>
        <v>2177552.4650285966</v>
      </c>
      <c r="BM28" s="92">
        <f t="shared" si="293"/>
        <v>1867708.8989107655</v>
      </c>
      <c r="BN28" s="28">
        <f>BI24+SUM(BJ4:BM4)</f>
        <v>4312313.6214846857</v>
      </c>
      <c r="BO28" s="92">
        <f t="shared" si="293"/>
        <v>2501754.7947625569</v>
      </c>
      <c r="BP28" s="92">
        <f t="shared" si="293"/>
        <v>2629464.3458209964</v>
      </c>
      <c r="BQ28" s="92">
        <f t="shared" si="293"/>
        <v>2377974.81</v>
      </c>
      <c r="BR28" s="92">
        <f t="shared" si="293"/>
        <v>2293051.66799815</v>
      </c>
      <c r="BS28" s="28">
        <f>BN24+SUM(BO4:BR4)</f>
        <v>5522643.7367625572</v>
      </c>
      <c r="BT28" s="92">
        <f>BS24+BT4</f>
        <v>3308116.6674939375</v>
      </c>
      <c r="BU28" s="92">
        <f>BT24+BU4</f>
        <v>3424383.8420740701</v>
      </c>
      <c r="BV28" s="92">
        <f>BU24+BV4</f>
        <v>3273510.4176047435</v>
      </c>
      <c r="BW28" s="92">
        <f>BV24+BW4</f>
        <v>3240014.3344398551</v>
      </c>
      <c r="BX28" s="28">
        <f>BS24+SUM(BT4:BW4)</f>
        <v>8003337.6124939378</v>
      </c>
      <c r="BY28" s="92">
        <f>BX24+BY4</f>
        <v>4616804</v>
      </c>
      <c r="BZ28" s="92">
        <f>BY24+BZ4</f>
        <v>4756332.6763500962</v>
      </c>
      <c r="CA28" s="92">
        <f>BZ24+CA4</f>
        <v>4484123.131500381</v>
      </c>
      <c r="CB28" s="92">
        <f>CA24+CB4</f>
        <v>3967700</v>
      </c>
      <c r="CC28" s="28">
        <f>BX24+SUM(BY4:CB4)</f>
        <v>10117989.611</v>
      </c>
      <c r="CD28" s="92">
        <f>CC24+CD4</f>
        <v>5053100</v>
      </c>
      <c r="CE28" s="92">
        <f>CD24+CE4</f>
        <v>5062100</v>
      </c>
      <c r="CF28" s="92">
        <f>CE24+CF4</f>
        <v>5299458.0614913646</v>
      </c>
      <c r="CG28" s="92">
        <f>CF24+CG4</f>
        <v>5026419.7026030179</v>
      </c>
      <c r="CH28" s="28">
        <f>CC24+SUM(CD4:CG4)</f>
        <v>11565007.828483963</v>
      </c>
      <c r="CI28" s="92">
        <f>CH24+CI4</f>
        <v>6289705.2546864618</v>
      </c>
      <c r="CJ28" s="92">
        <f>CI24+CJ4</f>
        <v>6561636.4888647031</v>
      </c>
      <c r="CK28" s="92">
        <f>CJ24+CK4</f>
        <v>5914121.9780498696</v>
      </c>
      <c r="CL28" s="92">
        <f>CK24+CL4</f>
        <v>5576233.8223893093</v>
      </c>
      <c r="CM28" s="28">
        <f>CH24+SUM(CI4:CL4)</f>
        <v>13451895.024738463</v>
      </c>
      <c r="CN28" s="92">
        <f>CM24+CN4</f>
        <v>6768475.4548243489</v>
      </c>
      <c r="CO28" s="92">
        <f>CN24+CO4</f>
        <v>7037584.5970547199</v>
      </c>
      <c r="CP28" s="92">
        <f>CO24+CP4</f>
        <v>6371976.2200999502</v>
      </c>
      <c r="CQ28" s="92">
        <f>CP24+CQ4</f>
        <v>6030163.3301127618</v>
      </c>
      <c r="CR28" s="28">
        <f>CM24+SUM(CN4:CQ4)</f>
        <v>14217152.815678434</v>
      </c>
      <c r="CS28" s="92">
        <f>CR24+CS4</f>
        <v>7266366.3176975343</v>
      </c>
      <c r="CT28" s="92">
        <f>CS24+CT4</f>
        <v>7461715.0535373054</v>
      </c>
      <c r="CU28" s="92">
        <f>CT24+CU4</f>
        <v>6716316.0140106734</v>
      </c>
      <c r="CV28" s="92">
        <f>CU24+CV4</f>
        <v>6327082.6563083855</v>
      </c>
      <c r="CW28" s="28">
        <f>CR24+SUM(CS4:CV4)</f>
        <v>15009228.432884222</v>
      </c>
      <c r="CX28" s="92">
        <f>CW24+CX4</f>
        <v>7590603.6931540696</v>
      </c>
      <c r="CY28" s="92">
        <f>CX24+CY4</f>
        <v>7780033.1177731166</v>
      </c>
      <c r="CZ28" s="92">
        <f>CY24+CZ4</f>
        <v>6996550.2891918365</v>
      </c>
      <c r="DA28" s="92">
        <f>CZ24+DA4</f>
        <v>6586463.6945160646</v>
      </c>
      <c r="DB28" s="28">
        <f>CW24+SUM(CX4:DA4)</f>
        <v>15639269.359607235</v>
      </c>
    </row>
    <row r="29" spans="1:106" ht="11.25" customHeight="1" x14ac:dyDescent="0.35">
      <c r="A29" s="74" t="s">
        <v>267</v>
      </c>
      <c r="B29" s="96" t="e">
        <f t="shared" ref="B29:AE29" si="294">B9/B28</f>
        <v>#VALUE!</v>
      </c>
      <c r="C29" s="96" t="e">
        <f t="shared" si="294"/>
        <v>#DIV/0!</v>
      </c>
      <c r="D29" s="96" t="e">
        <f t="shared" si="294"/>
        <v>#DIV/0!</v>
      </c>
      <c r="E29" s="96" t="e">
        <f t="shared" si="294"/>
        <v>#DIV/0!</v>
      </c>
      <c r="F29" s="97" t="e">
        <f t="shared" si="294"/>
        <v>#VALUE!</v>
      </c>
      <c r="G29" s="96" t="e">
        <f t="shared" si="294"/>
        <v>#DIV/0!</v>
      </c>
      <c r="H29" s="96" t="e">
        <f t="shared" si="294"/>
        <v>#DIV/0!</v>
      </c>
      <c r="I29" s="96" t="e">
        <f t="shared" si="294"/>
        <v>#DIV/0!</v>
      </c>
      <c r="J29" s="96" t="e">
        <f t="shared" si="294"/>
        <v>#DIV/0!</v>
      </c>
      <c r="K29" s="97" t="e">
        <f t="shared" si="294"/>
        <v>#DIV/0!</v>
      </c>
      <c r="L29" s="96" t="e">
        <f t="shared" si="294"/>
        <v>#DIV/0!</v>
      </c>
      <c r="M29" s="96" t="e">
        <f t="shared" si="294"/>
        <v>#DIV/0!</v>
      </c>
      <c r="N29" s="96" t="e">
        <f t="shared" si="294"/>
        <v>#DIV/0!</v>
      </c>
      <c r="O29" s="96" t="e">
        <f t="shared" si="294"/>
        <v>#DIV/0!</v>
      </c>
      <c r="P29" s="97" t="e">
        <f t="shared" si="294"/>
        <v>#DIV/0!</v>
      </c>
      <c r="Q29" s="96" t="e">
        <f t="shared" si="294"/>
        <v>#DIV/0!</v>
      </c>
      <c r="R29" s="96" t="e">
        <f t="shared" si="294"/>
        <v>#DIV/0!</v>
      </c>
      <c r="S29" s="96" t="e">
        <f t="shared" si="294"/>
        <v>#DIV/0!</v>
      </c>
      <c r="T29" s="96" t="e">
        <f t="shared" si="294"/>
        <v>#DIV/0!</v>
      </c>
      <c r="U29" s="97" t="e">
        <f t="shared" si="294"/>
        <v>#DIV/0!</v>
      </c>
      <c r="V29" s="96" t="e">
        <f t="shared" si="294"/>
        <v>#DIV/0!</v>
      </c>
      <c r="W29" s="96" t="e">
        <f t="shared" si="294"/>
        <v>#DIV/0!</v>
      </c>
      <c r="X29" s="96" t="e">
        <f t="shared" si="294"/>
        <v>#DIV/0!</v>
      </c>
      <c r="Y29" s="96" t="e">
        <f t="shared" si="294"/>
        <v>#DIV/0!</v>
      </c>
      <c r="Z29" s="97" t="e">
        <f t="shared" si="294"/>
        <v>#DIV/0!</v>
      </c>
      <c r="AA29" s="96" t="e">
        <f t="shared" si="294"/>
        <v>#DIV/0!</v>
      </c>
      <c r="AB29" s="96" t="e">
        <f t="shared" si="294"/>
        <v>#DIV/0!</v>
      </c>
      <c r="AC29" s="96" t="e">
        <f t="shared" si="294"/>
        <v>#DIV/0!</v>
      </c>
      <c r="AD29" s="96" t="e">
        <f t="shared" si="294"/>
        <v>#DIV/0!</v>
      </c>
      <c r="AE29" s="97" t="e">
        <f t="shared" si="294"/>
        <v>#DIV/0!</v>
      </c>
      <c r="AF29" s="96" t="e">
        <f t="shared" ref="AF29:AL29" si="295">AF9/AF28</f>
        <v>#DIV/0!</v>
      </c>
      <c r="AG29" s="96" t="e">
        <f t="shared" si="295"/>
        <v>#DIV/0!</v>
      </c>
      <c r="AH29" s="96" t="e">
        <f t="shared" si="295"/>
        <v>#DIV/0!</v>
      </c>
      <c r="AI29" s="96" t="e">
        <f t="shared" si="295"/>
        <v>#DIV/0!</v>
      </c>
      <c r="AJ29" s="97" t="e">
        <f t="shared" si="295"/>
        <v>#DIV/0!</v>
      </c>
      <c r="AK29" s="96">
        <f t="shared" si="295"/>
        <v>0.88252252153897948</v>
      </c>
      <c r="AL29" s="96">
        <f t="shared" si="295"/>
        <v>0.29147461739302916</v>
      </c>
      <c r="AM29" s="96">
        <f t="shared" ref="AM29:BR29" si="296">AM9/AM28</f>
        <v>0.32326988070376067</v>
      </c>
      <c r="AN29" s="96">
        <f t="shared" si="296"/>
        <v>0.45351528934513968</v>
      </c>
      <c r="AO29" s="97">
        <f>AO9/AO28</f>
        <v>0.66603599009999881</v>
      </c>
      <c r="AP29" s="96">
        <f t="shared" si="296"/>
        <v>0.26505568670423779</v>
      </c>
      <c r="AQ29" s="96">
        <f t="shared" si="296"/>
        <v>0.33933680747069034</v>
      </c>
      <c r="AR29" s="96">
        <f t="shared" si="296"/>
        <v>0.32875584694740312</v>
      </c>
      <c r="AS29" s="96">
        <f t="shared" si="296"/>
        <v>0.45207503780032859</v>
      </c>
      <c r="AT29" s="97">
        <f t="shared" si="296"/>
        <v>0.67460019933902227</v>
      </c>
      <c r="AU29" s="96">
        <f t="shared" si="296"/>
        <v>0.30886380401357882</v>
      </c>
      <c r="AV29" s="96">
        <f t="shared" si="296"/>
        <v>0.37251348785730803</v>
      </c>
      <c r="AW29" s="96">
        <f t="shared" si="296"/>
        <v>0.35983151077606218</v>
      </c>
      <c r="AX29" s="96">
        <f t="shared" si="296"/>
        <v>0.39095563063318395</v>
      </c>
      <c r="AY29" s="97">
        <f t="shared" si="296"/>
        <v>0.64040242573497674</v>
      </c>
      <c r="AZ29" s="96">
        <f t="shared" si="296"/>
        <v>0.34565480896747158</v>
      </c>
      <c r="BA29" s="96">
        <f t="shared" si="296"/>
        <v>0.37932940515298691</v>
      </c>
      <c r="BB29" s="96">
        <f t="shared" si="296"/>
        <v>0.47005164593607007</v>
      </c>
      <c r="BC29" s="96">
        <f t="shared" si="296"/>
        <v>0.35252270996846752</v>
      </c>
      <c r="BD29" s="97">
        <f t="shared" si="296"/>
        <v>0.64885679146707431</v>
      </c>
      <c r="BE29" s="96">
        <f t="shared" si="296"/>
        <v>0.44104013609367543</v>
      </c>
      <c r="BF29" s="96">
        <f t="shared" si="296"/>
        <v>0.47012426346384029</v>
      </c>
      <c r="BG29" s="96">
        <f t="shared" si="296"/>
        <v>0.45562634866119933</v>
      </c>
      <c r="BH29" s="96">
        <f t="shared" si="296"/>
        <v>0.37850065071158101</v>
      </c>
      <c r="BI29" s="97">
        <f t="shared" si="296"/>
        <v>0.72646767808114021</v>
      </c>
      <c r="BJ29" s="96">
        <f t="shared" si="296"/>
        <v>0.4230753487424288</v>
      </c>
      <c r="BK29" s="96">
        <f t="shared" si="296"/>
        <v>0.42259085031199028</v>
      </c>
      <c r="BL29" s="96">
        <f t="shared" si="296"/>
        <v>0.40680195351268689</v>
      </c>
      <c r="BM29" s="96">
        <f t="shared" si="296"/>
        <v>0.40320097398431864</v>
      </c>
      <c r="BN29" s="97">
        <f t="shared" si="296"/>
        <v>0.76287265520066094</v>
      </c>
      <c r="BO29" s="96">
        <f t="shared" si="296"/>
        <v>0.4312540846243878</v>
      </c>
      <c r="BP29" s="96">
        <f t="shared" si="296"/>
        <v>0.45406615149490204</v>
      </c>
      <c r="BQ29" s="96">
        <f t="shared" si="296"/>
        <v>0.40902197204099072</v>
      </c>
      <c r="BR29" s="96">
        <f t="shared" si="296"/>
        <v>0.3945273447718623</v>
      </c>
      <c r="BS29" s="97">
        <f t="shared" ref="BS29:CX29" si="297">BS9/BS28</f>
        <v>0.75148035253363543</v>
      </c>
      <c r="BT29" s="96">
        <f t="shared" si="297"/>
        <v>0.4691900181579205</v>
      </c>
      <c r="BU29" s="96">
        <f t="shared" si="297"/>
        <v>0.51081888653887764</v>
      </c>
      <c r="BV29" s="96">
        <f t="shared" si="297"/>
        <v>0.43902446605670992</v>
      </c>
      <c r="BW29" s="96">
        <f t="shared" si="297"/>
        <v>0.43942645094690375</v>
      </c>
      <c r="BX29" s="97">
        <f t="shared" si="297"/>
        <v>0.76996307317838619</v>
      </c>
      <c r="BY29" s="96">
        <f t="shared" si="297"/>
        <v>0.45606850465170284</v>
      </c>
      <c r="BZ29" s="96">
        <f t="shared" ref="BZ29:CB29" si="298">BZ9/BZ28</f>
        <v>0.47544260109141906</v>
      </c>
      <c r="CA29" s="96">
        <f t="shared" si="298"/>
        <v>0.40743751819961477</v>
      </c>
      <c r="CB29" s="96">
        <f t="shared" si="298"/>
        <v>0.39224235703304183</v>
      </c>
      <c r="CC29" s="97">
        <f t="shared" si="297"/>
        <v>0.76598636426984967</v>
      </c>
      <c r="CD29" s="96">
        <f t="shared" ref="CD29:CE29" si="299">CD9/CD28</f>
        <v>0.45607646791078743</v>
      </c>
      <c r="CE29" s="96">
        <f t="shared" si="299"/>
        <v>0.40408131012820764</v>
      </c>
      <c r="CF29" s="96">
        <f t="shared" si="297"/>
        <v>0.42209752392142613</v>
      </c>
      <c r="CG29" s="96">
        <f t="shared" si="297"/>
        <v>0.4192162249315714</v>
      </c>
      <c r="CH29" s="97">
        <f t="shared" si="297"/>
        <v>0.75176298602363811</v>
      </c>
      <c r="CI29" s="96">
        <f t="shared" si="297"/>
        <v>0.42564883751365479</v>
      </c>
      <c r="CJ29" s="96">
        <f t="shared" si="297"/>
        <v>0.41971860502254205</v>
      </c>
      <c r="CK29" s="96">
        <f t="shared" si="297"/>
        <v>0.41331825209040679</v>
      </c>
      <c r="CL29" s="96">
        <f t="shared" si="297"/>
        <v>0.41479937458817789</v>
      </c>
      <c r="CM29" s="97">
        <f t="shared" si="297"/>
        <v>0.75741592435090954</v>
      </c>
      <c r="CN29" s="96">
        <f t="shared" si="297"/>
        <v>0.41338604522528533</v>
      </c>
      <c r="CO29" s="96">
        <f t="shared" si="297"/>
        <v>0.40587730017837698</v>
      </c>
      <c r="CP29" s="96">
        <f t="shared" si="297"/>
        <v>0.39745916519164182</v>
      </c>
      <c r="CQ29" s="96">
        <f t="shared" si="297"/>
        <v>0.39924239187756616</v>
      </c>
      <c r="CR29" s="97">
        <f t="shared" si="297"/>
        <v>0.74519043680875829</v>
      </c>
      <c r="CS29" s="96">
        <f t="shared" si="297"/>
        <v>0.41188242855557472</v>
      </c>
      <c r="CT29" s="96">
        <f t="shared" si="297"/>
        <v>0.40509606768128964</v>
      </c>
      <c r="CU29" s="96">
        <f t="shared" si="297"/>
        <v>0.39702505643857622</v>
      </c>
      <c r="CV29" s="96">
        <f t="shared" si="297"/>
        <v>0.39893367491986786</v>
      </c>
      <c r="CW29" s="97">
        <f t="shared" si="297"/>
        <v>0.74662279692049938</v>
      </c>
      <c r="CX29" s="96">
        <f t="shared" si="297"/>
        <v>0.41165724790659386</v>
      </c>
      <c r="CY29" s="96">
        <f t="shared" ref="CY29:DB29" si="300">CY9/CY28</f>
        <v>0.40497738102989722</v>
      </c>
      <c r="CZ29" s="96">
        <f t="shared" si="300"/>
        <v>0.39695865643194295</v>
      </c>
      <c r="DA29" s="96">
        <f t="shared" si="300"/>
        <v>0.39888620520177581</v>
      </c>
      <c r="DB29" s="97">
        <f t="shared" si="300"/>
        <v>0.74684148634609127</v>
      </c>
    </row>
    <row r="30" spans="1:106" ht="11.25" customHeight="1" x14ac:dyDescent="0.35">
      <c r="B30" s="134"/>
      <c r="C30" s="141"/>
      <c r="D30" s="141"/>
      <c r="E30" s="134"/>
      <c r="F30" s="101"/>
      <c r="G30" s="134"/>
      <c r="H30" s="141"/>
      <c r="I30" s="141"/>
      <c r="J30" s="134"/>
      <c r="K30" s="101"/>
      <c r="L30" s="134"/>
      <c r="M30" s="141"/>
      <c r="N30" s="141"/>
      <c r="O30" s="134"/>
      <c r="P30" s="101"/>
      <c r="Q30" s="134"/>
      <c r="R30" s="141"/>
      <c r="S30" s="141"/>
      <c r="T30" s="134"/>
      <c r="U30" s="101"/>
      <c r="V30" s="134"/>
      <c r="W30" s="141"/>
      <c r="X30" s="141"/>
      <c r="Y30" s="134"/>
      <c r="Z30" s="101"/>
      <c r="AA30" s="134"/>
      <c r="AB30" s="141"/>
      <c r="AC30" s="141"/>
      <c r="AD30" s="134"/>
      <c r="AE30" s="101"/>
      <c r="AF30" s="134"/>
      <c r="AG30" s="141"/>
      <c r="AH30" s="141"/>
      <c r="AI30" s="134"/>
      <c r="AJ30" s="101"/>
      <c r="AK30" s="134"/>
      <c r="AL30" s="141"/>
      <c r="AM30" s="141"/>
      <c r="AN30" s="134"/>
      <c r="AO30" s="101"/>
      <c r="AP30" s="134"/>
      <c r="AQ30" s="141"/>
      <c r="AR30" s="141"/>
      <c r="AS30" s="134"/>
      <c r="AT30" s="101"/>
      <c r="AU30" s="134"/>
      <c r="AV30" s="141"/>
      <c r="AW30" s="141"/>
      <c r="AX30" s="134"/>
      <c r="AY30" s="101"/>
      <c r="AZ30" s="142"/>
      <c r="BA30" s="142"/>
      <c r="BB30" s="142"/>
      <c r="BC30" s="142"/>
      <c r="BD30" s="101"/>
      <c r="BE30" s="134"/>
      <c r="BF30" s="134"/>
      <c r="BG30" s="134"/>
      <c r="BH30" s="134"/>
      <c r="BI30" s="101"/>
      <c r="BJ30" s="134"/>
      <c r="BK30" s="134"/>
      <c r="BL30" s="134"/>
      <c r="BM30" s="134"/>
      <c r="BN30" s="101"/>
      <c r="BO30" s="134"/>
      <c r="BP30" s="134"/>
      <c r="BQ30" s="134"/>
      <c r="BR30" s="134"/>
      <c r="BS30" s="101"/>
      <c r="BT30" s="134"/>
      <c r="BU30" s="134"/>
      <c r="BV30" s="134"/>
      <c r="BW30" s="134"/>
      <c r="BX30" s="101"/>
      <c r="BY30" s="134"/>
      <c r="BZ30" s="134"/>
      <c r="CA30" s="134"/>
      <c r="CB30" s="515"/>
      <c r="CC30" s="516"/>
      <c r="CD30" s="134"/>
      <c r="CE30" s="134"/>
      <c r="CF30" s="134"/>
      <c r="CG30" s="134"/>
      <c r="CH30" s="101"/>
      <c r="CI30" s="134"/>
      <c r="CJ30" s="134"/>
      <c r="CK30" s="134"/>
      <c r="CL30" s="134"/>
      <c r="CM30" s="101"/>
      <c r="CN30" s="134"/>
      <c r="CO30" s="134"/>
      <c r="CP30" s="134"/>
      <c r="CQ30" s="134"/>
      <c r="CR30" s="101"/>
      <c r="CS30" s="134"/>
      <c r="CT30" s="134"/>
      <c r="CU30" s="134"/>
      <c r="CV30" s="134"/>
      <c r="CW30" s="101"/>
      <c r="CX30" s="134"/>
      <c r="CY30" s="134"/>
      <c r="CZ30" s="134"/>
      <c r="DA30" s="134"/>
      <c r="DB30" s="101"/>
    </row>
    <row r="31" spans="1:106" s="15" customFormat="1" ht="11.15" customHeight="1" thickBot="1" x14ac:dyDescent="0.4">
      <c r="A31" s="119" t="s">
        <v>35</v>
      </c>
      <c r="B31" s="120" t="str">
        <f>Macro!B$3</f>
        <v>1Q10</v>
      </c>
      <c r="C31" s="120" t="str">
        <f>Macro!C$3</f>
        <v>2Q10</v>
      </c>
      <c r="D31" s="120" t="str">
        <f>Macro!D$3</f>
        <v>3Q10</v>
      </c>
      <c r="E31" s="120" t="str">
        <f>Macro!E$3</f>
        <v>4Q10</v>
      </c>
      <c r="F31" s="121" t="str">
        <f>Macro!F$3</f>
        <v>2010</v>
      </c>
      <c r="G31" s="120" t="str">
        <f>Macro!G$3</f>
        <v>1Q11</v>
      </c>
      <c r="H31" s="120" t="str">
        <f>Macro!H$3</f>
        <v>2Q11</v>
      </c>
      <c r="I31" s="120" t="str">
        <f>Macro!I$3</f>
        <v>3Q11</v>
      </c>
      <c r="J31" s="120" t="str">
        <f>Macro!J$3</f>
        <v>4Q11</v>
      </c>
      <c r="K31" s="121" t="str">
        <f>Macro!K$3</f>
        <v>2011</v>
      </c>
      <c r="L31" s="120" t="str">
        <f>Macro!L$3</f>
        <v>1Q12</v>
      </c>
      <c r="M31" s="120" t="str">
        <f>Macro!M$3</f>
        <v>2Q12</v>
      </c>
      <c r="N31" s="120" t="str">
        <f>Macro!N$3</f>
        <v>3Q12</v>
      </c>
      <c r="O31" s="120" t="str">
        <f>Macro!O$3</f>
        <v>4Q12</v>
      </c>
      <c r="P31" s="121" t="str">
        <f>Macro!P$3</f>
        <v>2012</v>
      </c>
      <c r="Q31" s="120" t="str">
        <f>Macro!Q$3</f>
        <v>1Q13</v>
      </c>
      <c r="R31" s="120" t="str">
        <f>Macro!R$3</f>
        <v>2Q13</v>
      </c>
      <c r="S31" s="120" t="str">
        <f>Macro!S$3</f>
        <v>3Q13</v>
      </c>
      <c r="T31" s="120" t="str">
        <f>Macro!T$3</f>
        <v>4Q13</v>
      </c>
      <c r="U31" s="121" t="str">
        <f>Macro!U$3</f>
        <v>2013</v>
      </c>
      <c r="V31" s="120" t="str">
        <f>Macro!V$3</f>
        <v>1Q14</v>
      </c>
      <c r="W31" s="120" t="str">
        <f>Macro!W$3</f>
        <v>2Q14</v>
      </c>
      <c r="X31" s="120" t="str">
        <f>Macro!X$3</f>
        <v>3Q14</v>
      </c>
      <c r="Y31" s="120" t="str">
        <f>Macro!Y$3</f>
        <v>4Q14</v>
      </c>
      <c r="Z31" s="121" t="str">
        <f>Macro!Z$3</f>
        <v>2014</v>
      </c>
      <c r="AA31" s="120" t="str">
        <f>Macro!AA$3</f>
        <v>1Q15</v>
      </c>
      <c r="AB31" s="120" t="str">
        <f>Macro!AB$3</f>
        <v>2Q15</v>
      </c>
      <c r="AC31" s="120" t="str">
        <f>Macro!AC$3</f>
        <v>3Q15</v>
      </c>
      <c r="AD31" s="120" t="str">
        <f>Macro!AD$3</f>
        <v>4Q15</v>
      </c>
      <c r="AE31" s="121" t="str">
        <f>Macro!AE$3</f>
        <v>2015</v>
      </c>
      <c r="AF31" s="120" t="str">
        <f>Macro!AF$3</f>
        <v>1Q16</v>
      </c>
      <c r="AG31" s="120" t="str">
        <f>Macro!AG$3</f>
        <v>2Q16</v>
      </c>
      <c r="AH31" s="120" t="str">
        <f>Macro!AH$3</f>
        <v>3Q16</v>
      </c>
      <c r="AI31" s="120" t="str">
        <f>Macro!AI$3</f>
        <v>4Q16</v>
      </c>
      <c r="AJ31" s="121" t="str">
        <f>Macro!AJ$3</f>
        <v>2016</v>
      </c>
      <c r="AK31" s="120" t="str">
        <f>Macro!AK$3</f>
        <v>1Q17</v>
      </c>
      <c r="AL31" s="120" t="str">
        <f>Macro!AL$3</f>
        <v>2Q17</v>
      </c>
      <c r="AM31" s="120" t="str">
        <f>Macro!AM$3</f>
        <v>3Q17</v>
      </c>
      <c r="AN31" s="120" t="str">
        <f>Macro!AN$3</f>
        <v>4Q17</v>
      </c>
      <c r="AO31" s="121" t="str">
        <f>Macro!AO$3</f>
        <v>2017</v>
      </c>
      <c r="AP31" s="120" t="str">
        <f>Macro!AP$3</f>
        <v>1Q18</v>
      </c>
      <c r="AQ31" s="120" t="str">
        <f>Macro!AQ$3</f>
        <v>2Q18</v>
      </c>
      <c r="AR31" s="120" t="str">
        <f>Macro!AR$3</f>
        <v>3Q18</v>
      </c>
      <c r="AS31" s="120" t="str">
        <f>Macro!AS$3</f>
        <v>4Q18</v>
      </c>
      <c r="AT31" s="121" t="str">
        <f>Macro!AT$3</f>
        <v>2018</v>
      </c>
      <c r="AU31" s="120" t="str">
        <f>Macro!AU$3</f>
        <v>1Q19</v>
      </c>
      <c r="AV31" s="120" t="str">
        <f>Macro!AV$3</f>
        <v>2Q19</v>
      </c>
      <c r="AW31" s="120" t="str">
        <f>Macro!AW$3</f>
        <v>3Q19</v>
      </c>
      <c r="AX31" s="120" t="str">
        <f>Macro!AX$3</f>
        <v>4Q19</v>
      </c>
      <c r="AY31" s="121" t="str">
        <f>Macro!AY$3</f>
        <v>2019</v>
      </c>
      <c r="AZ31" s="120" t="str">
        <f>Macro!AZ$3</f>
        <v>1Q20</v>
      </c>
      <c r="BA31" s="120" t="str">
        <f>Macro!BA$3</f>
        <v>2Q20</v>
      </c>
      <c r="BB31" s="120" t="str">
        <f>Macro!BB$3</f>
        <v>3Q20</v>
      </c>
      <c r="BC31" s="120" t="str">
        <f>Macro!BC$3</f>
        <v>4Q20</v>
      </c>
      <c r="BD31" s="121" t="str">
        <f>Macro!BD$3</f>
        <v>2020</v>
      </c>
      <c r="BE31" s="120" t="str">
        <f>Macro!BE$3</f>
        <v>1Q21</v>
      </c>
      <c r="BF31" s="120" t="str">
        <f>Macro!BF$3</f>
        <v>2Q21</v>
      </c>
      <c r="BG31" s="120" t="str">
        <f>Macro!BG$3</f>
        <v>3Q21</v>
      </c>
      <c r="BH31" s="120" t="str">
        <f>Macro!BH$3</f>
        <v>4Q21</v>
      </c>
      <c r="BI31" s="121" t="str">
        <f>Macro!BI$3</f>
        <v>2021</v>
      </c>
      <c r="BJ31" s="120" t="str">
        <f>Macro!BJ$3</f>
        <v>1Q22</v>
      </c>
      <c r="BK31" s="120" t="str">
        <f>Macro!BK$3</f>
        <v>2Q22</v>
      </c>
      <c r="BL31" s="120" t="str">
        <f>Macro!BL$3</f>
        <v>3Q22</v>
      </c>
      <c r="BM31" s="120" t="str">
        <f>Macro!BM$3</f>
        <v>4Q22</v>
      </c>
      <c r="BN31" s="121" t="str">
        <f>Macro!BN$3</f>
        <v>2022</v>
      </c>
      <c r="BO31" s="120" t="str">
        <f>Macro!BO$3</f>
        <v>1Q23</v>
      </c>
      <c r="BP31" s="120" t="str">
        <f>Macro!BP$3</f>
        <v>2Q23</v>
      </c>
      <c r="BQ31" s="120" t="str">
        <f>Macro!BQ$3</f>
        <v>3Q23</v>
      </c>
      <c r="BR31" s="120" t="str">
        <f>Macro!BR$3</f>
        <v>4Q23</v>
      </c>
      <c r="BS31" s="121" t="str">
        <f>Macro!BS$3</f>
        <v>2023</v>
      </c>
      <c r="BT31" s="120" t="str">
        <f>Macro!BT$3</f>
        <v>1Q24</v>
      </c>
      <c r="BU31" s="120" t="str">
        <f>Macro!BU$3</f>
        <v>2Q24</v>
      </c>
      <c r="BV31" s="120" t="str">
        <f>Macro!BV$3</f>
        <v>3Q24</v>
      </c>
      <c r="BW31" s="120" t="str">
        <f>Macro!BW$3</f>
        <v>4Q24</v>
      </c>
      <c r="BX31" s="121" t="str">
        <f>Macro!BX$3</f>
        <v>2024</v>
      </c>
      <c r="BY31" s="120" t="str">
        <f>Macro!BY$3</f>
        <v>1Q25</v>
      </c>
      <c r="BZ31" s="120" t="str">
        <f>Macro!BZ$3</f>
        <v>2Q25</v>
      </c>
      <c r="CA31" s="120" t="str">
        <f>Macro!CA$3</f>
        <v>3Q25</v>
      </c>
      <c r="CB31" s="120" t="str">
        <f>Macro!CB$3</f>
        <v>4Q25</v>
      </c>
      <c r="CC31" s="121" t="str">
        <f>Macro!CC$3</f>
        <v>2025</v>
      </c>
      <c r="CD31" s="120" t="str">
        <f>Macro!CD$3</f>
        <v>1Q26</v>
      </c>
      <c r="CE31" s="120" t="str">
        <f>Macro!CE$3</f>
        <v>2Q26E</v>
      </c>
      <c r="CF31" s="120" t="str">
        <f>Macro!CF$3</f>
        <v>3Q26E</v>
      </c>
      <c r="CG31" s="120" t="str">
        <f>Macro!CG$3</f>
        <v>4Q26E</v>
      </c>
      <c r="CH31" s="121" t="str">
        <f>Macro!CH$3</f>
        <v>2026E</v>
      </c>
      <c r="CI31" s="120" t="str">
        <f>Macro!CI$3</f>
        <v>1Q27E</v>
      </c>
      <c r="CJ31" s="120" t="str">
        <f>Macro!CJ$3</f>
        <v>2Q27E</v>
      </c>
      <c r="CK31" s="120" t="str">
        <f>Macro!CK$3</f>
        <v>3Q27E</v>
      </c>
      <c r="CL31" s="120" t="str">
        <f>Macro!CL$3</f>
        <v>4Q27E</v>
      </c>
      <c r="CM31" s="121" t="str">
        <f>Macro!CM$3</f>
        <v>2027E</v>
      </c>
      <c r="CN31" s="120" t="str">
        <f>Macro!CN$3</f>
        <v>1Q28E</v>
      </c>
      <c r="CO31" s="120" t="str">
        <f>Macro!CO$3</f>
        <v>2Q28E</v>
      </c>
      <c r="CP31" s="120" t="str">
        <f>Macro!CP$3</f>
        <v>3Q28E</v>
      </c>
      <c r="CQ31" s="120" t="str">
        <f>Macro!CQ$3</f>
        <v>4Q28E</v>
      </c>
      <c r="CR31" s="121" t="str">
        <f>Macro!CR$3</f>
        <v>2028E</v>
      </c>
      <c r="CS31" s="120" t="str">
        <f>Macro!CS$3</f>
        <v>1Q29E</v>
      </c>
      <c r="CT31" s="120" t="str">
        <f>Macro!CT$3</f>
        <v>2Q29E</v>
      </c>
      <c r="CU31" s="120" t="str">
        <f>Macro!CU$3</f>
        <v>3Q29E</v>
      </c>
      <c r="CV31" s="120" t="str">
        <f>Macro!CV$3</f>
        <v>4Q29E</v>
      </c>
      <c r="CW31" s="121" t="str">
        <f>Macro!CW$3</f>
        <v>2029E</v>
      </c>
      <c r="CX31" s="120" t="str">
        <f>Macro!CX$3</f>
        <v>1Q30E</v>
      </c>
      <c r="CY31" s="120" t="str">
        <f>Macro!CY$3</f>
        <v>2Q30E</v>
      </c>
      <c r="CZ31" s="120" t="str">
        <f>Macro!CZ$3</f>
        <v>3Q30E</v>
      </c>
      <c r="DA31" s="120" t="str">
        <f>Macro!DA$3</f>
        <v>4Q30E</v>
      </c>
      <c r="DB31" s="121" t="str">
        <f>Macro!DB$3</f>
        <v>2030E</v>
      </c>
    </row>
    <row r="32" spans="1:106" ht="11.25" customHeight="1" outlineLevel="1" thickTop="1" x14ac:dyDescent="0.35">
      <c r="A32" s="122" t="s">
        <v>269</v>
      </c>
      <c r="B32" s="407">
        <f>IS!B107</f>
        <v>0</v>
      </c>
      <c r="C32" s="407">
        <f>IS!C107</f>
        <v>0</v>
      </c>
      <c r="D32" s="407">
        <f>IS!D107</f>
        <v>0</v>
      </c>
      <c r="E32" s="407">
        <f>IS!E107</f>
        <v>0</v>
      </c>
      <c r="F32" s="408">
        <f>IS!F107</f>
        <v>0</v>
      </c>
      <c r="G32" s="407">
        <f>IS!G107</f>
        <v>0</v>
      </c>
      <c r="H32" s="407">
        <f>IS!H107</f>
        <v>0</v>
      </c>
      <c r="I32" s="407">
        <f>IS!I107</f>
        <v>0</v>
      </c>
      <c r="J32" s="407">
        <f>IS!J107</f>
        <v>0</v>
      </c>
      <c r="K32" s="408">
        <f>IS!K107</f>
        <v>0</v>
      </c>
      <c r="L32" s="407">
        <f>IS!L107</f>
        <v>0</v>
      </c>
      <c r="M32" s="407">
        <f>IS!M107</f>
        <v>0</v>
      </c>
      <c r="N32" s="407">
        <f>IS!N107</f>
        <v>0</v>
      </c>
      <c r="O32" s="407">
        <f>IS!O107</f>
        <v>0</v>
      </c>
      <c r="P32" s="408">
        <f>IS!P107</f>
        <v>0</v>
      </c>
      <c r="Q32" s="407">
        <f>IS!Q107</f>
        <v>0</v>
      </c>
      <c r="R32" s="407">
        <f>IS!R107</f>
        <v>0</v>
      </c>
      <c r="S32" s="407">
        <f>IS!S107</f>
        <v>0</v>
      </c>
      <c r="T32" s="407">
        <f>IS!T107</f>
        <v>0</v>
      </c>
      <c r="U32" s="408">
        <f>IS!U107</f>
        <v>0</v>
      </c>
      <c r="V32" s="407">
        <f>IS!V107</f>
        <v>0</v>
      </c>
      <c r="W32" s="407">
        <f>IS!W107</f>
        <v>0</v>
      </c>
      <c r="X32" s="407">
        <f>IS!X107</f>
        <v>0</v>
      </c>
      <c r="Y32" s="407">
        <f>IS!Y107</f>
        <v>0</v>
      </c>
      <c r="Z32" s="408">
        <f>IS!Z107</f>
        <v>0</v>
      </c>
      <c r="AA32" s="407">
        <f>IS!AA107</f>
        <v>0</v>
      </c>
      <c r="AB32" s="407">
        <f>IS!AB107</f>
        <v>0</v>
      </c>
      <c r="AC32" s="407">
        <f>IS!AC107</f>
        <v>0</v>
      </c>
      <c r="AD32" s="407">
        <f>IS!AD107</f>
        <v>0</v>
      </c>
      <c r="AE32" s="408">
        <f>IS!AE107</f>
        <v>0</v>
      </c>
      <c r="AF32" s="407">
        <f>IS!AF107</f>
        <v>0</v>
      </c>
      <c r="AG32" s="407">
        <f>IS!AG107</f>
        <v>0</v>
      </c>
      <c r="AH32" s="407">
        <f>IS!AH107</f>
        <v>0</v>
      </c>
      <c r="AI32" s="407">
        <f>IS!AI107</f>
        <v>0</v>
      </c>
      <c r="AJ32" s="408">
        <f>IS!AJ107</f>
        <v>0</v>
      </c>
      <c r="AK32" s="407">
        <f>IS!AK107</f>
        <v>0</v>
      </c>
      <c r="AL32" s="407">
        <f>IS!AL107</f>
        <v>0</v>
      </c>
      <c r="AM32" s="407">
        <f>IS!AM107</f>
        <v>0</v>
      </c>
      <c r="AN32" s="407">
        <f>IS!AN107</f>
        <v>0</v>
      </c>
      <c r="AO32" s="408">
        <f>IS!AO107</f>
        <v>0</v>
      </c>
      <c r="AP32" s="407">
        <f>IS!AP107</f>
        <v>0</v>
      </c>
      <c r="AQ32" s="407">
        <f>IS!AQ107</f>
        <v>0</v>
      </c>
      <c r="AR32" s="407">
        <f>IS!AR107</f>
        <v>0</v>
      </c>
      <c r="AS32" s="407">
        <f>IS!AS107</f>
        <v>0</v>
      </c>
      <c r="AT32" s="408">
        <f>IS!AT107</f>
        <v>0</v>
      </c>
      <c r="AU32" s="407">
        <f>IS!AU107</f>
        <v>0</v>
      </c>
      <c r="AV32" s="407">
        <f>IS!AV107</f>
        <v>0</v>
      </c>
      <c r="AW32" s="407">
        <f>IS!AW107</f>
        <v>0</v>
      </c>
      <c r="AX32" s="407">
        <f>IS!AX107</f>
        <v>670419</v>
      </c>
      <c r="AY32" s="408">
        <f>IS!AY107</f>
        <v>670419</v>
      </c>
      <c r="AZ32" s="407">
        <f>IS!AZ107</f>
        <v>641933</v>
      </c>
      <c r="BA32" s="407">
        <f>IS!BA107</f>
        <v>649571</v>
      </c>
      <c r="BB32" s="407">
        <f>IS!BB107</f>
        <v>726078</v>
      </c>
      <c r="BC32" s="407">
        <f>IS!BC107</f>
        <v>778550</v>
      </c>
      <c r="BD32" s="408">
        <f>IS!BD107</f>
        <v>778550</v>
      </c>
      <c r="BE32" s="407">
        <f>IS!BE107</f>
        <v>972631</v>
      </c>
      <c r="BF32" s="407">
        <f>IS!BF107</f>
        <v>1172291</v>
      </c>
      <c r="BG32" s="407">
        <f>IS!BG107</f>
        <v>1427093</v>
      </c>
      <c r="BH32" s="407">
        <f>IS!BH107</f>
        <v>1560016</v>
      </c>
      <c r="BI32" s="408">
        <f>IS!BI107</f>
        <v>1560016</v>
      </c>
      <c r="BJ32" s="407">
        <f>IS!BJ107</f>
        <v>1826371</v>
      </c>
      <c r="BK32" s="407">
        <f>IS!BK107</f>
        <v>2064638</v>
      </c>
      <c r="BL32" s="407">
        <f>IS!BL107</f>
        <v>2322205</v>
      </c>
      <c r="BM32" s="407">
        <f>IS!BM107</f>
        <v>2454399</v>
      </c>
      <c r="BN32" s="408">
        <f>IS!BN107</f>
        <v>2454399</v>
      </c>
      <c r="BO32" s="407">
        <f>IS!BO107</f>
        <v>2914433</v>
      </c>
      <c r="BP32" s="407">
        <f>IS!BP107</f>
        <v>3245796</v>
      </c>
      <c r="BQ32" s="407">
        <f>IS!BQ107</f>
        <v>3439133</v>
      </c>
      <c r="BR32" s="407">
        <f>IS!BR107</f>
        <v>3501917</v>
      </c>
      <c r="BS32" s="408">
        <f>IS!BS107</f>
        <v>3501917</v>
      </c>
      <c r="BT32" s="407">
        <f>IS!BT107</f>
        <v>4153406</v>
      </c>
      <c r="BU32" s="407">
        <f>IS!BU107</f>
        <v>4837930</v>
      </c>
      <c r="BV32" s="407">
        <f>IS!BV107</f>
        <v>5203643</v>
      </c>
      <c r="BW32" s="407">
        <f>IS!BW107</f>
        <v>5565297</v>
      </c>
      <c r="BX32" s="408">
        <f>IS!BX107</f>
        <v>5565297</v>
      </c>
      <c r="BY32" s="407">
        <f>IS!BY107</f>
        <v>6430448</v>
      </c>
      <c r="BZ32" s="407">
        <f>IS!BZ107</f>
        <v>7284016</v>
      </c>
      <c r="CA32" s="407">
        <f>IS!CA107</f>
        <v>7701127</v>
      </c>
      <c r="CB32" s="407">
        <f>IS!CB107</f>
        <v>7802275</v>
      </c>
      <c r="CC32" s="408">
        <f>IS!CC107</f>
        <v>7802275</v>
      </c>
      <c r="CD32" s="407">
        <f>IS!CD107</f>
        <v>8471900</v>
      </c>
      <c r="CE32" s="407">
        <f>IS!CE107</f>
        <v>8831273</v>
      </c>
      <c r="CF32" s="407">
        <f>IS!CF107</f>
        <v>9280385.148059262</v>
      </c>
      <c r="CG32" s="407">
        <f>IS!CG107</f>
        <v>9570379.4182503</v>
      </c>
      <c r="CH32" s="408">
        <f>IS!CH107</f>
        <v>9570379.4182503</v>
      </c>
      <c r="CI32" s="407">
        <f>IS!CI107</f>
        <v>10325680.132800439</v>
      </c>
      <c r="CJ32" s="407">
        <f>IS!CJ107</f>
        <v>10892683.976767618</v>
      </c>
      <c r="CK32" s="407">
        <f>IS!CK107</f>
        <v>11125080.444116147</v>
      </c>
      <c r="CL32" s="407">
        <f>IS!CL107</f>
        <v>11336744.65989621</v>
      </c>
      <c r="CM32" s="408">
        <f>IS!CM107</f>
        <v>11336744.65989621</v>
      </c>
      <c r="CN32" s="407">
        <f>IS!CN107</f>
        <v>11926289.70600123</v>
      </c>
      <c r="CO32" s="407">
        <f>IS!CO107</f>
        <v>12399838.399051344</v>
      </c>
      <c r="CP32" s="407">
        <f>IS!CP107</f>
        <v>12526391.674072754</v>
      </c>
      <c r="CQ32" s="407">
        <f>IS!CQ107</f>
        <v>12584334.02644386</v>
      </c>
      <c r="CR32" s="408">
        <f>IS!CR107</f>
        <v>12584334.02644386</v>
      </c>
      <c r="CS32" s="407">
        <f>IS!CS107</f>
        <v>13146071.355432589</v>
      </c>
      <c r="CT32" s="407">
        <f>IS!CT107</f>
        <v>13579348.943333676</v>
      </c>
      <c r="CU32" s="407">
        <f>IS!CU107</f>
        <v>13649853.284974895</v>
      </c>
      <c r="CV32" s="407">
        <f>IS!CV107</f>
        <v>13650324.811803214</v>
      </c>
      <c r="CW32" s="408">
        <f>IS!CW107</f>
        <v>13650324.811803214</v>
      </c>
      <c r="CX32" s="407">
        <f>IS!CX107</f>
        <v>14177621.258485951</v>
      </c>
      <c r="CY32" s="407">
        <f>IS!CY107</f>
        <v>14575431.855838079</v>
      </c>
      <c r="CZ32" s="407">
        <f>IS!CZ107</f>
        <v>14600542.138639357</v>
      </c>
      <c r="DA32" s="407">
        <f>IS!DA107</f>
        <v>14557276.435184371</v>
      </c>
      <c r="DB32" s="408">
        <f>IS!DB107</f>
        <v>14557276.435184371</v>
      </c>
    </row>
    <row r="33" spans="1:106" ht="11.25" customHeight="1" outlineLevel="1" x14ac:dyDescent="0.35">
      <c r="A33" s="7" t="s">
        <v>270</v>
      </c>
      <c r="B33" s="23">
        <f t="shared" ref="B33:AE33" si="301">B14</f>
        <v>0</v>
      </c>
      <c r="C33" s="23">
        <f t="shared" si="301"/>
        <v>0</v>
      </c>
      <c r="D33" s="23">
        <f t="shared" si="301"/>
        <v>0</v>
      </c>
      <c r="E33" s="23">
        <f t="shared" si="301"/>
        <v>0</v>
      </c>
      <c r="F33" s="28">
        <f t="shared" si="301"/>
        <v>0</v>
      </c>
      <c r="G33" s="23">
        <f t="shared" si="301"/>
        <v>0</v>
      </c>
      <c r="H33" s="23">
        <f t="shared" si="301"/>
        <v>0</v>
      </c>
      <c r="I33" s="23">
        <f t="shared" si="301"/>
        <v>0</v>
      </c>
      <c r="J33" s="23">
        <f t="shared" si="301"/>
        <v>0</v>
      </c>
      <c r="K33" s="28">
        <f t="shared" si="301"/>
        <v>0</v>
      </c>
      <c r="L33" s="23">
        <f t="shared" si="301"/>
        <v>0</v>
      </c>
      <c r="M33" s="23">
        <f t="shared" si="301"/>
        <v>0</v>
      </c>
      <c r="N33" s="23">
        <f t="shared" si="301"/>
        <v>0</v>
      </c>
      <c r="O33" s="23">
        <f t="shared" si="301"/>
        <v>0</v>
      </c>
      <c r="P33" s="28">
        <f t="shared" si="301"/>
        <v>0</v>
      </c>
      <c r="Q33" s="23">
        <f t="shared" si="301"/>
        <v>0</v>
      </c>
      <c r="R33" s="23">
        <f t="shared" si="301"/>
        <v>0</v>
      </c>
      <c r="S33" s="23">
        <f t="shared" si="301"/>
        <v>0</v>
      </c>
      <c r="T33" s="23">
        <f t="shared" si="301"/>
        <v>0</v>
      </c>
      <c r="U33" s="28">
        <f t="shared" si="301"/>
        <v>0</v>
      </c>
      <c r="V33" s="23">
        <f t="shared" si="301"/>
        <v>0</v>
      </c>
      <c r="W33" s="23">
        <f t="shared" si="301"/>
        <v>0</v>
      </c>
      <c r="X33" s="23">
        <f t="shared" si="301"/>
        <v>0</v>
      </c>
      <c r="Y33" s="23">
        <f t="shared" si="301"/>
        <v>0</v>
      </c>
      <c r="Z33" s="28">
        <f t="shared" si="301"/>
        <v>0</v>
      </c>
      <c r="AA33" s="23">
        <f t="shared" si="301"/>
        <v>0</v>
      </c>
      <c r="AB33" s="23">
        <f t="shared" si="301"/>
        <v>0</v>
      </c>
      <c r="AC33" s="23">
        <f t="shared" si="301"/>
        <v>0</v>
      </c>
      <c r="AD33" s="23">
        <f t="shared" si="301"/>
        <v>0</v>
      </c>
      <c r="AE33" s="28">
        <f t="shared" si="301"/>
        <v>0</v>
      </c>
      <c r="AF33" s="23">
        <f t="shared" ref="AF33:AG33" si="302">AF14</f>
        <v>0</v>
      </c>
      <c r="AG33" s="23">
        <f t="shared" si="302"/>
        <v>0</v>
      </c>
      <c r="AH33" s="23">
        <f t="shared" ref="AH33:BM33" si="303">AH14</f>
        <v>0</v>
      </c>
      <c r="AI33" s="23">
        <f t="shared" si="303"/>
        <v>0</v>
      </c>
      <c r="AJ33" s="28">
        <f t="shared" si="303"/>
        <v>0</v>
      </c>
      <c r="AK33" s="23">
        <f t="shared" si="303"/>
        <v>106704.6508</v>
      </c>
      <c r="AL33" s="23">
        <f t="shared" si="303"/>
        <v>121129.54253999999</v>
      </c>
      <c r="AM33" s="23">
        <f t="shared" si="303"/>
        <v>199324.48152999999</v>
      </c>
      <c r="AN33" s="23">
        <f t="shared" si="303"/>
        <v>314044.11015999992</v>
      </c>
      <c r="AO33" s="28">
        <f t="shared" si="303"/>
        <v>741202.78502999991</v>
      </c>
      <c r="AP33" s="23">
        <f t="shared" si="303"/>
        <v>135061.90422</v>
      </c>
      <c r="AQ33" s="23">
        <f t="shared" si="303"/>
        <v>210993.88014000002</v>
      </c>
      <c r="AR33" s="23">
        <f t="shared" si="303"/>
        <v>208776.43979999999</v>
      </c>
      <c r="AS33" s="23">
        <f t="shared" si="303"/>
        <v>331878.35210000002</v>
      </c>
      <c r="AT33" s="28">
        <f t="shared" si="303"/>
        <v>886710.57626</v>
      </c>
      <c r="AU33" s="23">
        <f t="shared" si="303"/>
        <v>186415.37328999999</v>
      </c>
      <c r="AV33" s="23">
        <f t="shared" si="303"/>
        <v>205291.19581999999</v>
      </c>
      <c r="AW33" s="23">
        <f t="shared" si="303"/>
        <v>261049.29123</v>
      </c>
      <c r="AX33" s="23">
        <f t="shared" si="303"/>
        <v>329384.70366</v>
      </c>
      <c r="AY33" s="28">
        <f t="shared" si="303"/>
        <v>982140.56400000001</v>
      </c>
      <c r="AZ33" s="23">
        <f t="shared" si="303"/>
        <v>238877.79020000002</v>
      </c>
      <c r="BA33" s="23">
        <f t="shared" si="303"/>
        <v>292082.20728999999</v>
      </c>
      <c r="BB33" s="23">
        <f t="shared" si="303"/>
        <v>410345.60115</v>
      </c>
      <c r="BC33" s="23">
        <f t="shared" si="303"/>
        <v>404604.91135000001</v>
      </c>
      <c r="BD33" s="28">
        <f t="shared" si="303"/>
        <v>1345910.5099899999</v>
      </c>
      <c r="BE33" s="23">
        <f t="shared" si="303"/>
        <v>590373.32932000002</v>
      </c>
      <c r="BF33" s="23">
        <f t="shared" si="303"/>
        <v>682578</v>
      </c>
      <c r="BG33" s="23">
        <f t="shared" si="303"/>
        <v>682370.50875999988</v>
      </c>
      <c r="BH33" s="23">
        <f t="shared" si="303"/>
        <v>611366.0959999999</v>
      </c>
      <c r="BI33" s="28">
        <f t="shared" si="303"/>
        <v>2566687.93408</v>
      </c>
      <c r="BJ33" s="23">
        <f t="shared" si="303"/>
        <v>753366.12115000002</v>
      </c>
      <c r="BK33" s="23">
        <f t="shared" si="303"/>
        <v>897485.37751999986</v>
      </c>
      <c r="BL33" s="23">
        <f t="shared" si="303"/>
        <v>885832.59664999985</v>
      </c>
      <c r="BM33" s="23">
        <f t="shared" si="303"/>
        <v>753062.04715999996</v>
      </c>
      <c r="BN33" s="28">
        <f t="shared" ref="BN33:CS33" si="304">BN14</f>
        <v>3289746.1424799999</v>
      </c>
      <c r="BO33" s="23">
        <f t="shared" si="304"/>
        <v>1078891.9739699997</v>
      </c>
      <c r="BP33" s="23">
        <f t="shared" si="304"/>
        <v>1193950.7560000001</v>
      </c>
      <c r="BQ33" s="23">
        <f t="shared" si="304"/>
        <v>972643.94625000027</v>
      </c>
      <c r="BR33" s="23">
        <f t="shared" si="304"/>
        <v>904671.58600000001</v>
      </c>
      <c r="BS33" s="28">
        <f t="shared" si="304"/>
        <v>4150158.2622199999</v>
      </c>
      <c r="BT33" s="23">
        <f t="shared" si="304"/>
        <v>1552135.31929</v>
      </c>
      <c r="BU33" s="23">
        <f t="shared" si="304"/>
        <v>1749239.9412900002</v>
      </c>
      <c r="BV33" s="23">
        <f t="shared" si="304"/>
        <v>1437151.16322</v>
      </c>
      <c r="BW33" s="23">
        <f>BW14</f>
        <v>1423748</v>
      </c>
      <c r="BX33" s="28">
        <f t="shared" si="304"/>
        <v>6162274.4238000009</v>
      </c>
      <c r="BY33" s="23">
        <f t="shared" si="304"/>
        <v>2105578.8965500002</v>
      </c>
      <c r="BZ33" s="23">
        <f t="shared" ref="BZ33:CA33" si="305">BZ14</f>
        <v>2261363.1793000004</v>
      </c>
      <c r="CA33" s="23">
        <f t="shared" si="305"/>
        <v>1827000</v>
      </c>
      <c r="CB33" s="23">
        <f>CB14</f>
        <v>1556300</v>
      </c>
      <c r="CC33" s="28">
        <f t="shared" si="304"/>
        <v>7750242.0758500006</v>
      </c>
      <c r="CD33" s="23">
        <f t="shared" ref="CD33:CE33" si="306">CD14</f>
        <v>2304600</v>
      </c>
      <c r="CE33" s="23">
        <f t="shared" si="306"/>
        <v>2045500</v>
      </c>
      <c r="CF33" s="23">
        <f t="shared" si="304"/>
        <v>2236888.1258809459</v>
      </c>
      <c r="CG33" s="23">
        <f t="shared" si="304"/>
        <v>2107156.692646909</v>
      </c>
      <c r="CH33" s="28">
        <f t="shared" si="304"/>
        <v>8694144.818527855</v>
      </c>
      <c r="CI33" s="23">
        <f t="shared" si="304"/>
        <v>2677205.7299608183</v>
      </c>
      <c r="CJ33" s="23">
        <f t="shared" si="304"/>
        <v>2754040.9137713038</v>
      </c>
      <c r="CK33" s="23">
        <f t="shared" si="304"/>
        <v>2444414.5586170312</v>
      </c>
      <c r="CL33" s="23">
        <f t="shared" si="304"/>
        <v>2313018.3020845302</v>
      </c>
      <c r="CM33" s="28">
        <f t="shared" si="304"/>
        <v>10188679.504433684</v>
      </c>
      <c r="CN33" s="23">
        <f t="shared" si="304"/>
        <v>2797993.3004742521</v>
      </c>
      <c r="CO33" s="23">
        <f t="shared" si="304"/>
        <v>2856395.8360295007</v>
      </c>
      <c r="CP33" s="23">
        <f t="shared" si="304"/>
        <v>2532600.3490619194</v>
      </c>
      <c r="CQ33" s="23">
        <f t="shared" si="304"/>
        <v>2407496.8313266085</v>
      </c>
      <c r="CR33" s="28">
        <f t="shared" si="304"/>
        <v>10594486.316892281</v>
      </c>
      <c r="CS33" s="23">
        <f t="shared" si="304"/>
        <v>2992888.6057076892</v>
      </c>
      <c r="CT33" s="23">
        <f t="shared" ref="CT33:DB33" si="307">CT14</f>
        <v>3022711.4263462462</v>
      </c>
      <c r="CU33" s="23">
        <f t="shared" si="307"/>
        <v>2666545.744521901</v>
      </c>
      <c r="CV33" s="23">
        <f t="shared" si="307"/>
        <v>2524086.3356028637</v>
      </c>
      <c r="CW33" s="28">
        <f t="shared" si="307"/>
        <v>11206232.112178702</v>
      </c>
      <c r="CX33" s="23">
        <f t="shared" si="307"/>
        <v>3124727.0262734317</v>
      </c>
      <c r="CY33" s="23">
        <f t="shared" si="307"/>
        <v>3150737.4363616225</v>
      </c>
      <c r="CZ33" s="23">
        <f t="shared" si="307"/>
        <v>2777341.2024561134</v>
      </c>
      <c r="DA33" s="23">
        <f t="shared" si="307"/>
        <v>2627249.5088047814</v>
      </c>
      <c r="DB33" s="28">
        <f t="shared" si="307"/>
        <v>11680055.173895949</v>
      </c>
    </row>
    <row r="34" spans="1:106" ht="11.25" customHeight="1" outlineLevel="1" x14ac:dyDescent="0.35">
      <c r="A34" s="7" t="s">
        <v>271</v>
      </c>
      <c r="B34" s="23" t="e">
        <f>IS!A107+B9</f>
        <v>#VALUE!</v>
      </c>
      <c r="C34" s="23">
        <f>IS!B107+C9</f>
        <v>0</v>
      </c>
      <c r="D34" s="23">
        <f>IS!C107+D9</f>
        <v>0</v>
      </c>
      <c r="E34" s="23">
        <f>IS!D107+E9</f>
        <v>0</v>
      </c>
      <c r="F34" s="28" t="e">
        <f>IS!A107+F9</f>
        <v>#VALUE!</v>
      </c>
      <c r="G34" s="23">
        <f>IS!F107+G9</f>
        <v>0</v>
      </c>
      <c r="H34" s="23">
        <f>IS!G107+H9</f>
        <v>0</v>
      </c>
      <c r="I34" s="23">
        <f>IS!H107+I9</f>
        <v>0</v>
      </c>
      <c r="J34" s="23">
        <f>IS!I107+J9</f>
        <v>0</v>
      </c>
      <c r="K34" s="28">
        <f>IS!F107+K9</f>
        <v>0</v>
      </c>
      <c r="L34" s="23">
        <f>IS!K107+L9</f>
        <v>0</v>
      </c>
      <c r="M34" s="23">
        <f>IS!L107+M9</f>
        <v>0</v>
      </c>
      <c r="N34" s="23">
        <f>IS!M107+N9</f>
        <v>0</v>
      </c>
      <c r="O34" s="23">
        <f>IS!N107+O9</f>
        <v>0</v>
      </c>
      <c r="P34" s="28">
        <f>IS!K107+P9</f>
        <v>0</v>
      </c>
      <c r="Q34" s="23">
        <f>IS!P107+Q9</f>
        <v>0</v>
      </c>
      <c r="R34" s="23">
        <f>IS!Q107+R9</f>
        <v>0</v>
      </c>
      <c r="S34" s="23">
        <f>IS!R107+S9</f>
        <v>0</v>
      </c>
      <c r="T34" s="23">
        <f>IS!S107+T9</f>
        <v>0</v>
      </c>
      <c r="U34" s="28">
        <f>IS!P107+U9</f>
        <v>0</v>
      </c>
      <c r="V34" s="23">
        <f>IS!U107+V9</f>
        <v>0</v>
      </c>
      <c r="W34" s="23">
        <f>IS!V107+W9</f>
        <v>0</v>
      </c>
      <c r="X34" s="23">
        <f>IS!W107+X9</f>
        <v>0</v>
      </c>
      <c r="Y34" s="23">
        <f>IS!X107+Y9</f>
        <v>0</v>
      </c>
      <c r="Z34" s="28">
        <f>IS!U107+Z9</f>
        <v>0</v>
      </c>
      <c r="AA34" s="23">
        <f>IS!Z107+AA9</f>
        <v>0</v>
      </c>
      <c r="AB34" s="23">
        <f>IS!AA107+AB9</f>
        <v>0</v>
      </c>
      <c r="AC34" s="23">
        <f>IS!AB107+AC9</f>
        <v>0</v>
      </c>
      <c r="AD34" s="23">
        <f>IS!AC107+AD9</f>
        <v>0</v>
      </c>
      <c r="AE34" s="28">
        <f>IS!Z107+AE9</f>
        <v>0</v>
      </c>
      <c r="AF34" s="23">
        <f>IS!AE107+AF9</f>
        <v>0</v>
      </c>
      <c r="AG34" s="23">
        <f>IS!AF107+AG9</f>
        <v>0</v>
      </c>
      <c r="AH34" s="23">
        <f>IS!AG107+AH9</f>
        <v>0</v>
      </c>
      <c r="AI34" s="23">
        <f>IS!AH107+AI9</f>
        <v>0</v>
      </c>
      <c r="AJ34" s="28">
        <f>IS!AE107+AJ9</f>
        <v>0</v>
      </c>
      <c r="AK34" s="23">
        <f>AI32+AK9</f>
        <v>106704.6508</v>
      </c>
      <c r="AL34" s="23">
        <f>AK32+AL9</f>
        <v>121129.54253999999</v>
      </c>
      <c r="AM34" s="23">
        <f>AL32+AM9</f>
        <v>199324.48152999999</v>
      </c>
      <c r="AN34" s="23">
        <f>AM32+AN9</f>
        <v>314044.11015999998</v>
      </c>
      <c r="AO34" s="28">
        <f>IS!AJ107+AO9</f>
        <v>741202.78502999991</v>
      </c>
      <c r="AP34" s="23">
        <f>AN32+AP9</f>
        <v>135061.90422</v>
      </c>
      <c r="AQ34" s="23">
        <f t="shared" ref="AQ34:AS34" si="308">AO32+AQ9</f>
        <v>210993.88013999999</v>
      </c>
      <c r="AR34" s="23">
        <f t="shared" si="308"/>
        <v>208776.43979999999</v>
      </c>
      <c r="AS34" s="23">
        <f t="shared" si="308"/>
        <v>331878.35210000002</v>
      </c>
      <c r="AT34" s="28">
        <f>IS!AO107+AT9</f>
        <v>886710.57626</v>
      </c>
      <c r="AU34" s="23">
        <f>AS32+AU9</f>
        <v>186415.37328999999</v>
      </c>
      <c r="AV34" s="23">
        <f t="shared" ref="AV34" si="309">AT32+AV9</f>
        <v>205291.19581999999</v>
      </c>
      <c r="AW34" s="23">
        <f t="shared" ref="AW34" si="310">AU32+AW9</f>
        <v>261049.29123</v>
      </c>
      <c r="AX34" s="23">
        <f t="shared" ref="AX34" si="311">AV32+AX9</f>
        <v>329384.70366</v>
      </c>
      <c r="AY34" s="28">
        <f>IS!AT107+AY9</f>
        <v>982140.56400000001</v>
      </c>
      <c r="AZ34" s="23">
        <f>AX32+AZ9</f>
        <v>909296.79019999993</v>
      </c>
      <c r="BA34" s="23">
        <f t="shared" ref="BA34" si="312">AY32+BA9</f>
        <v>962501.20729000005</v>
      </c>
      <c r="BB34" s="23">
        <f t="shared" ref="BB34" si="313">AZ32+BB9</f>
        <v>1052278.60115</v>
      </c>
      <c r="BC34" s="23">
        <f t="shared" ref="BC34" si="314">BA32+BC9</f>
        <v>1054175.91135</v>
      </c>
      <c r="BD34" s="28">
        <f>IS!AY107+BD9</f>
        <v>2016329.5099899999</v>
      </c>
      <c r="BE34" s="23">
        <f>BC32+BE9</f>
        <v>1368923.32932</v>
      </c>
      <c r="BF34" s="23">
        <f t="shared" ref="BF34" si="315">BD32+BF9</f>
        <v>1461128</v>
      </c>
      <c r="BG34" s="23">
        <f t="shared" ref="BG34" si="316">BE32+BG9</f>
        <v>1655001.5087600001</v>
      </c>
      <c r="BH34" s="23">
        <f t="shared" ref="BH34" si="317">BF32+BH9</f>
        <v>1783657.0959999999</v>
      </c>
      <c r="BI34" s="28">
        <f>IS!BD107+BI9</f>
        <v>3345237.93408</v>
      </c>
      <c r="BJ34" s="23">
        <f>BH32+BJ9</f>
        <v>2313382.12115</v>
      </c>
      <c r="BK34" s="23">
        <f t="shared" ref="BK34" si="318">BI32+BK9</f>
        <v>2457501.3775200001</v>
      </c>
      <c r="BL34" s="23">
        <f t="shared" ref="BL34" si="319">BJ32+BL9</f>
        <v>2712203.5966499997</v>
      </c>
      <c r="BM34" s="23">
        <f t="shared" ref="BM34" si="320">BK32+BM9</f>
        <v>2817700.0471600001</v>
      </c>
      <c r="BN34" s="28">
        <f>IS!BI107+BN9</f>
        <v>4849762.1424799999</v>
      </c>
      <c r="BO34" s="23">
        <f>BM32+BO9</f>
        <v>3533290.9739699997</v>
      </c>
      <c r="BP34" s="23">
        <f t="shared" ref="BP34" si="321">BN32+BP9</f>
        <v>3648349.7560000001</v>
      </c>
      <c r="BQ34" s="23">
        <f t="shared" ref="BQ34" si="322">BO32+BQ9</f>
        <v>3887076.94625</v>
      </c>
      <c r="BR34" s="23">
        <f t="shared" ref="BR34" si="323">BP32+BR9</f>
        <v>4150467.5860000001</v>
      </c>
      <c r="BS34" s="28">
        <f>IS!BN107+BS9</f>
        <v>6604557.2622199999</v>
      </c>
      <c r="BT34" s="23">
        <f>BR32+BT9</f>
        <v>5054052.31929</v>
      </c>
      <c r="BU34" s="23">
        <f t="shared" ref="BU34" si="324">BS32+BU9</f>
        <v>5251156.9412900005</v>
      </c>
      <c r="BV34" s="23">
        <f t="shared" ref="BV34" si="325">BT32+BV9</f>
        <v>5590557.1632199995</v>
      </c>
      <c r="BW34" s="23">
        <f>BU32+BW9</f>
        <v>6261678</v>
      </c>
      <c r="BX34" s="28">
        <f>IS!BS107+BX9</f>
        <v>9664191.4238000009</v>
      </c>
      <c r="BY34" s="23">
        <f>BW32+BY9</f>
        <v>7670875.8965499997</v>
      </c>
      <c r="BZ34" s="23">
        <f t="shared" ref="BZ34:CA34" si="326">BX32+BZ9</f>
        <v>7826660.1793000009</v>
      </c>
      <c r="CA34" s="23">
        <f t="shared" si="326"/>
        <v>8257448</v>
      </c>
      <c r="CB34" s="23">
        <f>BZ32+CB9</f>
        <v>8840316</v>
      </c>
      <c r="CC34" s="28">
        <f>IS!BX107+CC9</f>
        <v>13315539.075850001</v>
      </c>
      <c r="CD34" s="23">
        <f>CB32+CD9</f>
        <v>10106875</v>
      </c>
      <c r="CE34" s="23">
        <f t="shared" ref="CE34" si="327">CC32+CE9</f>
        <v>9847775</v>
      </c>
      <c r="CF34" s="23">
        <f t="shared" ref="CF34" si="328">CD32+CF9</f>
        <v>10708788.125880945</v>
      </c>
      <c r="CG34" s="23">
        <f t="shared" ref="CG34" si="329">CE32+CG9</f>
        <v>10938429.69264691</v>
      </c>
      <c r="CH34" s="28">
        <f>IS!CC107+CH9</f>
        <v>16496419.818527855</v>
      </c>
      <c r="CI34" s="23">
        <f>CG32+CI9</f>
        <v>12247585.148211118</v>
      </c>
      <c r="CJ34" s="23">
        <f t="shared" ref="CJ34" si="330">CH32+CJ9</f>
        <v>12324420.332021603</v>
      </c>
      <c r="CK34" s="23">
        <f t="shared" ref="CK34" si="331">CI32+CK9</f>
        <v>12770094.691417471</v>
      </c>
      <c r="CL34" s="23">
        <f t="shared" ref="CL34" si="332">CJ32+CL9</f>
        <v>13205702.278852148</v>
      </c>
      <c r="CM34" s="28">
        <f>IS!CH107+CM9</f>
        <v>19759058.922683984</v>
      </c>
      <c r="CN34" s="23">
        <f>CL32+CN9</f>
        <v>14134737.960370462</v>
      </c>
      <c r="CO34" s="23">
        <f t="shared" ref="CO34" si="333">CM32+CO9</f>
        <v>14193140.49592571</v>
      </c>
      <c r="CP34" s="23">
        <f t="shared" ref="CP34" si="334">CN32+CP9</f>
        <v>14458890.055063149</v>
      </c>
      <c r="CQ34" s="23">
        <f t="shared" ref="CQ34" si="335">CO32+CQ9</f>
        <v>14807335.230377953</v>
      </c>
      <c r="CR34" s="28">
        <f>IS!CM107+CR9</f>
        <v>21931230.976788491</v>
      </c>
      <c r="CS34" s="23">
        <f>CQ32+CS9</f>
        <v>15577222.632151548</v>
      </c>
      <c r="CT34" s="23">
        <f t="shared" ref="CT34" si="336">CR32+CT9</f>
        <v>15607045.452790106</v>
      </c>
      <c r="CU34" s="23">
        <f t="shared" ref="CU34" si="337">CS32+CU9</f>
        <v>15812617.09995449</v>
      </c>
      <c r="CV34" s="23">
        <f t="shared" ref="CV34" si="338">CT32+CV9</f>
        <v>16103435.278936539</v>
      </c>
      <c r="CW34" s="28">
        <f>IS!CR107+CW9</f>
        <v>23790566.13862256</v>
      </c>
      <c r="CX34" s="23">
        <f>CV32+CX9</f>
        <v>16775051.838076646</v>
      </c>
      <c r="CY34" s="23">
        <f t="shared" ref="CY34" si="339">CW32+CY9</f>
        <v>16801062.248164836</v>
      </c>
      <c r="CZ34" s="23">
        <f t="shared" ref="CZ34" si="340">CX32+CZ9</f>
        <v>16954962.460942063</v>
      </c>
      <c r="DA34" s="23">
        <f t="shared" ref="DA34" si="341">CY32+DA9</f>
        <v>17202681.364642859</v>
      </c>
      <c r="DB34" s="28">
        <f>IS!CW107+DB9</f>
        <v>25330379.985699162</v>
      </c>
    </row>
    <row r="35" spans="1:106" ht="11.25" customHeight="1" x14ac:dyDescent="0.35">
      <c r="A35" s="16" t="s">
        <v>48</v>
      </c>
      <c r="B35" s="411">
        <f>IS!B5</f>
        <v>0</v>
      </c>
      <c r="C35" s="411">
        <f>IS!C5</f>
        <v>0</v>
      </c>
      <c r="D35" s="411">
        <f>IS!D5</f>
        <v>0</v>
      </c>
      <c r="E35" s="411">
        <f>IS!E5</f>
        <v>0</v>
      </c>
      <c r="F35" s="38">
        <f t="shared" ref="F35" si="342">SUM(B35:E35)</f>
        <v>0</v>
      </c>
      <c r="G35" s="411">
        <f>IS!G5</f>
        <v>0</v>
      </c>
      <c r="H35" s="411">
        <f>IS!H5</f>
        <v>0</v>
      </c>
      <c r="I35" s="411">
        <f>IS!I5</f>
        <v>0</v>
      </c>
      <c r="J35" s="411">
        <f>IS!J5</f>
        <v>0</v>
      </c>
      <c r="K35" s="38">
        <f t="shared" ref="K35" si="343">SUM(G35:J35)</f>
        <v>0</v>
      </c>
      <c r="L35" s="411">
        <f>IS!L5</f>
        <v>0</v>
      </c>
      <c r="M35" s="411">
        <f>IS!M5</f>
        <v>0</v>
      </c>
      <c r="N35" s="411">
        <f>IS!N5</f>
        <v>0</v>
      </c>
      <c r="O35" s="411">
        <f>IS!O5</f>
        <v>0</v>
      </c>
      <c r="P35" s="38">
        <f t="shared" ref="P35" si="344">SUM(L35:O35)</f>
        <v>0</v>
      </c>
      <c r="Q35" s="411">
        <f>IS!Q5</f>
        <v>0</v>
      </c>
      <c r="R35" s="411">
        <f>IS!R5</f>
        <v>0</v>
      </c>
      <c r="S35" s="411">
        <f>IS!S5</f>
        <v>0</v>
      </c>
      <c r="T35" s="411">
        <f>IS!T5</f>
        <v>0</v>
      </c>
      <c r="U35" s="38">
        <f t="shared" ref="U35" si="345">SUM(Q35:T35)</f>
        <v>0</v>
      </c>
      <c r="V35" s="411">
        <f>IS!V5</f>
        <v>0</v>
      </c>
      <c r="W35" s="411">
        <f>IS!W5</f>
        <v>0</v>
      </c>
      <c r="X35" s="411">
        <f>IS!X5</f>
        <v>0</v>
      </c>
      <c r="Y35" s="411">
        <f>IS!Y5</f>
        <v>0</v>
      </c>
      <c r="Z35" s="38">
        <f t="shared" ref="Z35" si="346">SUM(V35:Y35)</f>
        <v>0</v>
      </c>
      <c r="AA35" s="411">
        <f>IS!AA5</f>
        <v>0</v>
      </c>
      <c r="AB35" s="411">
        <f>IS!AB5</f>
        <v>0</v>
      </c>
      <c r="AC35" s="411">
        <f>IS!AC5</f>
        <v>0</v>
      </c>
      <c r="AD35" s="411">
        <f>IS!AD5</f>
        <v>0</v>
      </c>
      <c r="AE35" s="38">
        <f t="shared" ref="AE35" si="347">SUM(AA35:AD35)</f>
        <v>0</v>
      </c>
      <c r="AF35" s="411">
        <f>IS!AF5</f>
        <v>0</v>
      </c>
      <c r="AG35" s="411">
        <f>IS!AG5</f>
        <v>0</v>
      </c>
      <c r="AH35" s="411">
        <f>IS!AH5</f>
        <v>0</v>
      </c>
      <c r="AI35" s="411">
        <f>IS!AI5</f>
        <v>0</v>
      </c>
      <c r="AJ35" s="38">
        <f>SUM(AF35:AI35)</f>
        <v>0</v>
      </c>
      <c r="AK35" s="411">
        <f>IS!AK5</f>
        <v>169820.75163398695</v>
      </c>
      <c r="AL35" s="411">
        <f>IS!AL5</f>
        <v>212580.53513071898</v>
      </c>
      <c r="AM35" s="411">
        <f>IS!AM5</f>
        <v>221445.96915849674</v>
      </c>
      <c r="AN35" s="411">
        <f>IS!AN5</f>
        <v>227836.26429738564</v>
      </c>
      <c r="AO35" s="38">
        <f>SUM(AK35:AN35)</f>
        <v>831683.52022058819</v>
      </c>
      <c r="AP35" s="411">
        <f>IS!AP5</f>
        <v>151518.37622549021</v>
      </c>
      <c r="AQ35" s="411">
        <f>IS!AQ5</f>
        <v>236895.7056781046</v>
      </c>
      <c r="AR35" s="411">
        <f>IS!AR5</f>
        <v>268901.91278594773</v>
      </c>
      <c r="AS35" s="411">
        <f>IS!AS5</f>
        <v>282485.36968954251</v>
      </c>
      <c r="AT35" s="38">
        <f>SUM(AP35:AS35)</f>
        <v>939801.36437908513</v>
      </c>
      <c r="AU35" s="411">
        <f>IS!AU5</f>
        <v>191656</v>
      </c>
      <c r="AV35" s="411">
        <f>IS!AV5</f>
        <v>245086</v>
      </c>
      <c r="AW35" s="411">
        <f>IS!AW5</f>
        <v>266934</v>
      </c>
      <c r="AX35" s="411">
        <f>IS!AX5</f>
        <v>327006</v>
      </c>
      <c r="AY35" s="38">
        <f>SUM(AU35:AX35)</f>
        <v>1030682</v>
      </c>
      <c r="AZ35" s="411">
        <f>IS!AZ5</f>
        <v>232257</v>
      </c>
      <c r="BA35" s="411">
        <f>IS!BA5</f>
        <v>251775</v>
      </c>
      <c r="BB35" s="411">
        <f>IS!BB5</f>
        <v>333406</v>
      </c>
      <c r="BC35" s="411">
        <f>IS!BC5</f>
        <v>345365</v>
      </c>
      <c r="BD35" s="38">
        <f>SUM(AZ35:BC35)</f>
        <v>1162803</v>
      </c>
      <c r="BE35" s="411">
        <f>IS!BE5</f>
        <v>345862</v>
      </c>
      <c r="BF35" s="411">
        <f>IS!BF5</f>
        <v>460710</v>
      </c>
      <c r="BG35" s="411">
        <f>IS!BG5</f>
        <v>465624</v>
      </c>
      <c r="BH35" s="411">
        <f>IS!BH5</f>
        <v>501724</v>
      </c>
      <c r="BI35" s="38">
        <f>SUM(BE35:BH35)</f>
        <v>1773920</v>
      </c>
      <c r="BJ35" s="411">
        <f>IS!BJ5</f>
        <v>457105</v>
      </c>
      <c r="BK35" s="411">
        <f>IS!BK5</f>
        <v>614651</v>
      </c>
      <c r="BL35" s="411">
        <f>IS!BL5</f>
        <v>639061</v>
      </c>
      <c r="BM35" s="411">
        <f>IS!BM5</f>
        <v>592245</v>
      </c>
      <c r="BN35" s="38">
        <f>SUM(BJ35:BM35)</f>
        <v>2303062</v>
      </c>
      <c r="BO35" s="411">
        <f>IS!BO5</f>
        <v>605847</v>
      </c>
      <c r="BP35" s="411">
        <f>IS!BP5</f>
        <v>742179</v>
      </c>
      <c r="BQ35" s="411">
        <f>IS!BQ5</f>
        <v>766518</v>
      </c>
      <c r="BR35" s="411">
        <f>IS!BR5</f>
        <v>828108</v>
      </c>
      <c r="BS35" s="38">
        <f>SUM(BO35:BR35)</f>
        <v>2942652</v>
      </c>
      <c r="BT35" s="411">
        <f>IS!BT5</f>
        <v>853164</v>
      </c>
      <c r="BU35" s="411">
        <f>IS!BU5</f>
        <v>1016939</v>
      </c>
      <c r="BV35" s="411">
        <f>IS!BV5</f>
        <v>1078346</v>
      </c>
      <c r="BW35" s="411">
        <f>IS!BW5</f>
        <v>1056460</v>
      </c>
      <c r="BX35" s="38">
        <f>SUM(BT35:BW35)</f>
        <v>4004909</v>
      </c>
      <c r="BY35" s="411">
        <f>IS!BY5</f>
        <v>1237993</v>
      </c>
      <c r="BZ35" s="411">
        <f>IS!BZ5</f>
        <v>1375106</v>
      </c>
      <c r="CA35" s="411">
        <f>IS!CA5</f>
        <v>1447097</v>
      </c>
      <c r="CB35" s="411">
        <f>IS!CB5</f>
        <v>1452104</v>
      </c>
      <c r="CC35" s="38">
        <f>SUM(BY35:CB35)</f>
        <v>5512300</v>
      </c>
      <c r="CD35" s="411">
        <f>IS!CD5</f>
        <v>1643035</v>
      </c>
      <c r="CE35" s="411">
        <f>IS!CE5</f>
        <v>1725199</v>
      </c>
      <c r="CF35" s="46">
        <f>CF37+CF39</f>
        <v>1787775.9778216844</v>
      </c>
      <c r="CG35" s="46">
        <f>CG37+CG39</f>
        <v>1817162.4224558722</v>
      </c>
      <c r="CH35" s="38">
        <f>SUM(CD35:CG35)</f>
        <v>6973172.4002775569</v>
      </c>
      <c r="CI35" s="46">
        <f>CI37+CI39</f>
        <v>1921905.0154106789</v>
      </c>
      <c r="CJ35" s="46">
        <f>CJ37+CJ39</f>
        <v>2187037.0698041264</v>
      </c>
      <c r="CK35" s="46">
        <f>CK37+CK39</f>
        <v>2212018.0912685022</v>
      </c>
      <c r="CL35" s="46">
        <f>CL37+CL39</f>
        <v>2101354.0863044672</v>
      </c>
      <c r="CM35" s="38">
        <f>SUM(CI35:CL35)</f>
        <v>8422314.2627877742</v>
      </c>
      <c r="CN35" s="46">
        <f>CN37+CN39</f>
        <v>2208448.2543692319</v>
      </c>
      <c r="CO35" s="46">
        <f>CO37+CO39</f>
        <v>2382847.1429793863</v>
      </c>
      <c r="CP35" s="46">
        <f>CP37+CP39</f>
        <v>2406047.0740405084</v>
      </c>
      <c r="CQ35" s="46">
        <f>CQ37+CQ39</f>
        <v>2349554.4789555026</v>
      </c>
      <c r="CR35" s="38">
        <f>SUM(CN35:CQ35)</f>
        <v>9346896.9503446296</v>
      </c>
      <c r="CS35" s="46">
        <f>CS37+CS39</f>
        <v>2431151.2767189611</v>
      </c>
      <c r="CT35" s="46">
        <f>CT37+CT39</f>
        <v>2589433.8384451587</v>
      </c>
      <c r="CU35" s="46">
        <f>CU37+CU39</f>
        <v>2596041.4028806807</v>
      </c>
      <c r="CV35" s="46">
        <f>CV37+CV39</f>
        <v>2523614.8087745435</v>
      </c>
      <c r="CW35" s="38">
        <f>SUM(CS35:CV35)</f>
        <v>10140241.326819343</v>
      </c>
      <c r="CX35" s="46">
        <f>CX37+CX39</f>
        <v>2597430.5795906964</v>
      </c>
      <c r="CY35" s="46">
        <f>CY37+CY39</f>
        <v>2752926.8390094955</v>
      </c>
      <c r="CZ35" s="46">
        <f>CZ37+CZ39</f>
        <v>2752230.9196548345</v>
      </c>
      <c r="DA35" s="46">
        <f>DA37+DA39</f>
        <v>2670515.2122597666</v>
      </c>
      <c r="DB35" s="38">
        <f>SUM(CX35:DA35)</f>
        <v>10773103.550514795</v>
      </c>
    </row>
    <row r="36" spans="1:106" s="123" customFormat="1" ht="11.25" customHeight="1" x14ac:dyDescent="0.35">
      <c r="A36" s="477" t="s">
        <v>272</v>
      </c>
      <c r="B36" s="143" t="e">
        <f t="shared" ref="B36:AE36" si="348">B35/B34</f>
        <v>#VALUE!</v>
      </c>
      <c r="C36" s="143" t="e">
        <f t="shared" si="348"/>
        <v>#DIV/0!</v>
      </c>
      <c r="D36" s="143" t="e">
        <f t="shared" si="348"/>
        <v>#DIV/0!</v>
      </c>
      <c r="E36" s="143" t="e">
        <f t="shared" si="348"/>
        <v>#DIV/0!</v>
      </c>
      <c r="F36" s="100" t="e">
        <f t="shared" si="348"/>
        <v>#VALUE!</v>
      </c>
      <c r="G36" s="143" t="e">
        <f t="shared" si="348"/>
        <v>#DIV/0!</v>
      </c>
      <c r="H36" s="143" t="e">
        <f t="shared" si="348"/>
        <v>#DIV/0!</v>
      </c>
      <c r="I36" s="143" t="e">
        <f t="shared" si="348"/>
        <v>#DIV/0!</v>
      </c>
      <c r="J36" s="143" t="e">
        <f t="shared" si="348"/>
        <v>#DIV/0!</v>
      </c>
      <c r="K36" s="100" t="e">
        <f t="shared" si="348"/>
        <v>#DIV/0!</v>
      </c>
      <c r="L36" s="143" t="e">
        <f t="shared" si="348"/>
        <v>#DIV/0!</v>
      </c>
      <c r="M36" s="143" t="e">
        <f t="shared" si="348"/>
        <v>#DIV/0!</v>
      </c>
      <c r="N36" s="143" t="e">
        <f t="shared" si="348"/>
        <v>#DIV/0!</v>
      </c>
      <c r="O36" s="143" t="e">
        <f t="shared" si="348"/>
        <v>#DIV/0!</v>
      </c>
      <c r="P36" s="100" t="e">
        <f t="shared" si="348"/>
        <v>#DIV/0!</v>
      </c>
      <c r="Q36" s="143" t="e">
        <f t="shared" si="348"/>
        <v>#DIV/0!</v>
      </c>
      <c r="R36" s="143" t="e">
        <f t="shared" si="348"/>
        <v>#DIV/0!</v>
      </c>
      <c r="S36" s="143" t="e">
        <f t="shared" si="348"/>
        <v>#DIV/0!</v>
      </c>
      <c r="T36" s="143" t="e">
        <f t="shared" si="348"/>
        <v>#DIV/0!</v>
      </c>
      <c r="U36" s="100" t="e">
        <f t="shared" si="348"/>
        <v>#DIV/0!</v>
      </c>
      <c r="V36" s="143" t="e">
        <f t="shared" si="348"/>
        <v>#DIV/0!</v>
      </c>
      <c r="W36" s="143" t="e">
        <f t="shared" si="348"/>
        <v>#DIV/0!</v>
      </c>
      <c r="X36" s="143" t="e">
        <f t="shared" si="348"/>
        <v>#DIV/0!</v>
      </c>
      <c r="Y36" s="143" t="e">
        <f t="shared" si="348"/>
        <v>#DIV/0!</v>
      </c>
      <c r="Z36" s="100" t="e">
        <f t="shared" si="348"/>
        <v>#DIV/0!</v>
      </c>
      <c r="AA36" s="143" t="e">
        <f t="shared" si="348"/>
        <v>#DIV/0!</v>
      </c>
      <c r="AB36" s="143" t="e">
        <f t="shared" si="348"/>
        <v>#DIV/0!</v>
      </c>
      <c r="AC36" s="143" t="e">
        <f t="shared" si="348"/>
        <v>#DIV/0!</v>
      </c>
      <c r="AD36" s="143" t="e">
        <f t="shared" si="348"/>
        <v>#DIV/0!</v>
      </c>
      <c r="AE36" s="100" t="e">
        <f t="shared" si="348"/>
        <v>#DIV/0!</v>
      </c>
      <c r="AF36" s="143" t="e">
        <f t="shared" ref="AF36:AT36" si="349">AF35/AF34</f>
        <v>#DIV/0!</v>
      </c>
      <c r="AG36" s="143" t="e">
        <f t="shared" si="349"/>
        <v>#DIV/0!</v>
      </c>
      <c r="AH36" s="143" t="e">
        <f t="shared" si="349"/>
        <v>#DIV/0!</v>
      </c>
      <c r="AI36" s="143" t="e">
        <f t="shared" si="349"/>
        <v>#DIV/0!</v>
      </c>
      <c r="AJ36" s="100" t="e">
        <f t="shared" si="349"/>
        <v>#DIV/0!</v>
      </c>
      <c r="AK36" s="143">
        <f>AK35/AK34</f>
        <v>1.5915028104284554</v>
      </c>
      <c r="AL36" s="143">
        <f>AL35/AL34</f>
        <v>1.7549850405859462</v>
      </c>
      <c r="AM36" s="143">
        <f>AM35/AM34</f>
        <v>1.1109822910798204</v>
      </c>
      <c r="AN36" s="143">
        <f>AN35/AN34</f>
        <v>0.72549128267779661</v>
      </c>
      <c r="AO36" s="100">
        <f t="shared" si="349"/>
        <v>1.1220728483729674</v>
      </c>
      <c r="AP36" s="143">
        <f t="shared" si="349"/>
        <v>1.1218439211303031</v>
      </c>
      <c r="AQ36" s="143">
        <f t="shared" si="349"/>
        <v>1.1227610275753879</v>
      </c>
      <c r="AR36" s="143">
        <f t="shared" si="349"/>
        <v>1.2879897417713688</v>
      </c>
      <c r="AS36" s="143">
        <f t="shared" si="349"/>
        <v>0.85117142441524885</v>
      </c>
      <c r="AT36" s="100">
        <f t="shared" si="349"/>
        <v>1.0598738636264082</v>
      </c>
      <c r="AU36" s="143">
        <f>AU35/AU34</f>
        <v>1.0281126315791957</v>
      </c>
      <c r="AV36" s="143">
        <f>AV35/AV34</f>
        <v>1.1938456445784076</v>
      </c>
      <c r="AW36" s="143">
        <f>AW35/AW34</f>
        <v>1.0225425196225306</v>
      </c>
      <c r="AX36" s="143">
        <f>AX35/AX34</f>
        <v>0.99277834206152038</v>
      </c>
      <c r="AY36" s="100">
        <f t="shared" ref="AY36:DB36" si="350">AY35/AY34</f>
        <v>1.0494241229608758</v>
      </c>
      <c r="AZ36" s="143">
        <f t="shared" si="350"/>
        <v>0.25542485413251603</v>
      </c>
      <c r="BA36" s="143">
        <f t="shared" si="350"/>
        <v>0.26158408747236056</v>
      </c>
      <c r="BB36" s="143">
        <f t="shared" si="350"/>
        <v>0.31684194626369078</v>
      </c>
      <c r="BC36" s="143">
        <f t="shared" si="350"/>
        <v>0.32761609925018897</v>
      </c>
      <c r="BD36" s="100">
        <f t="shared" si="350"/>
        <v>0.57669294340971433</v>
      </c>
      <c r="BE36" s="143">
        <f t="shared" si="350"/>
        <v>0.25265257198283247</v>
      </c>
      <c r="BF36" s="143">
        <f t="shared" si="350"/>
        <v>0.31531118423574117</v>
      </c>
      <c r="BG36" s="143">
        <f>BG35/BG34</f>
        <v>0.28134355016320556</v>
      </c>
      <c r="BH36" s="143">
        <f>BH35/BH34</f>
        <v>0.28128949287683042</v>
      </c>
      <c r="BI36" s="100">
        <f t="shared" si="350"/>
        <v>0.53028216077785795</v>
      </c>
      <c r="BJ36" s="143">
        <f>BJ35/BJ34</f>
        <v>0.19759165415040453</v>
      </c>
      <c r="BK36" s="143">
        <f>BK35/BK34</f>
        <v>0.25011216906021766</v>
      </c>
      <c r="BL36" s="143">
        <f>BL35/BL34</f>
        <v>0.23562427274609524</v>
      </c>
      <c r="BM36" s="143">
        <f>BM35/BM34</f>
        <v>0.21018738335790291</v>
      </c>
      <c r="BN36" s="100">
        <f t="shared" si="350"/>
        <v>0.47488143383920556</v>
      </c>
      <c r="BO36" s="143">
        <f t="shared" si="350"/>
        <v>0.17146818772167846</v>
      </c>
      <c r="BP36" s="143">
        <f t="shared" si="350"/>
        <v>0.20342868684106502</v>
      </c>
      <c r="BQ36" s="143">
        <f t="shared" si="350"/>
        <v>0.19719650796712088</v>
      </c>
      <c r="BR36" s="143">
        <f t="shared" si="350"/>
        <v>0.19952161602063889</v>
      </c>
      <c r="BS36" s="100">
        <f t="shared" si="350"/>
        <v>0.44554871479922364</v>
      </c>
      <c r="BT36" s="143">
        <f>BT35/BT34</f>
        <v>0.16880790820935815</v>
      </c>
      <c r="BU36" s="143">
        <f>BU35/BU34</f>
        <v>0.19365998985933536</v>
      </c>
      <c r="BV36" s="143">
        <f>BV35/BV34</f>
        <v>0.19288703585653058</v>
      </c>
      <c r="BW36" s="143">
        <f>BW35/BW34</f>
        <v>0.16871835313154077</v>
      </c>
      <c r="BX36" s="100">
        <f t="shared" si="350"/>
        <v>0.41440704393924899</v>
      </c>
      <c r="BY36" s="143">
        <f>BY35/BY34</f>
        <v>0.16138874056830865</v>
      </c>
      <c r="BZ36" s="143">
        <f>BZ35/BZ34</f>
        <v>0.17569512007649046</v>
      </c>
      <c r="CA36" s="143">
        <f>CA35/CA34</f>
        <v>0.17524748566385159</v>
      </c>
      <c r="CB36" s="143">
        <f>CB35/CB34</f>
        <v>0.16425928665898368</v>
      </c>
      <c r="CC36" s="100">
        <f t="shared" si="350"/>
        <v>0.4139749783016668</v>
      </c>
      <c r="CD36" s="143">
        <f>CD35/CD34</f>
        <v>0.16256607507266094</v>
      </c>
      <c r="CE36" s="143">
        <f>CE35/CE34</f>
        <v>0.17518667922449488</v>
      </c>
      <c r="CF36" s="143">
        <f t="shared" si="350"/>
        <v>0.16694475199308467</v>
      </c>
      <c r="CG36" s="143">
        <f t="shared" si="350"/>
        <v>0.16612644351294911</v>
      </c>
      <c r="CH36" s="100">
        <f t="shared" si="350"/>
        <v>0.42270822863308072</v>
      </c>
      <c r="CI36" s="143">
        <f t="shared" si="350"/>
        <v>0.15692113932283153</v>
      </c>
      <c r="CJ36" s="143">
        <f t="shared" si="350"/>
        <v>0.17745557282898852</v>
      </c>
      <c r="CK36" s="143">
        <f t="shared" si="350"/>
        <v>0.17321861307380562</v>
      </c>
      <c r="CL36" s="143">
        <f t="shared" si="350"/>
        <v>0.15912475095471551</v>
      </c>
      <c r="CM36" s="100">
        <f t="shared" si="350"/>
        <v>0.42625077923719878</v>
      </c>
      <c r="CN36" s="143">
        <f t="shared" si="350"/>
        <v>0.15624260319229505</v>
      </c>
      <c r="CO36" s="143">
        <f t="shared" si="350"/>
        <v>0.16788723705394221</v>
      </c>
      <c r="CP36" s="143">
        <f t="shared" si="350"/>
        <v>0.16640607023621221</v>
      </c>
      <c r="CQ36" s="143">
        <f t="shared" si="350"/>
        <v>0.15867503790521875</v>
      </c>
      <c r="CR36" s="100">
        <f t="shared" si="350"/>
        <v>0.42619116821290925</v>
      </c>
      <c r="CS36" s="143">
        <f t="shared" si="350"/>
        <v>0.15607090776895233</v>
      </c>
      <c r="CT36" s="143">
        <f t="shared" si="350"/>
        <v>0.16591441642673244</v>
      </c>
      <c r="CU36" s="143">
        <f t="shared" si="350"/>
        <v>0.16417531560213094</v>
      </c>
      <c r="CV36" s="143">
        <f t="shared" si="350"/>
        <v>0.15671282338591802</v>
      </c>
      <c r="CW36" s="100">
        <f t="shared" si="350"/>
        <v>0.42622950911442453</v>
      </c>
      <c r="CX36" s="143">
        <f t="shared" si="350"/>
        <v>0.15483890033024819</v>
      </c>
      <c r="CY36" s="143">
        <f t="shared" si="350"/>
        <v>0.16385433244318792</v>
      </c>
      <c r="CZ36" s="143">
        <f t="shared" si="350"/>
        <v>0.16232598131638171</v>
      </c>
      <c r="DA36" s="143">
        <f t="shared" si="350"/>
        <v>0.15523831172903949</v>
      </c>
      <c r="DB36" s="100">
        <f t="shared" si="350"/>
        <v>0.4253036692144766</v>
      </c>
    </row>
    <row r="37" spans="1:106" ht="11.25" customHeight="1" x14ac:dyDescent="0.35">
      <c r="A37" s="11" t="s">
        <v>273</v>
      </c>
      <c r="B37" s="37" t="e">
        <f t="shared" ref="B37:E37" si="351">B35-B39</f>
        <v>#VALUE!</v>
      </c>
      <c r="C37" s="37">
        <f t="shared" si="351"/>
        <v>0</v>
      </c>
      <c r="D37" s="37">
        <f t="shared" si="351"/>
        <v>0</v>
      </c>
      <c r="E37" s="37">
        <f t="shared" si="351"/>
        <v>0</v>
      </c>
      <c r="F37" s="38" t="e">
        <f t="shared" ref="F37" si="352">SUM(B37:E37)</f>
        <v>#VALUE!</v>
      </c>
      <c r="G37" s="37">
        <f t="shared" ref="G37:J37" si="353">G35-G39</f>
        <v>0</v>
      </c>
      <c r="H37" s="37">
        <f t="shared" si="353"/>
        <v>0</v>
      </c>
      <c r="I37" s="37">
        <f t="shared" si="353"/>
        <v>0</v>
      </c>
      <c r="J37" s="37">
        <f t="shared" si="353"/>
        <v>0</v>
      </c>
      <c r="K37" s="38">
        <f t="shared" ref="K37" si="354">SUM(G37:J37)</f>
        <v>0</v>
      </c>
      <c r="L37" s="37">
        <f t="shared" ref="L37:O37" si="355">L35-L39</f>
        <v>0</v>
      </c>
      <c r="M37" s="37">
        <f t="shared" si="355"/>
        <v>0</v>
      </c>
      <c r="N37" s="37">
        <f t="shared" si="355"/>
        <v>0</v>
      </c>
      <c r="O37" s="37">
        <f t="shared" si="355"/>
        <v>0</v>
      </c>
      <c r="P37" s="38">
        <f t="shared" ref="P37" si="356">SUM(L37:O37)</f>
        <v>0</v>
      </c>
      <c r="Q37" s="37">
        <f t="shared" ref="Q37:T37" si="357">Q35-Q39</f>
        <v>0</v>
      </c>
      <c r="R37" s="37">
        <f t="shared" si="357"/>
        <v>0</v>
      </c>
      <c r="S37" s="37">
        <f t="shared" si="357"/>
        <v>0</v>
      </c>
      <c r="T37" s="37">
        <f t="shared" si="357"/>
        <v>0</v>
      </c>
      <c r="U37" s="38">
        <f t="shared" ref="U37" si="358">SUM(Q37:T37)</f>
        <v>0</v>
      </c>
      <c r="V37" s="37">
        <f t="shared" ref="V37:Y37" si="359">V35-V39</f>
        <v>0</v>
      </c>
      <c r="W37" s="37">
        <f t="shared" si="359"/>
        <v>0</v>
      </c>
      <c r="X37" s="37">
        <f t="shared" si="359"/>
        <v>0</v>
      </c>
      <c r="Y37" s="37">
        <f t="shared" si="359"/>
        <v>0</v>
      </c>
      <c r="Z37" s="38">
        <f t="shared" ref="Z37" si="360">SUM(V37:Y37)</f>
        <v>0</v>
      </c>
      <c r="AA37" s="37">
        <f t="shared" ref="AA37:AD37" si="361">AA35-AA39</f>
        <v>0</v>
      </c>
      <c r="AB37" s="37">
        <f t="shared" si="361"/>
        <v>0</v>
      </c>
      <c r="AC37" s="37">
        <f t="shared" si="361"/>
        <v>0</v>
      </c>
      <c r="AD37" s="37">
        <f t="shared" si="361"/>
        <v>0</v>
      </c>
      <c r="AE37" s="38">
        <f t="shared" ref="AE37" si="362">SUM(AA37:AD37)</f>
        <v>0</v>
      </c>
      <c r="AF37" s="37">
        <f>AF35-AF39</f>
        <v>0</v>
      </c>
      <c r="AG37" s="37">
        <f>AG35-AG39</f>
        <v>0</v>
      </c>
      <c r="AH37" s="37">
        <f>AH35-AH39</f>
        <v>0</v>
      </c>
      <c r="AI37" s="37">
        <f>AI35-AI39</f>
        <v>0</v>
      </c>
      <c r="AJ37" s="38">
        <f>SUM(AF37:AI37)</f>
        <v>0</v>
      </c>
      <c r="AK37" s="37">
        <f>AK35-AK39</f>
        <v>169820.75163398695</v>
      </c>
      <c r="AL37" s="37">
        <f>AL35-AL39</f>
        <v>212580.53513071898</v>
      </c>
      <c r="AM37" s="37">
        <f>AM35-AM39</f>
        <v>221445.96915849674</v>
      </c>
      <c r="AN37" s="37">
        <f>AN35-AN39</f>
        <v>227836.26429738564</v>
      </c>
      <c r="AO37" s="38">
        <f>SUM(AK37:AN37)</f>
        <v>831683.52022058819</v>
      </c>
      <c r="AP37" s="37">
        <f>AP35-AP39</f>
        <v>151518.37622549021</v>
      </c>
      <c r="AQ37" s="37">
        <f>AQ35-AQ39</f>
        <v>236895.7056781046</v>
      </c>
      <c r="AR37" s="37">
        <f>AR35-AR39</f>
        <v>268901.91278594773</v>
      </c>
      <c r="AS37" s="37">
        <f>AS35-AS39</f>
        <v>282485.36968954251</v>
      </c>
      <c r="AT37" s="38">
        <f>SUM(AP37:AS37)</f>
        <v>939801.36437908513</v>
      </c>
      <c r="AU37" s="37">
        <f>AU35-AU39</f>
        <v>191656</v>
      </c>
      <c r="AV37" s="37">
        <f>AV35-AV39</f>
        <v>245086</v>
      </c>
      <c r="AW37" s="37">
        <f>AW35-AW39</f>
        <v>266934</v>
      </c>
      <c r="AX37" s="37">
        <f>AX35-AX39</f>
        <v>327006</v>
      </c>
      <c r="AY37" s="38">
        <f>SUM(AU37:AX37)</f>
        <v>1030682</v>
      </c>
      <c r="AZ37" s="37">
        <f>AZ35-AZ39</f>
        <v>131694.15000000002</v>
      </c>
      <c r="BA37" s="37">
        <f>BA35-BA39</f>
        <v>155485.04999999999</v>
      </c>
      <c r="BB37" s="37">
        <f>BB35-BB39</f>
        <v>235970.35</v>
      </c>
      <c r="BC37" s="37">
        <f>BC35-BC39</f>
        <v>236453.3</v>
      </c>
      <c r="BD37" s="38">
        <f>SUM(AZ37:BC37)</f>
        <v>759602.85000000009</v>
      </c>
      <c r="BE37" s="37">
        <f>BE35-BE39</f>
        <v>229079.5</v>
      </c>
      <c r="BF37" s="37">
        <f>BF35-BF39</f>
        <v>314815.34999999998</v>
      </c>
      <c r="BG37" s="37">
        <f>BG35-BG39</f>
        <v>289780.34999999998</v>
      </c>
      <c r="BH37" s="37">
        <f>BH35-BH39</f>
        <v>287660.05000000005</v>
      </c>
      <c r="BI37" s="38">
        <f>SUM(BE37:BH37)</f>
        <v>1121335.25</v>
      </c>
      <c r="BJ37" s="37">
        <f>BJ35-BJ39</f>
        <v>223102.6</v>
      </c>
      <c r="BK37" s="37">
        <f>BK35-BK39</f>
        <v>340695.35000000003</v>
      </c>
      <c r="BL37" s="37">
        <f>BL35-BL39</f>
        <v>329365.3</v>
      </c>
      <c r="BM37" s="37">
        <f>BM35-BM39</f>
        <v>243914.25</v>
      </c>
      <c r="BN37" s="38">
        <f>SUM(BJ37:BM37)</f>
        <v>1137077.5</v>
      </c>
      <c r="BO37" s="37">
        <f>BO35-BO39</f>
        <v>299047.125</v>
      </c>
      <c r="BP37" s="37">
        <f>BP35-BP39</f>
        <v>377874.875</v>
      </c>
      <c r="BQ37" s="37">
        <f>BQ35-BQ39</f>
        <v>360793.5</v>
      </c>
      <c r="BR37" s="37">
        <f>BR35-BR39</f>
        <v>398216.375</v>
      </c>
      <c r="BS37" s="38">
        <f>SUM(BO37:BR37)</f>
        <v>1435931.875</v>
      </c>
      <c r="BT37" s="37">
        <f>BT35-BT39</f>
        <v>502972.3</v>
      </c>
      <c r="BU37" s="37">
        <f>BU35-BU39</f>
        <v>601598.39999999991</v>
      </c>
      <c r="BV37" s="37">
        <f>BV35-BV39</f>
        <v>594553</v>
      </c>
      <c r="BW37" s="37">
        <f>BW35-BW39</f>
        <v>536095.69999999995</v>
      </c>
      <c r="BX37" s="38">
        <f>SUM(BT37:BW37)</f>
        <v>2235219.4</v>
      </c>
      <c r="BY37" s="37">
        <f>BY35-BY39</f>
        <v>681463.29999999993</v>
      </c>
      <c r="BZ37" s="37">
        <f>BZ35-BZ39</f>
        <v>732061.2</v>
      </c>
      <c r="CA37" s="37">
        <f>CA35-CA39</f>
        <v>718695.39999999991</v>
      </c>
      <c r="CB37" s="37">
        <f>CB35-CB39</f>
        <v>681991.29999999993</v>
      </c>
      <c r="CC37" s="38">
        <f>SUM(BY37:CB37)</f>
        <v>2814211.1999999997</v>
      </c>
      <c r="CD37" s="37">
        <f>CD35-CD39</f>
        <v>862807.5</v>
      </c>
      <c r="CE37" s="37">
        <f>CE35-CE39</f>
        <v>878009</v>
      </c>
      <c r="CF37" s="46">
        <f>CF33*CF38</f>
        <v>904648.67782168428</v>
      </c>
      <c r="CG37" s="46">
        <f>CG33*CG38</f>
        <v>889123.90764994593</v>
      </c>
      <c r="CH37" s="38">
        <f>SUM(CD37:CG37)</f>
        <v>3534589.0854716301</v>
      </c>
      <c r="CI37" s="46">
        <f>CI33*CI38</f>
        <v>917015.17649439734</v>
      </c>
      <c r="CJ37" s="46">
        <f>CJ33*CJ38</f>
        <v>1102840.6558600802</v>
      </c>
      <c r="CK37" s="46">
        <f>CK33*CK38</f>
        <v>1068286.2737079023</v>
      </c>
      <c r="CL37" s="46">
        <f>CL33*CL38</f>
        <v>933220.63967227144</v>
      </c>
      <c r="CM37" s="38">
        <f>SUM(CI37:CL37)</f>
        <v>4021362.7457346511</v>
      </c>
      <c r="CN37" s="46">
        <f>CN33*CN38</f>
        <v>961406.34178064903</v>
      </c>
      <c r="CO37" s="46">
        <f>CO33*CO38</f>
        <v>1070955.2753192512</v>
      </c>
      <c r="CP37" s="46">
        <f>CP33*CP38</f>
        <v>1042064.8501448606</v>
      </c>
      <c r="CQ37" s="46">
        <f>CQ33*CQ38</f>
        <v>971651.3948074996</v>
      </c>
      <c r="CR37" s="38">
        <f>SUM(CN37:CQ37)</f>
        <v>4046077.8620522609</v>
      </c>
      <c r="CS37" s="46">
        <f>CS33*CS38</f>
        <v>1046874.5338101366</v>
      </c>
      <c r="CT37" s="46">
        <f>CT33*CT38</f>
        <v>1143365.9893475736</v>
      </c>
      <c r="CU37" s="46">
        <f>CU33*CU38</f>
        <v>1102313.0191139763</v>
      </c>
      <c r="CV37" s="46">
        <f>CV33*CV38</f>
        <v>1022130.947427305</v>
      </c>
      <c r="CW37" s="38">
        <f>SUM(CS37:CV37)</f>
        <v>4314684.4896989921</v>
      </c>
      <c r="CX37" s="46">
        <f>CX33*CX38</f>
        <v>1095894.8502923427</v>
      </c>
      <c r="CY37" s="46">
        <f>CY33*CY38</f>
        <v>1193388.5005760407</v>
      </c>
      <c r="CZ37" s="46">
        <f>CZ33*CZ38</f>
        <v>1148933.4155126458</v>
      </c>
      <c r="DA37" s="46">
        <f>DA33*DA38</f>
        <v>1064455.5770094371</v>
      </c>
      <c r="DB37" s="38">
        <f>SUM(CX37:DA37)</f>
        <v>4502672.3433904666</v>
      </c>
    </row>
    <row r="38" spans="1:106" ht="11.25" customHeight="1" x14ac:dyDescent="0.35">
      <c r="A38" s="149" t="s">
        <v>36</v>
      </c>
      <c r="B38" s="21" t="e">
        <f t="shared" ref="B38:E38" si="363">B37/(B9)</f>
        <v>#VALUE!</v>
      </c>
      <c r="C38" s="21" t="e">
        <f t="shared" si="363"/>
        <v>#DIV/0!</v>
      </c>
      <c r="D38" s="21" t="e">
        <f t="shared" si="363"/>
        <v>#DIV/0!</v>
      </c>
      <c r="E38" s="21" t="e">
        <f t="shared" si="363"/>
        <v>#DIV/0!</v>
      </c>
      <c r="F38" s="22" t="e">
        <f t="shared" ref="F38" si="364">F37/F33</f>
        <v>#VALUE!</v>
      </c>
      <c r="G38" s="21" t="e">
        <f t="shared" ref="G38:J38" si="365">G37/(G9)</f>
        <v>#DIV/0!</v>
      </c>
      <c r="H38" s="21" t="e">
        <f t="shared" si="365"/>
        <v>#DIV/0!</v>
      </c>
      <c r="I38" s="21" t="e">
        <f t="shared" si="365"/>
        <v>#DIV/0!</v>
      </c>
      <c r="J38" s="21" t="e">
        <f t="shared" si="365"/>
        <v>#DIV/0!</v>
      </c>
      <c r="K38" s="22" t="e">
        <f t="shared" ref="K38" si="366">K37/K33</f>
        <v>#DIV/0!</v>
      </c>
      <c r="L38" s="21" t="e">
        <f t="shared" ref="L38:O38" si="367">L37/(L9)</f>
        <v>#DIV/0!</v>
      </c>
      <c r="M38" s="21" t="e">
        <f t="shared" si="367"/>
        <v>#DIV/0!</v>
      </c>
      <c r="N38" s="21" t="e">
        <f t="shared" si="367"/>
        <v>#DIV/0!</v>
      </c>
      <c r="O38" s="21" t="e">
        <f t="shared" si="367"/>
        <v>#DIV/0!</v>
      </c>
      <c r="P38" s="22" t="e">
        <f t="shared" ref="P38" si="368">P37/P33</f>
        <v>#DIV/0!</v>
      </c>
      <c r="Q38" s="21" t="e">
        <f t="shared" ref="Q38:T38" si="369">Q37/(Q9)</f>
        <v>#DIV/0!</v>
      </c>
      <c r="R38" s="21" t="e">
        <f t="shared" si="369"/>
        <v>#DIV/0!</v>
      </c>
      <c r="S38" s="21" t="e">
        <f t="shared" si="369"/>
        <v>#DIV/0!</v>
      </c>
      <c r="T38" s="21" t="e">
        <f t="shared" si="369"/>
        <v>#DIV/0!</v>
      </c>
      <c r="U38" s="22" t="e">
        <f t="shared" ref="U38" si="370">U37/U33</f>
        <v>#DIV/0!</v>
      </c>
      <c r="V38" s="21" t="e">
        <f t="shared" ref="V38:Y38" si="371">V37/(V9)</f>
        <v>#DIV/0!</v>
      </c>
      <c r="W38" s="21" t="e">
        <f t="shared" si="371"/>
        <v>#DIV/0!</v>
      </c>
      <c r="X38" s="21" t="e">
        <f t="shared" si="371"/>
        <v>#DIV/0!</v>
      </c>
      <c r="Y38" s="21" t="e">
        <f t="shared" si="371"/>
        <v>#DIV/0!</v>
      </c>
      <c r="Z38" s="22" t="e">
        <f t="shared" ref="Z38" si="372">Z37/Z33</f>
        <v>#DIV/0!</v>
      </c>
      <c r="AA38" s="21" t="e">
        <f t="shared" ref="AA38:AD38" si="373">AA37/(AA9)</f>
        <v>#DIV/0!</v>
      </c>
      <c r="AB38" s="21" t="e">
        <f t="shared" si="373"/>
        <v>#DIV/0!</v>
      </c>
      <c r="AC38" s="21" t="e">
        <f t="shared" si="373"/>
        <v>#DIV/0!</v>
      </c>
      <c r="AD38" s="21" t="e">
        <f t="shared" si="373"/>
        <v>#DIV/0!</v>
      </c>
      <c r="AE38" s="22" t="e">
        <f t="shared" ref="AE38" si="374">AE37/AE33</f>
        <v>#DIV/0!</v>
      </c>
      <c r="AF38" s="21" t="e">
        <f>AF37/(AF9)</f>
        <v>#DIV/0!</v>
      </c>
      <c r="AG38" s="21" t="e">
        <f>AG37/(AG9)</f>
        <v>#DIV/0!</v>
      </c>
      <c r="AH38" s="21" t="e">
        <f>AH37/(AH9)</f>
        <v>#DIV/0!</v>
      </c>
      <c r="AI38" s="21" t="e">
        <f>AI37/(AI9)</f>
        <v>#DIV/0!</v>
      </c>
      <c r="AJ38" s="22" t="e">
        <f>AJ37/AJ33</f>
        <v>#DIV/0!</v>
      </c>
      <c r="AK38" s="21">
        <f>AK37/(AK9)</f>
        <v>1.5915028104284554</v>
      </c>
      <c r="AL38" s="21">
        <f>AL37/(AL9)</f>
        <v>1.7549850405859462</v>
      </c>
      <c r="AM38" s="21">
        <f>AM37/(AM9)</f>
        <v>1.1109822910798204</v>
      </c>
      <c r="AN38" s="21">
        <f>AN37/(AN9)</f>
        <v>0.72549128267779661</v>
      </c>
      <c r="AO38" s="22">
        <f>AO37/AO33</f>
        <v>1.1220728483729674</v>
      </c>
      <c r="AP38" s="21">
        <f>AP37/(AP9)</f>
        <v>1.1218439211303031</v>
      </c>
      <c r="AQ38" s="21">
        <f>AQ37/(AQ9)</f>
        <v>1.1227610275753879</v>
      </c>
      <c r="AR38" s="21">
        <f>AR37/(AR9)</f>
        <v>1.2879897417713688</v>
      </c>
      <c r="AS38" s="21">
        <f>AS37/(AS9)</f>
        <v>0.85117142441524885</v>
      </c>
      <c r="AT38" s="22">
        <f>AT37/AT33</f>
        <v>1.0598738636264082</v>
      </c>
      <c r="AU38" s="21">
        <f>AU37/(AU9)</f>
        <v>1.0281126315791957</v>
      </c>
      <c r="AV38" s="21">
        <f>AV37/(AV9)</f>
        <v>1.1938456445784076</v>
      </c>
      <c r="AW38" s="21">
        <f>AW37/(AW9)</f>
        <v>1.0225425196225306</v>
      </c>
      <c r="AX38" s="21">
        <f>AX37/(AX9)</f>
        <v>0.99277834206152038</v>
      </c>
      <c r="AY38" s="22">
        <f>AY37/AY33</f>
        <v>1.0494241229608758</v>
      </c>
      <c r="AZ38" s="21">
        <f>AZ37/(AZ9)</f>
        <v>0.55130345056247942</v>
      </c>
      <c r="BA38" s="21">
        <f>BA37/(BA9)</f>
        <v>0.53233317921903878</v>
      </c>
      <c r="BB38" s="21">
        <f>BB37/(BB9)</f>
        <v>0.57505271005388969</v>
      </c>
      <c r="BC38" s="21">
        <f>BC37/(BC9)</f>
        <v>0.58440541221077291</v>
      </c>
      <c r="BD38" s="22">
        <f>BD37/BD33</f>
        <v>0.56437842216243927</v>
      </c>
      <c r="BE38" s="21">
        <f>BE37/(BE9)</f>
        <v>0.38802481179808185</v>
      </c>
      <c r="BF38" s="21">
        <f>BF37/(BF9)</f>
        <v>0.46121520177913727</v>
      </c>
      <c r="BG38" s="21">
        <f>BG37/(BG9)</f>
        <v>0.4246671658284108</v>
      </c>
      <c r="BH38" s="21">
        <f>BH37/(BH9)</f>
        <v>0.47052012187473363</v>
      </c>
      <c r="BI38" s="22">
        <f>BI37/BI33</f>
        <v>0.43688024364439526</v>
      </c>
      <c r="BJ38" s="21">
        <f>BJ37/(BJ9)</f>
        <v>0.2961410046677409</v>
      </c>
      <c r="BK38" s="21">
        <f>BK37/(BK9)</f>
        <v>0.37961103159299975</v>
      </c>
      <c r="BL38" s="21">
        <f>BL37/(BL9)</f>
        <v>0.37181438258828836</v>
      </c>
      <c r="BM38" s="21">
        <f>BM37/(BM9)</f>
        <v>0.32389661770881484</v>
      </c>
      <c r="BN38" s="22">
        <f>BN37/BN33</f>
        <v>0.34564293132442298</v>
      </c>
      <c r="BO38" s="21">
        <f>BO37/(BO9)</f>
        <v>0.27717985879494128</v>
      </c>
      <c r="BP38" s="21">
        <f>BP37/(BP9)</f>
        <v>0.31649117277329314</v>
      </c>
      <c r="BQ38" s="21">
        <f>BQ37/(BQ9)</f>
        <v>0.37094098142596638</v>
      </c>
      <c r="BR38" s="21">
        <f>BR37/(BR9)</f>
        <v>0.44017782934988742</v>
      </c>
      <c r="BS38" s="22">
        <f>BS37/BS33</f>
        <v>0.34599448605892252</v>
      </c>
      <c r="BT38" s="21">
        <f>BT37/(BT9)</f>
        <v>0.32405183604099469</v>
      </c>
      <c r="BU38" s="21">
        <f>BU37/(BU9)</f>
        <v>0.34391988531678691</v>
      </c>
      <c r="BV38" s="21">
        <f>BV37/(BV9)</f>
        <v>0.41370247975020108</v>
      </c>
      <c r="BW38" s="21">
        <f>BW37/(BW9)</f>
        <v>0.37653833403102233</v>
      </c>
      <c r="BX38" s="22">
        <f>BX37/BX33</f>
        <v>0.36272636469533265</v>
      </c>
      <c r="BY38" s="21">
        <f>BY37/(BY9)</f>
        <v>0.32364652833317259</v>
      </c>
      <c r="BZ38" s="21">
        <f>BZ37/(BZ9)</f>
        <v>0.32372562120986148</v>
      </c>
      <c r="CA38" s="21">
        <f>CA37/(CA9)</f>
        <v>0.3933746031746031</v>
      </c>
      <c r="CB38" s="21">
        <f>CB37/(CB9)</f>
        <v>0.43821326222450679</v>
      </c>
      <c r="CC38" s="22">
        <f>CC37/CC33</f>
        <v>0.36311268376624917</v>
      </c>
      <c r="CD38" s="21">
        <f>CD37/(CD9)</f>
        <v>0.37438492580057275</v>
      </c>
      <c r="CE38" s="21">
        <f>CE37/(CE9)</f>
        <v>0.42923930579320457</v>
      </c>
      <c r="CF38" s="417">
        <f>(CF15*25%+CF17*63%-CF19*100%)/CF14</f>
        <v>0.4044228530496623</v>
      </c>
      <c r="CG38" s="417">
        <f>(CG15*25%+CG17*63%-CG19*100%)/CG14</f>
        <v>0.42195433816223282</v>
      </c>
      <c r="CH38" s="22">
        <f>CH37/CH33</f>
        <v>0.40654821828354681</v>
      </c>
      <c r="CI38" s="417">
        <f t="shared" ref="CI38:DA38" si="375">(CI15*25%+CI17*60%-CI19*100%)/CI14</f>
        <v>0.34252697363972029</v>
      </c>
      <c r="CJ38" s="417">
        <f>(CJ15*25%+CJ17*60%-CJ19*100%)/CJ14+2.5%</f>
        <v>0.40044454326928719</v>
      </c>
      <c r="CK38" s="417">
        <f t="shared" ref="CK38" si="376">(CK15*25%+CK17*60%-CK19*100%)/CK14+2.5%</f>
        <v>0.4370315460370614</v>
      </c>
      <c r="CL38" s="417">
        <f t="shared" si="375"/>
        <v>0.40346444246949437</v>
      </c>
      <c r="CM38" s="22">
        <f t="shared" ref="CM38" si="377">CM37/CM33</f>
        <v>0.39468929648682377</v>
      </c>
      <c r="CN38" s="417">
        <f t="shared" ref="CN38" si="378">(CN15*25%+CN17*60%-CN19*100%)/CN14</f>
        <v>0.34360566253596581</v>
      </c>
      <c r="CO38" s="417">
        <f t="shared" si="375"/>
        <v>0.37493237520186279</v>
      </c>
      <c r="CP38" s="417">
        <f t="shared" si="375"/>
        <v>0.41146043848996688</v>
      </c>
      <c r="CQ38" s="417">
        <f t="shared" si="375"/>
        <v>0.40359404928981291</v>
      </c>
      <c r="CR38" s="22">
        <f t="shared" ref="CR38" si="379">CR37/CR33</f>
        <v>0.38190410946126091</v>
      </c>
      <c r="CS38" s="417">
        <f t="shared" ref="CS38" si="380">(CS15*25%+CS17*60%-CS19*100%)/CS14</f>
        <v>0.34978733649279803</v>
      </c>
      <c r="CT38" s="417">
        <f t="shared" si="375"/>
        <v>0.37825840051481086</v>
      </c>
      <c r="CU38" s="417">
        <f t="shared" si="375"/>
        <v>0.41338612749417347</v>
      </c>
      <c r="CV38" s="417">
        <f t="shared" si="375"/>
        <v>0.40495086598659269</v>
      </c>
      <c r="CW38" s="22">
        <f t="shared" ref="CW38" si="381">CW37/CW33</f>
        <v>0.38502544356634216</v>
      </c>
      <c r="CX38" s="417">
        <f t="shared" ref="CX38" si="382">(CX15*25%+CX17*60%-CX19*100%)/CX14</f>
        <v>0.35071698778094978</v>
      </c>
      <c r="CY38" s="417">
        <f t="shared" si="375"/>
        <v>0.37876482083322377</v>
      </c>
      <c r="CZ38" s="417">
        <f t="shared" si="375"/>
        <v>0.41368104664151395</v>
      </c>
      <c r="DA38" s="417">
        <f t="shared" si="375"/>
        <v>0.40515968256615703</v>
      </c>
      <c r="DB38" s="22">
        <f t="shared" ref="DB38" si="383">DB37/DB33</f>
        <v>0.38550094809942359</v>
      </c>
    </row>
    <row r="39" spans="1:106" ht="11.25" customHeight="1" x14ac:dyDescent="0.35">
      <c r="A39" s="11" t="s">
        <v>37</v>
      </c>
      <c r="B39" s="46" t="e">
        <f t="shared" ref="B39:C39" si="384">B40*A32</f>
        <v>#VALUE!</v>
      </c>
      <c r="C39" s="46">
        <f t="shared" si="384"/>
        <v>0</v>
      </c>
      <c r="D39" s="46">
        <f t="shared" ref="D39" si="385">D40*C32</f>
        <v>0</v>
      </c>
      <c r="E39" s="46">
        <f t="shared" ref="E39" si="386">E40*D32</f>
        <v>0</v>
      </c>
      <c r="F39" s="38" t="e">
        <f t="shared" ref="F39" si="387">SUM(B39:E39)</f>
        <v>#VALUE!</v>
      </c>
      <c r="G39" s="46">
        <f t="shared" ref="G39:H39" si="388">G40*F32</f>
        <v>0</v>
      </c>
      <c r="H39" s="46">
        <f t="shared" si="388"/>
        <v>0</v>
      </c>
      <c r="I39" s="46">
        <f t="shared" ref="I39" si="389">I40*H32</f>
        <v>0</v>
      </c>
      <c r="J39" s="46">
        <f t="shared" ref="J39" si="390">J40*I32</f>
        <v>0</v>
      </c>
      <c r="K39" s="38">
        <f t="shared" ref="K39" si="391">SUM(G39:J39)</f>
        <v>0</v>
      </c>
      <c r="L39" s="46">
        <f t="shared" ref="L39:M39" si="392">L40*K32</f>
        <v>0</v>
      </c>
      <c r="M39" s="46">
        <f t="shared" si="392"/>
        <v>0</v>
      </c>
      <c r="N39" s="46">
        <f t="shared" ref="N39" si="393">N40*M32</f>
        <v>0</v>
      </c>
      <c r="O39" s="46">
        <f t="shared" ref="O39" si="394">O40*N32</f>
        <v>0</v>
      </c>
      <c r="P39" s="38">
        <f t="shared" ref="P39" si="395">SUM(L39:O39)</f>
        <v>0</v>
      </c>
      <c r="Q39" s="46">
        <f t="shared" ref="Q39:R39" si="396">Q40*P32</f>
        <v>0</v>
      </c>
      <c r="R39" s="46">
        <f t="shared" si="396"/>
        <v>0</v>
      </c>
      <c r="S39" s="46">
        <f t="shared" ref="S39" si="397">S40*R32</f>
        <v>0</v>
      </c>
      <c r="T39" s="46">
        <f t="shared" ref="T39" si="398">T40*S32</f>
        <v>0</v>
      </c>
      <c r="U39" s="38">
        <f t="shared" ref="U39" si="399">SUM(Q39:T39)</f>
        <v>0</v>
      </c>
      <c r="V39" s="46">
        <f t="shared" ref="V39:W39" si="400">V40*U32</f>
        <v>0</v>
      </c>
      <c r="W39" s="46">
        <f t="shared" si="400"/>
        <v>0</v>
      </c>
      <c r="X39" s="46">
        <f t="shared" ref="X39" si="401">X40*W32</f>
        <v>0</v>
      </c>
      <c r="Y39" s="46">
        <f t="shared" ref="Y39" si="402">Y40*X32</f>
        <v>0</v>
      </c>
      <c r="Z39" s="38">
        <f t="shared" ref="Z39" si="403">SUM(V39:Y39)</f>
        <v>0</v>
      </c>
      <c r="AA39" s="46">
        <f t="shared" ref="AA39:AB39" si="404">AA40*Z32</f>
        <v>0</v>
      </c>
      <c r="AB39" s="46">
        <f t="shared" si="404"/>
        <v>0</v>
      </c>
      <c r="AC39" s="46">
        <f t="shared" ref="AC39" si="405">AC40*AB32</f>
        <v>0</v>
      </c>
      <c r="AD39" s="46">
        <f t="shared" ref="AD39" si="406">AD40*AC32</f>
        <v>0</v>
      </c>
      <c r="AE39" s="38">
        <f t="shared" ref="AE39" si="407">SUM(AA39:AD39)</f>
        <v>0</v>
      </c>
      <c r="AF39" s="46">
        <f t="shared" ref="AF39:BE39" si="408">AF40*AE32</f>
        <v>0</v>
      </c>
      <c r="AG39" s="46">
        <f>AG40*AF32</f>
        <v>0</v>
      </c>
      <c r="AH39" s="46">
        <f t="shared" si="408"/>
        <v>0</v>
      </c>
      <c r="AI39" s="46">
        <f t="shared" si="408"/>
        <v>0</v>
      </c>
      <c r="AJ39" s="38">
        <f>SUM(AF39:AI39)</f>
        <v>0</v>
      </c>
      <c r="AK39" s="46">
        <f t="shared" si="408"/>
        <v>0</v>
      </c>
      <c r="AL39" s="46">
        <f>AL40*AK32</f>
        <v>0</v>
      </c>
      <c r="AM39" s="46">
        <f t="shared" si="408"/>
        <v>0</v>
      </c>
      <c r="AN39" s="46">
        <f t="shared" si="408"/>
        <v>0</v>
      </c>
      <c r="AO39" s="38">
        <f>SUM(AK39:AN39)</f>
        <v>0</v>
      </c>
      <c r="AP39" s="46">
        <f t="shared" si="408"/>
        <v>0</v>
      </c>
      <c r="AQ39" s="46">
        <f>AQ40*AP32</f>
        <v>0</v>
      </c>
      <c r="AR39" s="46">
        <f t="shared" si="408"/>
        <v>0</v>
      </c>
      <c r="AS39" s="46">
        <f t="shared" si="408"/>
        <v>0</v>
      </c>
      <c r="AT39" s="38">
        <f>SUM(AP39:AS39)</f>
        <v>0</v>
      </c>
      <c r="AU39" s="46">
        <f t="shared" si="408"/>
        <v>0</v>
      </c>
      <c r="AV39" s="46">
        <f>AV40*AU32</f>
        <v>0</v>
      </c>
      <c r="AW39" s="46">
        <f t="shared" si="408"/>
        <v>0</v>
      </c>
      <c r="AX39" s="46">
        <f t="shared" si="408"/>
        <v>0</v>
      </c>
      <c r="AY39" s="38">
        <f>SUM(AU39:AX39)</f>
        <v>0</v>
      </c>
      <c r="AZ39" s="46">
        <f t="shared" si="408"/>
        <v>100562.84999999999</v>
      </c>
      <c r="BA39" s="46">
        <f>BA40*AZ32</f>
        <v>96289.95</v>
      </c>
      <c r="BB39" s="46">
        <f t="shared" si="408"/>
        <v>97435.65</v>
      </c>
      <c r="BC39" s="46">
        <f t="shared" si="408"/>
        <v>108911.7</v>
      </c>
      <c r="BD39" s="38">
        <f>SUM(AZ39:BC39)</f>
        <v>403200.14999999997</v>
      </c>
      <c r="BE39" s="46">
        <f t="shared" si="408"/>
        <v>116782.5</v>
      </c>
      <c r="BF39" s="46">
        <f>BF40*BE32</f>
        <v>145894.65</v>
      </c>
      <c r="BG39" s="46">
        <f>BG40*BF32</f>
        <v>175843.65</v>
      </c>
      <c r="BH39" s="46">
        <f>BH40*BG32</f>
        <v>214063.94999999998</v>
      </c>
      <c r="BI39" s="38">
        <f>SUM(BE39:BH39)</f>
        <v>652584.75</v>
      </c>
      <c r="BJ39" s="46">
        <f>BJ40*BI32</f>
        <v>234002.4</v>
      </c>
      <c r="BK39" s="46">
        <f>BK40*BJ32</f>
        <v>273955.64999999997</v>
      </c>
      <c r="BL39" s="46">
        <f>BL40*BK32</f>
        <v>309695.7</v>
      </c>
      <c r="BM39" s="46">
        <f>BM40*BL32</f>
        <v>348330.75</v>
      </c>
      <c r="BN39" s="38">
        <f>SUM(BJ39:BM39)</f>
        <v>1165984.5</v>
      </c>
      <c r="BO39" s="46">
        <f>BO40*BN32</f>
        <v>306799.875</v>
      </c>
      <c r="BP39" s="46">
        <f>BP40*BO32</f>
        <v>364304.125</v>
      </c>
      <c r="BQ39" s="46">
        <f>BQ40*BP32</f>
        <v>405724.5</v>
      </c>
      <c r="BR39" s="46">
        <f>BR40*BQ32</f>
        <v>429891.625</v>
      </c>
      <c r="BS39" s="38">
        <f>SUM(BO39:BR39)</f>
        <v>1506720.125</v>
      </c>
      <c r="BT39" s="46">
        <f>BT40*BS32</f>
        <v>350191.7</v>
      </c>
      <c r="BU39" s="46">
        <f>BU40*BT32</f>
        <v>415340.60000000003</v>
      </c>
      <c r="BV39" s="46">
        <f>BV40*BU32</f>
        <v>483793</v>
      </c>
      <c r="BW39" s="46">
        <f>BW40*BV32</f>
        <v>520364.30000000005</v>
      </c>
      <c r="BX39" s="38">
        <f>SUM(BT39:BW39)</f>
        <v>1769689.6</v>
      </c>
      <c r="BY39" s="46">
        <f>BY40*BX32</f>
        <v>556529.70000000007</v>
      </c>
      <c r="BZ39" s="46">
        <f>BZ40*BY32</f>
        <v>643044.80000000005</v>
      </c>
      <c r="CA39" s="46">
        <f>CA40*BZ32</f>
        <v>728401.60000000009</v>
      </c>
      <c r="CB39" s="46">
        <f>CB40*CA32</f>
        <v>770112.70000000007</v>
      </c>
      <c r="CC39" s="38">
        <f>SUM(BY39:CB39)</f>
        <v>2698088.8000000003</v>
      </c>
      <c r="CD39" s="46">
        <f>CD40*CC32</f>
        <v>780227.5</v>
      </c>
      <c r="CE39" s="46">
        <f>CE40*CD32</f>
        <v>847190</v>
      </c>
      <c r="CF39" s="46">
        <f>CF40*CE32</f>
        <v>883127.3</v>
      </c>
      <c r="CG39" s="46">
        <f>CG40*CF32</f>
        <v>928038.51480592624</v>
      </c>
      <c r="CH39" s="38">
        <f>SUM(CD39:CG39)</f>
        <v>3438583.3148059258</v>
      </c>
      <c r="CI39" s="46">
        <f>CI40*CH32</f>
        <v>1004889.8389162815</v>
      </c>
      <c r="CJ39" s="46">
        <f>CJ40*CI32</f>
        <v>1084196.413944046</v>
      </c>
      <c r="CK39" s="46">
        <f>CK40*CJ32</f>
        <v>1143731.8175605999</v>
      </c>
      <c r="CL39" s="46">
        <f>CL40*CK32</f>
        <v>1168133.4466321955</v>
      </c>
      <c r="CM39" s="38">
        <f>SUM(CI39:CL39)</f>
        <v>4400951.5170531226</v>
      </c>
      <c r="CN39" s="46">
        <f>CN40*CM32</f>
        <v>1247041.9125885831</v>
      </c>
      <c r="CO39" s="46">
        <f>CO40*CN32</f>
        <v>1311891.8676601353</v>
      </c>
      <c r="CP39" s="46">
        <f>CP40*CO32</f>
        <v>1363982.2238956478</v>
      </c>
      <c r="CQ39" s="46">
        <f>CQ40*CP32</f>
        <v>1377903.084148003</v>
      </c>
      <c r="CR39" s="38">
        <f>SUM(CN39:CQ39)</f>
        <v>5300819.0882923687</v>
      </c>
      <c r="CS39" s="46">
        <f>CS40*CR32</f>
        <v>1384276.7429088245</v>
      </c>
      <c r="CT39" s="46">
        <f>CT40*CS32</f>
        <v>1446067.8490975848</v>
      </c>
      <c r="CU39" s="46">
        <f>CU40*CT32</f>
        <v>1493728.3837667045</v>
      </c>
      <c r="CV39" s="46">
        <f>CV40*CU32</f>
        <v>1501483.8613472385</v>
      </c>
      <c r="CW39" s="38">
        <f>SUM(CS39:CV39)</f>
        <v>5825556.8371203523</v>
      </c>
      <c r="CX39" s="46">
        <f>CX40*CW32</f>
        <v>1501535.7292983537</v>
      </c>
      <c r="CY39" s="46">
        <f>CY40*CX32</f>
        <v>1559538.3384334545</v>
      </c>
      <c r="CZ39" s="46">
        <f>CZ40*CY32</f>
        <v>1603297.5041421887</v>
      </c>
      <c r="DA39" s="46">
        <f>DA40*CZ32</f>
        <v>1606059.6352503293</v>
      </c>
      <c r="DB39" s="38">
        <f>SUM(CX39:DA39)</f>
        <v>6270431.2071243254</v>
      </c>
    </row>
    <row r="40" spans="1:106" ht="11.25" customHeight="1" x14ac:dyDescent="0.35">
      <c r="A40" s="204" t="s">
        <v>36</v>
      </c>
      <c r="B40" s="419">
        <v>0.15</v>
      </c>
      <c r="C40" s="419">
        <v>0.15</v>
      </c>
      <c r="D40" s="419">
        <v>0.15</v>
      </c>
      <c r="E40" s="419">
        <v>0.15</v>
      </c>
      <c r="F40" s="100" t="e">
        <f t="shared" ref="F40" si="409">F39/A32</f>
        <v>#VALUE!</v>
      </c>
      <c r="G40" s="419">
        <v>0.15</v>
      </c>
      <c r="H40" s="419">
        <v>0.15</v>
      </c>
      <c r="I40" s="419">
        <v>0.15</v>
      </c>
      <c r="J40" s="419">
        <v>0.15</v>
      </c>
      <c r="K40" s="100" t="e">
        <f t="shared" ref="K40" si="410">K39/F32</f>
        <v>#DIV/0!</v>
      </c>
      <c r="L40" s="419">
        <v>0.15</v>
      </c>
      <c r="M40" s="419">
        <v>0.15</v>
      </c>
      <c r="N40" s="419">
        <v>0.15</v>
      </c>
      <c r="O40" s="419">
        <v>0.15</v>
      </c>
      <c r="P40" s="100" t="e">
        <f t="shared" ref="P40" si="411">P39/K32</f>
        <v>#DIV/0!</v>
      </c>
      <c r="Q40" s="419">
        <v>0.15</v>
      </c>
      <c r="R40" s="419">
        <v>0.15</v>
      </c>
      <c r="S40" s="419">
        <v>0.15</v>
      </c>
      <c r="T40" s="419">
        <v>0.15</v>
      </c>
      <c r="U40" s="100" t="e">
        <f t="shared" ref="U40" si="412">U39/P32</f>
        <v>#DIV/0!</v>
      </c>
      <c r="V40" s="419">
        <v>0.15</v>
      </c>
      <c r="W40" s="419">
        <v>0.15</v>
      </c>
      <c r="X40" s="419">
        <v>0.15</v>
      </c>
      <c r="Y40" s="419">
        <v>0.15</v>
      </c>
      <c r="Z40" s="100" t="e">
        <f t="shared" ref="Z40" si="413">Z39/U32</f>
        <v>#DIV/0!</v>
      </c>
      <c r="AA40" s="419">
        <v>0.15</v>
      </c>
      <c r="AB40" s="419">
        <v>0.15</v>
      </c>
      <c r="AC40" s="419">
        <v>0.15</v>
      </c>
      <c r="AD40" s="419">
        <v>0.15</v>
      </c>
      <c r="AE40" s="100" t="e">
        <f t="shared" ref="AE40" si="414">AE39/Z32</f>
        <v>#DIV/0!</v>
      </c>
      <c r="AF40" s="419">
        <v>0.15</v>
      </c>
      <c r="AG40" s="419">
        <v>0.15</v>
      </c>
      <c r="AH40" s="419">
        <v>0.15</v>
      </c>
      <c r="AI40" s="419">
        <v>0.15</v>
      </c>
      <c r="AJ40" s="100" t="e">
        <f>AJ39/AE32</f>
        <v>#DIV/0!</v>
      </c>
      <c r="AK40" s="419">
        <v>0.15</v>
      </c>
      <c r="AL40" s="419">
        <v>0.15</v>
      </c>
      <c r="AM40" s="419">
        <v>0.15</v>
      </c>
      <c r="AN40" s="419">
        <v>0.15</v>
      </c>
      <c r="AO40" s="100" t="e">
        <f t="shared" ref="AO40" si="415">AO39/AJ32</f>
        <v>#DIV/0!</v>
      </c>
      <c r="AP40" s="419">
        <v>0.15</v>
      </c>
      <c r="AQ40" s="419">
        <v>0.15</v>
      </c>
      <c r="AR40" s="419">
        <v>0.15</v>
      </c>
      <c r="AS40" s="419">
        <v>0.15</v>
      </c>
      <c r="AT40" s="100" t="e">
        <f t="shared" ref="AT40" si="416">AT39/AO32</f>
        <v>#DIV/0!</v>
      </c>
      <c r="AU40" s="419">
        <v>0.15</v>
      </c>
      <c r="AV40" s="419">
        <v>0.15</v>
      </c>
      <c r="AW40" s="419">
        <v>0.15</v>
      </c>
      <c r="AX40" s="419">
        <v>0.15</v>
      </c>
      <c r="AY40" s="100" t="e">
        <f t="shared" ref="AY40" si="417">AY39/AT32</f>
        <v>#DIV/0!</v>
      </c>
      <c r="AZ40" s="419">
        <v>0.15</v>
      </c>
      <c r="BA40" s="419">
        <v>0.15</v>
      </c>
      <c r="BB40" s="419">
        <v>0.15</v>
      </c>
      <c r="BC40" s="419">
        <v>0.15</v>
      </c>
      <c r="BD40" s="100">
        <f t="shared" ref="BD40" si="418">BD39/AY32</f>
        <v>0.60141515977321636</v>
      </c>
      <c r="BE40" s="419">
        <v>0.15</v>
      </c>
      <c r="BF40" s="419">
        <v>0.15</v>
      </c>
      <c r="BG40" s="419">
        <v>0.15</v>
      </c>
      <c r="BH40" s="419">
        <v>0.15</v>
      </c>
      <c r="BI40" s="100">
        <f t="shared" ref="BI40" si="419">BI39/BD32</f>
        <v>0.83820531757754801</v>
      </c>
      <c r="BJ40" s="419">
        <v>0.15</v>
      </c>
      <c r="BK40" s="419">
        <v>0.15</v>
      </c>
      <c r="BL40" s="419">
        <v>0.15</v>
      </c>
      <c r="BM40" s="419">
        <v>0.15</v>
      </c>
      <c r="BN40" s="100">
        <f t="shared" ref="BN40" si="420">BN39/BI32</f>
        <v>0.74741829570978757</v>
      </c>
      <c r="BO40" s="419">
        <v>0.125</v>
      </c>
      <c r="BP40" s="419">
        <v>0.125</v>
      </c>
      <c r="BQ40" s="419">
        <v>0.125</v>
      </c>
      <c r="BR40" s="419">
        <v>0.125</v>
      </c>
      <c r="BS40" s="100">
        <f>BS39/BN32</f>
        <v>0.61388556832039132</v>
      </c>
      <c r="BT40" s="419">
        <v>0.1</v>
      </c>
      <c r="BU40" s="419">
        <v>0.1</v>
      </c>
      <c r="BV40" s="419">
        <v>0.1</v>
      </c>
      <c r="BW40" s="419">
        <v>0.1</v>
      </c>
      <c r="BX40" s="100">
        <f>BX39/BS32</f>
        <v>0.50534881323572212</v>
      </c>
      <c r="BY40" s="419">
        <v>0.1</v>
      </c>
      <c r="BZ40" s="419">
        <v>0.1</v>
      </c>
      <c r="CA40" s="419">
        <v>0.1</v>
      </c>
      <c r="CB40" s="419">
        <v>0.1</v>
      </c>
      <c r="CC40" s="100">
        <f>CC39/BX32</f>
        <v>0.48480589625315601</v>
      </c>
      <c r="CD40" s="419">
        <v>0.1</v>
      </c>
      <c r="CE40" s="419">
        <v>0.1</v>
      </c>
      <c r="CF40" s="412">
        <v>0.1</v>
      </c>
      <c r="CG40" s="108">
        <f>CF40</f>
        <v>0.1</v>
      </c>
      <c r="CH40" s="100">
        <f>CH39/CC32</f>
        <v>0.44071547270583589</v>
      </c>
      <c r="CI40" s="412">
        <v>0.105</v>
      </c>
      <c r="CJ40" s="108">
        <f>CI40</f>
        <v>0.105</v>
      </c>
      <c r="CK40" s="108">
        <f>CJ40</f>
        <v>0.105</v>
      </c>
      <c r="CL40" s="108">
        <f>CK40</f>
        <v>0.105</v>
      </c>
      <c r="CM40" s="100">
        <f>CM39/CH32</f>
        <v>0.45985131045700217</v>
      </c>
      <c r="CN40" s="412">
        <v>0.11</v>
      </c>
      <c r="CO40" s="108">
        <f>CN40</f>
        <v>0.11</v>
      </c>
      <c r="CP40" s="108">
        <f>CO40</f>
        <v>0.11</v>
      </c>
      <c r="CQ40" s="108">
        <f>CP40</f>
        <v>0.11</v>
      </c>
      <c r="CR40" s="100">
        <f>CR39/CM32</f>
        <v>0.46757859044351968</v>
      </c>
      <c r="CS40" s="108">
        <f>CQ40</f>
        <v>0.11</v>
      </c>
      <c r="CT40" s="108">
        <f>CS40</f>
        <v>0.11</v>
      </c>
      <c r="CU40" s="108">
        <f>CT40</f>
        <v>0.11</v>
      </c>
      <c r="CV40" s="108">
        <f>CU40</f>
        <v>0.11</v>
      </c>
      <c r="CW40" s="100">
        <f>CW39/CR32</f>
        <v>0.46292134529160822</v>
      </c>
      <c r="CX40" s="108">
        <f>CV40</f>
        <v>0.11</v>
      </c>
      <c r="CY40" s="108">
        <f>CX40</f>
        <v>0.11</v>
      </c>
      <c r="CZ40" s="108">
        <f>CY40</f>
        <v>0.11</v>
      </c>
      <c r="DA40" s="108">
        <f>CZ40</f>
        <v>0.11</v>
      </c>
      <c r="DB40" s="100">
        <f>DB39/CW32</f>
        <v>0.45936131876527841</v>
      </c>
    </row>
    <row r="41" spans="1:106" ht="11.25" customHeight="1" outlineLevel="1" x14ac:dyDescent="0.35">
      <c r="A41" s="221" t="s">
        <v>274</v>
      </c>
      <c r="B41" s="413">
        <f>IS!B6</f>
        <v>0</v>
      </c>
      <c r="C41" s="413">
        <f>IS!C6</f>
        <v>0</v>
      </c>
      <c r="D41" s="413">
        <f>IS!D6</f>
        <v>0</v>
      </c>
      <c r="E41" s="413">
        <f>IS!E6</f>
        <v>0</v>
      </c>
      <c r="F41" s="223">
        <f t="shared" ref="F41" si="421">SUM(B41:E41)</f>
        <v>0</v>
      </c>
      <c r="G41" s="413">
        <f>IS!G6</f>
        <v>0</v>
      </c>
      <c r="H41" s="413">
        <f>IS!H6</f>
        <v>0</v>
      </c>
      <c r="I41" s="413">
        <f>IS!I6</f>
        <v>0</v>
      </c>
      <c r="J41" s="413">
        <f>IS!J6</f>
        <v>0</v>
      </c>
      <c r="K41" s="223">
        <f t="shared" ref="K41" si="422">SUM(G41:J41)</f>
        <v>0</v>
      </c>
      <c r="L41" s="413">
        <f>IS!L6</f>
        <v>0</v>
      </c>
      <c r="M41" s="413">
        <f>IS!M6</f>
        <v>0</v>
      </c>
      <c r="N41" s="413">
        <f>IS!N6</f>
        <v>0</v>
      </c>
      <c r="O41" s="413">
        <f>IS!O6</f>
        <v>0</v>
      </c>
      <c r="P41" s="223">
        <f t="shared" ref="P41" si="423">SUM(L41:O41)</f>
        <v>0</v>
      </c>
      <c r="Q41" s="413">
        <f>IS!Q6</f>
        <v>0</v>
      </c>
      <c r="R41" s="413">
        <f>IS!R6</f>
        <v>0</v>
      </c>
      <c r="S41" s="413">
        <f>IS!S6</f>
        <v>0</v>
      </c>
      <c r="T41" s="413">
        <f>IS!T6</f>
        <v>0</v>
      </c>
      <c r="U41" s="223">
        <f t="shared" ref="U41" si="424">SUM(Q41:T41)</f>
        <v>0</v>
      </c>
      <c r="V41" s="413">
        <f>IS!V6</f>
        <v>0</v>
      </c>
      <c r="W41" s="413">
        <f>IS!W6</f>
        <v>0</v>
      </c>
      <c r="X41" s="413">
        <f>IS!X6</f>
        <v>0</v>
      </c>
      <c r="Y41" s="413">
        <f>IS!Y6</f>
        <v>0</v>
      </c>
      <c r="Z41" s="223">
        <f t="shared" ref="Z41" si="425">SUM(V41:Y41)</f>
        <v>0</v>
      </c>
      <c r="AA41" s="413">
        <f>IS!AA6</f>
        <v>0</v>
      </c>
      <c r="AB41" s="413">
        <f>IS!AB6</f>
        <v>0</v>
      </c>
      <c r="AC41" s="413">
        <f>IS!AC6</f>
        <v>0</v>
      </c>
      <c r="AD41" s="413">
        <f>IS!AD6</f>
        <v>0</v>
      </c>
      <c r="AE41" s="223">
        <f t="shared" ref="AE41" si="426">SUM(AA41:AD41)</f>
        <v>0</v>
      </c>
      <c r="AF41" s="413">
        <f>IS!AF6</f>
        <v>0</v>
      </c>
      <c r="AG41" s="413">
        <f>IS!AG6</f>
        <v>0</v>
      </c>
      <c r="AH41" s="413">
        <f>IS!AH6</f>
        <v>0</v>
      </c>
      <c r="AI41" s="413">
        <f>IS!AI6</f>
        <v>0</v>
      </c>
      <c r="AJ41" s="223">
        <f>SUM(AF41:AI41)</f>
        <v>0</v>
      </c>
      <c r="AK41" s="413">
        <f>IS!AK6</f>
        <v>0</v>
      </c>
      <c r="AL41" s="413">
        <f>IS!AL6</f>
        <v>0</v>
      </c>
      <c r="AM41" s="413">
        <f>IS!AM6</f>
        <v>0</v>
      </c>
      <c r="AN41" s="413">
        <f>IS!AN6</f>
        <v>0</v>
      </c>
      <c r="AO41" s="223">
        <f>SUM(AK41:AN41)</f>
        <v>0</v>
      </c>
      <c r="AP41" s="413">
        <f>IS!AP6</f>
        <v>0</v>
      </c>
      <c r="AQ41" s="413">
        <f>IS!AQ6</f>
        <v>0</v>
      </c>
      <c r="AR41" s="413">
        <f>IS!AR6</f>
        <v>0</v>
      </c>
      <c r="AS41" s="413">
        <f>IS!AS6</f>
        <v>0</v>
      </c>
      <c r="AT41" s="223">
        <f>SUM(AP41:AS41)</f>
        <v>0</v>
      </c>
      <c r="AU41" s="413">
        <f>IS!AU6</f>
        <v>1631</v>
      </c>
      <c r="AV41" s="413">
        <f>IS!AV6</f>
        <v>28524</v>
      </c>
      <c r="AW41" s="413">
        <f>IS!AW6</f>
        <v>1241</v>
      </c>
      <c r="AX41" s="413">
        <f>IS!AX6</f>
        <v>-18291</v>
      </c>
      <c r="AY41" s="223">
        <f>SUM(AU41:AX41)</f>
        <v>13105</v>
      </c>
      <c r="AZ41" s="413">
        <f>IS!AZ6</f>
        <v>841</v>
      </c>
      <c r="BA41" s="413">
        <f>IS!BA6</f>
        <v>679</v>
      </c>
      <c r="BB41" s="413">
        <f>IS!BB6</f>
        <v>1099</v>
      </c>
      <c r="BC41" s="413">
        <f>IS!BC6</f>
        <v>7649</v>
      </c>
      <c r="BD41" s="223">
        <f>SUM(AZ41:BC41)</f>
        <v>10268</v>
      </c>
      <c r="BE41" s="413">
        <f>IS!BE6</f>
        <v>1114</v>
      </c>
      <c r="BF41" s="413">
        <f>IS!BF6</f>
        <v>1364</v>
      </c>
      <c r="BG41" s="413">
        <f>IS!BG6</f>
        <v>1072</v>
      </c>
      <c r="BH41" s="413">
        <f>IS!BH6</f>
        <v>700</v>
      </c>
      <c r="BI41" s="223">
        <f>SUM(BE41:BH41)</f>
        <v>4250</v>
      </c>
      <c r="BJ41" s="413">
        <f>IS!BJ6</f>
        <v>1065</v>
      </c>
      <c r="BK41" s="413">
        <f>IS!BK6</f>
        <v>1756</v>
      </c>
      <c r="BL41" s="413">
        <f>IS!BL6</f>
        <v>1376</v>
      </c>
      <c r="BM41" s="413">
        <f>IS!BM6</f>
        <v>1176</v>
      </c>
      <c r="BN41" s="223">
        <f>SUM(BJ41:BM41)</f>
        <v>5373</v>
      </c>
      <c r="BO41" s="413">
        <f>IS!BO6</f>
        <v>1576</v>
      </c>
      <c r="BP41" s="413">
        <f>IS!BP6</f>
        <v>1173</v>
      </c>
      <c r="BQ41" s="413">
        <f>IS!BQ6</f>
        <v>1637</v>
      </c>
      <c r="BR41" s="413">
        <f>IS!BR6</f>
        <v>967</v>
      </c>
      <c r="BS41" s="223">
        <f>SUM(BO41:BR41)</f>
        <v>5353</v>
      </c>
      <c r="BT41" s="413">
        <f>IS!BT6</f>
        <v>1761</v>
      </c>
      <c r="BU41" s="413">
        <f>IS!BU6</f>
        <v>937</v>
      </c>
      <c r="BV41" s="413">
        <f>IS!BV6</f>
        <v>0</v>
      </c>
      <c r="BW41" s="413">
        <f>IS!BW6</f>
        <v>16</v>
      </c>
      <c r="BX41" s="223">
        <f>SUM(BT41:BW41)</f>
        <v>2714</v>
      </c>
      <c r="BY41" s="413">
        <f>IS!BY6</f>
        <v>6414</v>
      </c>
      <c r="BZ41" s="413">
        <f>IS!BZ6</f>
        <v>381</v>
      </c>
      <c r="CA41" s="413">
        <f>IS!CA6</f>
        <v>2324</v>
      </c>
      <c r="CB41" s="413">
        <f>IS!CB6</f>
        <v>1716</v>
      </c>
      <c r="CC41" s="223">
        <f>SUM(BY41:CB41)</f>
        <v>10835</v>
      </c>
      <c r="CD41" s="413">
        <f>IS!CD6</f>
        <v>1439</v>
      </c>
      <c r="CE41" s="413">
        <f>IS!CE6</f>
        <v>555</v>
      </c>
      <c r="CF41" s="222">
        <f>CF42*CF35</f>
        <v>575.13114005458783</v>
      </c>
      <c r="CG41" s="222">
        <f>CG42*CG35</f>
        <v>584.58481859948279</v>
      </c>
      <c r="CH41" s="223">
        <f>SUM(CD41:CG41)</f>
        <v>3153.7159586540706</v>
      </c>
      <c r="CI41" s="222">
        <f>CI42*CI35</f>
        <v>618.28072213867904</v>
      </c>
      <c r="CJ41" s="222">
        <f>CJ42*CJ35</f>
        <v>703.57423911171418</v>
      </c>
      <c r="CK41" s="222">
        <f>CK42*CK35</f>
        <v>711.61068413210228</v>
      </c>
      <c r="CL41" s="222">
        <f>CL42*CL35</f>
        <v>676.00985039927525</v>
      </c>
      <c r="CM41" s="223">
        <f>SUM(CI41:CL41)</f>
        <v>2709.4754957817709</v>
      </c>
      <c r="CN41" s="222">
        <f>CN42*CN35</f>
        <v>710.46226039716214</v>
      </c>
      <c r="CO41" s="222">
        <f>CO42*CO35</f>
        <v>766.56673482511837</v>
      </c>
      <c r="CP41" s="222">
        <f>CP42*CP35</f>
        <v>774.03019946828294</v>
      </c>
      <c r="CQ41" s="222">
        <f>CQ42*CQ35</f>
        <v>755.85641761924512</v>
      </c>
      <c r="CR41" s="223">
        <f>SUM(CN41:CQ41)</f>
        <v>3006.9156123098082</v>
      </c>
      <c r="CS41" s="222">
        <f>CS42*CS35</f>
        <v>782.10627213383702</v>
      </c>
      <c r="CT41" s="222">
        <f>CT42*CT35</f>
        <v>833.02609167815604</v>
      </c>
      <c r="CU41" s="222">
        <f>CU42*CU35</f>
        <v>835.15175849208003</v>
      </c>
      <c r="CV41" s="222">
        <f>CV42*CV35</f>
        <v>811.85197700083972</v>
      </c>
      <c r="CW41" s="223">
        <f>SUM(CS41:CV41)</f>
        <v>3262.1360993049129</v>
      </c>
      <c r="CX41" s="222">
        <f>CX42*CX35</f>
        <v>835.59865944325065</v>
      </c>
      <c r="CY41" s="222">
        <f>CY42*CY35</f>
        <v>885.6221199121203</v>
      </c>
      <c r="CZ41" s="222">
        <f>CZ42*CZ35</f>
        <v>885.3982412512604</v>
      </c>
      <c r="DA41" s="222">
        <f>DA42*DA35</f>
        <v>859.11013326820296</v>
      </c>
      <c r="DB41" s="223">
        <f>SUM(CX41:DA41)</f>
        <v>3465.7291538748341</v>
      </c>
    </row>
    <row r="42" spans="1:106" ht="11.25" customHeight="1" outlineLevel="1" x14ac:dyDescent="0.35">
      <c r="A42" s="204" t="s">
        <v>275</v>
      </c>
      <c r="B42" s="143" t="e">
        <f t="shared" ref="B42:AE42" si="427">B41/B35</f>
        <v>#DIV/0!</v>
      </c>
      <c r="C42" s="143" t="e">
        <f t="shared" si="427"/>
        <v>#DIV/0!</v>
      </c>
      <c r="D42" s="143" t="e">
        <f t="shared" si="427"/>
        <v>#DIV/0!</v>
      </c>
      <c r="E42" s="143" t="e">
        <f t="shared" si="427"/>
        <v>#DIV/0!</v>
      </c>
      <c r="F42" s="100" t="e">
        <f t="shared" si="427"/>
        <v>#DIV/0!</v>
      </c>
      <c r="G42" s="143" t="e">
        <f t="shared" si="427"/>
        <v>#DIV/0!</v>
      </c>
      <c r="H42" s="143" t="e">
        <f t="shared" si="427"/>
        <v>#DIV/0!</v>
      </c>
      <c r="I42" s="143" t="e">
        <f t="shared" si="427"/>
        <v>#DIV/0!</v>
      </c>
      <c r="J42" s="143" t="e">
        <f t="shared" si="427"/>
        <v>#DIV/0!</v>
      </c>
      <c r="K42" s="100" t="e">
        <f t="shared" si="427"/>
        <v>#DIV/0!</v>
      </c>
      <c r="L42" s="143" t="e">
        <f t="shared" si="427"/>
        <v>#DIV/0!</v>
      </c>
      <c r="M42" s="143" t="e">
        <f t="shared" si="427"/>
        <v>#DIV/0!</v>
      </c>
      <c r="N42" s="143" t="e">
        <f t="shared" si="427"/>
        <v>#DIV/0!</v>
      </c>
      <c r="O42" s="143" t="e">
        <f t="shared" si="427"/>
        <v>#DIV/0!</v>
      </c>
      <c r="P42" s="100" t="e">
        <f t="shared" si="427"/>
        <v>#DIV/0!</v>
      </c>
      <c r="Q42" s="143" t="e">
        <f t="shared" si="427"/>
        <v>#DIV/0!</v>
      </c>
      <c r="R42" s="143" t="e">
        <f t="shared" si="427"/>
        <v>#DIV/0!</v>
      </c>
      <c r="S42" s="143" t="e">
        <f t="shared" si="427"/>
        <v>#DIV/0!</v>
      </c>
      <c r="T42" s="143" t="e">
        <f t="shared" si="427"/>
        <v>#DIV/0!</v>
      </c>
      <c r="U42" s="100" t="e">
        <f t="shared" si="427"/>
        <v>#DIV/0!</v>
      </c>
      <c r="V42" s="143" t="e">
        <f t="shared" si="427"/>
        <v>#DIV/0!</v>
      </c>
      <c r="W42" s="143" t="e">
        <f t="shared" si="427"/>
        <v>#DIV/0!</v>
      </c>
      <c r="X42" s="143" t="e">
        <f t="shared" si="427"/>
        <v>#DIV/0!</v>
      </c>
      <c r="Y42" s="143" t="e">
        <f t="shared" si="427"/>
        <v>#DIV/0!</v>
      </c>
      <c r="Z42" s="100" t="e">
        <f t="shared" si="427"/>
        <v>#DIV/0!</v>
      </c>
      <c r="AA42" s="143" t="e">
        <f t="shared" si="427"/>
        <v>#DIV/0!</v>
      </c>
      <c r="AB42" s="143" t="e">
        <f t="shared" si="427"/>
        <v>#DIV/0!</v>
      </c>
      <c r="AC42" s="143" t="e">
        <f t="shared" si="427"/>
        <v>#DIV/0!</v>
      </c>
      <c r="AD42" s="143" t="e">
        <f t="shared" si="427"/>
        <v>#DIV/0!</v>
      </c>
      <c r="AE42" s="100" t="e">
        <f t="shared" si="427"/>
        <v>#DIV/0!</v>
      </c>
      <c r="AF42" s="143" t="e">
        <f t="shared" ref="AF42:AN42" si="428">AF41/AF35</f>
        <v>#DIV/0!</v>
      </c>
      <c r="AG42" s="143" t="e">
        <f t="shared" si="428"/>
        <v>#DIV/0!</v>
      </c>
      <c r="AH42" s="143" t="e">
        <f t="shared" si="428"/>
        <v>#DIV/0!</v>
      </c>
      <c r="AI42" s="143" t="e">
        <f t="shared" si="428"/>
        <v>#DIV/0!</v>
      </c>
      <c r="AJ42" s="100" t="e">
        <f t="shared" si="428"/>
        <v>#DIV/0!</v>
      </c>
      <c r="AK42" s="143">
        <f t="shared" si="428"/>
        <v>0</v>
      </c>
      <c r="AL42" s="143">
        <f t="shared" si="428"/>
        <v>0</v>
      </c>
      <c r="AM42" s="143">
        <f t="shared" si="428"/>
        <v>0</v>
      </c>
      <c r="AN42" s="143">
        <f t="shared" si="428"/>
        <v>0</v>
      </c>
      <c r="AO42" s="100">
        <f t="shared" ref="AO42:BV42" si="429">AO41/AO35</f>
        <v>0</v>
      </c>
      <c r="AP42" s="143">
        <f t="shared" si="429"/>
        <v>0</v>
      </c>
      <c r="AQ42" s="143">
        <f t="shared" si="429"/>
        <v>0</v>
      </c>
      <c r="AR42" s="143">
        <f t="shared" si="429"/>
        <v>0</v>
      </c>
      <c r="AS42" s="143">
        <f t="shared" si="429"/>
        <v>0</v>
      </c>
      <c r="AT42" s="100">
        <f t="shared" si="429"/>
        <v>0</v>
      </c>
      <c r="AU42" s="143">
        <f t="shared" si="429"/>
        <v>8.5100388195516966E-3</v>
      </c>
      <c r="AV42" s="143">
        <f t="shared" si="429"/>
        <v>0.11638363676423787</v>
      </c>
      <c r="AW42" s="143">
        <f t="shared" si="429"/>
        <v>4.6490892879887911E-3</v>
      </c>
      <c r="AX42" s="143">
        <f t="shared" si="429"/>
        <v>-5.5934753490761636E-2</v>
      </c>
      <c r="AY42" s="100">
        <f t="shared" si="429"/>
        <v>1.2714881990759517E-2</v>
      </c>
      <c r="AZ42" s="143">
        <f t="shared" si="429"/>
        <v>3.6209888184209733E-3</v>
      </c>
      <c r="BA42" s="143">
        <f t="shared" si="429"/>
        <v>2.6968523483268791E-3</v>
      </c>
      <c r="BB42" s="143">
        <f t="shared" si="429"/>
        <v>3.2962814106524776E-3</v>
      </c>
      <c r="BC42" s="143">
        <f t="shared" si="429"/>
        <v>2.2147582991907114E-2</v>
      </c>
      <c r="BD42" s="100">
        <f t="shared" si="429"/>
        <v>8.8303865745100411E-3</v>
      </c>
      <c r="BE42" s="143">
        <f t="shared" si="429"/>
        <v>3.2209378306954795E-3</v>
      </c>
      <c r="BF42" s="143">
        <f t="shared" si="429"/>
        <v>2.9606476959475594E-3</v>
      </c>
      <c r="BG42" s="143">
        <f t="shared" si="429"/>
        <v>2.3022868237032455E-3</v>
      </c>
      <c r="BH42" s="143">
        <f t="shared" si="429"/>
        <v>1.3951893869936459E-3</v>
      </c>
      <c r="BI42" s="100">
        <f t="shared" si="429"/>
        <v>2.3958239379453412E-3</v>
      </c>
      <c r="BJ42" s="143">
        <f t="shared" si="429"/>
        <v>2.3298804432242046E-3</v>
      </c>
      <c r="BK42" s="143">
        <f t="shared" si="429"/>
        <v>2.8569057888134892E-3</v>
      </c>
      <c r="BL42" s="143">
        <f t="shared" si="429"/>
        <v>2.153159088099571E-3</v>
      </c>
      <c r="BM42" s="143">
        <f t="shared" si="429"/>
        <v>1.9856647164602486E-3</v>
      </c>
      <c r="BN42" s="100">
        <f t="shared" si="429"/>
        <v>2.3329810487081981E-3</v>
      </c>
      <c r="BO42" s="143">
        <f t="shared" si="429"/>
        <v>2.6013168341181849E-3</v>
      </c>
      <c r="BP42" s="143">
        <f t="shared" si="429"/>
        <v>1.5804812585643085E-3</v>
      </c>
      <c r="BQ42" s="143">
        <f t="shared" si="429"/>
        <v>2.1356315181117729E-3</v>
      </c>
      <c r="BR42" s="143">
        <f t="shared" si="429"/>
        <v>1.1677220845590188E-3</v>
      </c>
      <c r="BS42" s="100">
        <f t="shared" si="429"/>
        <v>1.8191073902044822E-3</v>
      </c>
      <c r="BT42" s="143">
        <f t="shared" si="429"/>
        <v>2.0640814661659424E-3</v>
      </c>
      <c r="BU42" s="143">
        <f t="shared" si="429"/>
        <v>9.2139253190211018E-4</v>
      </c>
      <c r="BV42" s="143">
        <f t="shared" si="429"/>
        <v>0</v>
      </c>
      <c r="BW42" s="143">
        <f>BW41/BW35</f>
        <v>1.5144917933475947E-5</v>
      </c>
      <c r="BX42" s="100">
        <f>BX41/BX35</f>
        <v>6.7766833154011739E-4</v>
      </c>
      <c r="BY42" s="143">
        <f>BY41/BY35</f>
        <v>5.1809662897932375E-3</v>
      </c>
      <c r="BZ42" s="143">
        <f t="shared" ref="BZ42:CA42" si="430">BZ41/BZ35</f>
        <v>2.7706954954745308E-4</v>
      </c>
      <c r="CA42" s="143">
        <f t="shared" si="430"/>
        <v>1.6059738911766109E-3</v>
      </c>
      <c r="CB42" s="143">
        <f>CB41/CB35</f>
        <v>1.1817335397464645E-3</v>
      </c>
      <c r="CC42" s="100">
        <f>CC41/CC35</f>
        <v>1.9656041942564808E-3</v>
      </c>
      <c r="CD42" s="143">
        <f>CD41/CD35</f>
        <v>8.758182266354643E-4</v>
      </c>
      <c r="CE42" s="143">
        <f t="shared" ref="CE42" si="431">CE41/CE35</f>
        <v>3.2170201814399384E-4</v>
      </c>
      <c r="CF42" s="99">
        <f>CE42</f>
        <v>3.2170201814399384E-4</v>
      </c>
      <c r="CG42" s="99">
        <f>CF42</f>
        <v>3.2170201814399384E-4</v>
      </c>
      <c r="CH42" s="100">
        <f>CH41/CH35</f>
        <v>4.5226416007275851E-4</v>
      </c>
      <c r="CI42" s="99">
        <f>CG42</f>
        <v>3.2170201814399384E-4</v>
      </c>
      <c r="CJ42" s="99">
        <f>CI42</f>
        <v>3.2170201814399384E-4</v>
      </c>
      <c r="CK42" s="99">
        <f>CJ42</f>
        <v>3.2170201814399384E-4</v>
      </c>
      <c r="CL42" s="99">
        <f>CK42</f>
        <v>3.2170201814399384E-4</v>
      </c>
      <c r="CM42" s="100">
        <f>CM41/CM35</f>
        <v>3.2170201814399384E-4</v>
      </c>
      <c r="CN42" s="99">
        <f>CL42</f>
        <v>3.2170201814399384E-4</v>
      </c>
      <c r="CO42" s="99">
        <f>CN42</f>
        <v>3.2170201814399384E-4</v>
      </c>
      <c r="CP42" s="99">
        <f>CO42</f>
        <v>3.2170201814399384E-4</v>
      </c>
      <c r="CQ42" s="99">
        <f>CP42</f>
        <v>3.2170201814399384E-4</v>
      </c>
      <c r="CR42" s="100">
        <f>CR41/CR35</f>
        <v>3.2170201814399378E-4</v>
      </c>
      <c r="CS42" s="99">
        <f>CQ42</f>
        <v>3.2170201814399384E-4</v>
      </c>
      <c r="CT42" s="99">
        <f>CS42</f>
        <v>3.2170201814399384E-4</v>
      </c>
      <c r="CU42" s="99">
        <f>CT42</f>
        <v>3.2170201814399384E-4</v>
      </c>
      <c r="CV42" s="99">
        <f>CU42</f>
        <v>3.2170201814399384E-4</v>
      </c>
      <c r="CW42" s="100">
        <f>CW41/CW35</f>
        <v>3.2170201814399389E-4</v>
      </c>
      <c r="CX42" s="99">
        <f>CV42</f>
        <v>3.2170201814399384E-4</v>
      </c>
      <c r="CY42" s="99">
        <f>CX42</f>
        <v>3.2170201814399384E-4</v>
      </c>
      <c r="CZ42" s="99">
        <f>CY42</f>
        <v>3.2170201814399384E-4</v>
      </c>
      <c r="DA42" s="99">
        <f>CZ42</f>
        <v>3.2170201814399384E-4</v>
      </c>
      <c r="DB42" s="100">
        <f>DB41/DB35</f>
        <v>3.2170201814399373E-4</v>
      </c>
    </row>
    <row r="43" spans="1:106" ht="11.25" customHeight="1" x14ac:dyDescent="0.35">
      <c r="B43" s="109"/>
      <c r="C43" s="109"/>
      <c r="D43" s="109"/>
      <c r="E43" s="109"/>
      <c r="F43" s="101"/>
      <c r="G43" s="109"/>
      <c r="H43" s="109"/>
      <c r="I43" s="109"/>
      <c r="J43" s="109"/>
      <c r="K43" s="101"/>
      <c r="L43" s="109"/>
      <c r="M43" s="109"/>
      <c r="N43" s="109"/>
      <c r="O43" s="109"/>
      <c r="P43" s="101"/>
      <c r="Q43" s="109"/>
      <c r="R43" s="109"/>
      <c r="S43" s="109"/>
      <c r="T43" s="109"/>
      <c r="U43" s="101"/>
      <c r="V43" s="109"/>
      <c r="W43" s="109"/>
      <c r="X43" s="109"/>
      <c r="Y43" s="109"/>
      <c r="Z43" s="101"/>
      <c r="AA43" s="109"/>
      <c r="AB43" s="109"/>
      <c r="AC43" s="109"/>
      <c r="AD43" s="109"/>
      <c r="AE43" s="101"/>
      <c r="AF43" s="109"/>
      <c r="AG43" s="109"/>
      <c r="AH43" s="109"/>
      <c r="AI43" s="109"/>
      <c r="AJ43" s="101"/>
      <c r="AK43" s="109"/>
      <c r="AL43" s="109"/>
      <c r="AM43" s="109"/>
      <c r="AN43" s="109"/>
      <c r="AO43" s="101"/>
      <c r="AP43" s="109"/>
      <c r="AQ43" s="109"/>
      <c r="AR43" s="109"/>
      <c r="AS43" s="109"/>
      <c r="AT43" s="101"/>
      <c r="AU43" s="109"/>
      <c r="AV43" s="109"/>
      <c r="AW43" s="109"/>
      <c r="AX43" s="109"/>
      <c r="AY43" s="101"/>
      <c r="AZ43" s="109"/>
      <c r="BA43" s="109"/>
      <c r="BB43" s="109"/>
      <c r="BC43" s="109"/>
      <c r="BD43" s="101"/>
      <c r="BE43" s="109"/>
      <c r="BF43" s="109"/>
      <c r="BG43" s="109"/>
      <c r="BH43" s="109"/>
      <c r="BI43" s="101"/>
      <c r="BJ43" s="109"/>
      <c r="BK43" s="109"/>
      <c r="BL43" s="109"/>
      <c r="BM43" s="109"/>
      <c r="BN43" s="101"/>
      <c r="BO43" s="355"/>
      <c r="BP43" s="355"/>
      <c r="BQ43" s="355"/>
      <c r="BR43" s="355"/>
      <c r="BS43" s="356"/>
      <c r="BT43" s="355"/>
      <c r="BU43" s="355"/>
      <c r="BV43" s="355"/>
      <c r="BW43" s="355"/>
      <c r="BX43" s="356"/>
      <c r="BY43" s="355"/>
      <c r="BZ43" s="355"/>
      <c r="CA43" s="109"/>
      <c r="CB43" s="109"/>
      <c r="CC43" s="101"/>
      <c r="CD43" s="631"/>
      <c r="CE43" s="631"/>
      <c r="CF43" s="109"/>
      <c r="CG43" s="109"/>
      <c r="CH43" s="101"/>
      <c r="CI43" s="109"/>
      <c r="CJ43" s="109"/>
      <c r="CK43" s="109"/>
      <c r="CL43" s="109"/>
      <c r="CM43" s="101"/>
      <c r="CN43" s="109"/>
      <c r="CO43" s="109"/>
      <c r="CP43" s="109"/>
      <c r="CQ43" s="109"/>
      <c r="CR43" s="101"/>
      <c r="CS43" s="109"/>
      <c r="CT43" s="109"/>
      <c r="CU43" s="109"/>
      <c r="CV43" s="109"/>
      <c r="CW43" s="101"/>
      <c r="CX43" s="109"/>
      <c r="CY43" s="109"/>
      <c r="CZ43" s="109"/>
      <c r="DA43" s="109"/>
      <c r="DB43" s="101"/>
    </row>
    <row r="44" spans="1:106" s="15" customFormat="1" ht="11.25" customHeight="1" thickBot="1" x14ac:dyDescent="0.4">
      <c r="A44" s="119" t="s">
        <v>38</v>
      </c>
      <c r="B44" s="120" t="str">
        <f>Macro!B$3</f>
        <v>1Q10</v>
      </c>
      <c r="C44" s="120" t="str">
        <f>Macro!C$3</f>
        <v>2Q10</v>
      </c>
      <c r="D44" s="120" t="str">
        <f>Macro!D$3</f>
        <v>3Q10</v>
      </c>
      <c r="E44" s="120" t="str">
        <f>Macro!E$3</f>
        <v>4Q10</v>
      </c>
      <c r="F44" s="121" t="str">
        <f>Macro!F$3</f>
        <v>2010</v>
      </c>
      <c r="G44" s="120" t="str">
        <f>Macro!G$3</f>
        <v>1Q11</v>
      </c>
      <c r="H44" s="120" t="str">
        <f>Macro!H$3</f>
        <v>2Q11</v>
      </c>
      <c r="I44" s="120" t="str">
        <f>Macro!I$3</f>
        <v>3Q11</v>
      </c>
      <c r="J44" s="120" t="str">
        <f>Macro!J$3</f>
        <v>4Q11</v>
      </c>
      <c r="K44" s="121" t="str">
        <f>Macro!K$3</f>
        <v>2011</v>
      </c>
      <c r="L44" s="120" t="str">
        <f>Macro!L$3</f>
        <v>1Q12</v>
      </c>
      <c r="M44" s="120" t="str">
        <f>Macro!M$3</f>
        <v>2Q12</v>
      </c>
      <c r="N44" s="120" t="str">
        <f>Macro!N$3</f>
        <v>3Q12</v>
      </c>
      <c r="O44" s="120" t="str">
        <f>Macro!O$3</f>
        <v>4Q12</v>
      </c>
      <c r="P44" s="121" t="str">
        <f>Macro!P$3</f>
        <v>2012</v>
      </c>
      <c r="Q44" s="120" t="str">
        <f>Macro!Q$3</f>
        <v>1Q13</v>
      </c>
      <c r="R44" s="120" t="str">
        <f>Macro!R$3</f>
        <v>2Q13</v>
      </c>
      <c r="S44" s="120" t="str">
        <f>Macro!S$3</f>
        <v>3Q13</v>
      </c>
      <c r="T44" s="120" t="str">
        <f>Macro!T$3</f>
        <v>4Q13</v>
      </c>
      <c r="U44" s="121" t="str">
        <f>Macro!U$3</f>
        <v>2013</v>
      </c>
      <c r="V44" s="120" t="str">
        <f>Macro!V$3</f>
        <v>1Q14</v>
      </c>
      <c r="W44" s="120" t="str">
        <f>Macro!W$3</f>
        <v>2Q14</v>
      </c>
      <c r="X44" s="120" t="str">
        <f>Macro!X$3</f>
        <v>3Q14</v>
      </c>
      <c r="Y44" s="120" t="str">
        <f>Macro!Y$3</f>
        <v>4Q14</v>
      </c>
      <c r="Z44" s="121" t="str">
        <f>Macro!Z$3</f>
        <v>2014</v>
      </c>
      <c r="AA44" s="120" t="str">
        <f>Macro!AA$3</f>
        <v>1Q15</v>
      </c>
      <c r="AB44" s="120" t="str">
        <f>Macro!AB$3</f>
        <v>2Q15</v>
      </c>
      <c r="AC44" s="120" t="str">
        <f>Macro!AC$3</f>
        <v>3Q15</v>
      </c>
      <c r="AD44" s="120" t="str">
        <f>Macro!AD$3</f>
        <v>4Q15</v>
      </c>
      <c r="AE44" s="121" t="str">
        <f>Macro!AE$3</f>
        <v>2015</v>
      </c>
      <c r="AF44" s="120" t="str">
        <f>Macro!AF$3</f>
        <v>1Q16</v>
      </c>
      <c r="AG44" s="120" t="str">
        <f>Macro!AG$3</f>
        <v>2Q16</v>
      </c>
      <c r="AH44" s="120" t="str">
        <f>Macro!AH$3</f>
        <v>3Q16</v>
      </c>
      <c r="AI44" s="120" t="str">
        <f>Macro!AI$3</f>
        <v>4Q16</v>
      </c>
      <c r="AJ44" s="121" t="str">
        <f>Macro!AJ$3</f>
        <v>2016</v>
      </c>
      <c r="AK44" s="120" t="str">
        <f>Macro!AK$3</f>
        <v>1Q17</v>
      </c>
      <c r="AL44" s="120" t="str">
        <f>Macro!AL$3</f>
        <v>2Q17</v>
      </c>
      <c r="AM44" s="120" t="str">
        <f>Macro!AM$3</f>
        <v>3Q17</v>
      </c>
      <c r="AN44" s="120" t="str">
        <f>Macro!AN$3</f>
        <v>4Q17</v>
      </c>
      <c r="AO44" s="121" t="str">
        <f>Macro!AO$3</f>
        <v>2017</v>
      </c>
      <c r="AP44" s="120" t="str">
        <f>Macro!AP$3</f>
        <v>1Q18</v>
      </c>
      <c r="AQ44" s="120" t="str">
        <f>Macro!AQ$3</f>
        <v>2Q18</v>
      </c>
      <c r="AR44" s="120" t="str">
        <f>Macro!AR$3</f>
        <v>3Q18</v>
      </c>
      <c r="AS44" s="120" t="str">
        <f>Macro!AS$3</f>
        <v>4Q18</v>
      </c>
      <c r="AT44" s="121" t="str">
        <f>Macro!AT$3</f>
        <v>2018</v>
      </c>
      <c r="AU44" s="120" t="str">
        <f>Macro!AU$3</f>
        <v>1Q19</v>
      </c>
      <c r="AV44" s="120" t="str">
        <f>Macro!AV$3</f>
        <v>2Q19</v>
      </c>
      <c r="AW44" s="120" t="str">
        <f>Macro!AW$3</f>
        <v>3Q19</v>
      </c>
      <c r="AX44" s="120" t="str">
        <f>Macro!AX$3</f>
        <v>4Q19</v>
      </c>
      <c r="AY44" s="121" t="str">
        <f>Macro!AY$3</f>
        <v>2019</v>
      </c>
      <c r="AZ44" s="120" t="str">
        <f>Macro!AZ$3</f>
        <v>1Q20</v>
      </c>
      <c r="BA44" s="120" t="str">
        <f>Macro!BA$3</f>
        <v>2Q20</v>
      </c>
      <c r="BB44" s="120" t="str">
        <f>Macro!BB$3</f>
        <v>3Q20</v>
      </c>
      <c r="BC44" s="120" t="str">
        <f>Macro!BC$3</f>
        <v>4Q20</v>
      </c>
      <c r="BD44" s="121" t="str">
        <f>Macro!BD$3</f>
        <v>2020</v>
      </c>
      <c r="BE44" s="120" t="str">
        <f>Macro!BE$3</f>
        <v>1Q21</v>
      </c>
      <c r="BF44" s="120" t="str">
        <f>Macro!BF$3</f>
        <v>2Q21</v>
      </c>
      <c r="BG44" s="120" t="str">
        <f>Macro!BG$3</f>
        <v>3Q21</v>
      </c>
      <c r="BH44" s="120" t="str">
        <f>Macro!BH$3</f>
        <v>4Q21</v>
      </c>
      <c r="BI44" s="121" t="str">
        <f>Macro!BI$3</f>
        <v>2021</v>
      </c>
      <c r="BJ44" s="120" t="str">
        <f>Macro!BJ$3</f>
        <v>1Q22</v>
      </c>
      <c r="BK44" s="120" t="str">
        <f>Macro!BK$3</f>
        <v>2Q22</v>
      </c>
      <c r="BL44" s="120" t="str">
        <f>Macro!BL$3</f>
        <v>3Q22</v>
      </c>
      <c r="BM44" s="120" t="str">
        <f>Macro!BM$3</f>
        <v>4Q22</v>
      </c>
      <c r="BN44" s="121" t="str">
        <f>Macro!BN$3</f>
        <v>2022</v>
      </c>
      <c r="BO44" s="120" t="str">
        <f>Macro!BO$3</f>
        <v>1Q23</v>
      </c>
      <c r="BP44" s="120" t="str">
        <f>Macro!BP$3</f>
        <v>2Q23</v>
      </c>
      <c r="BQ44" s="120" t="str">
        <f>Macro!BQ$3</f>
        <v>3Q23</v>
      </c>
      <c r="BR44" s="120" t="str">
        <f>Macro!BR$3</f>
        <v>4Q23</v>
      </c>
      <c r="BS44" s="121" t="str">
        <f>Macro!BS$3</f>
        <v>2023</v>
      </c>
      <c r="BT44" s="120" t="str">
        <f>Macro!BT$3</f>
        <v>1Q24</v>
      </c>
      <c r="BU44" s="120" t="str">
        <f>Macro!BU$3</f>
        <v>2Q24</v>
      </c>
      <c r="BV44" s="120" t="str">
        <f>Macro!BV$3</f>
        <v>3Q24</v>
      </c>
      <c r="BW44" s="120" t="str">
        <f>Macro!BW$3</f>
        <v>4Q24</v>
      </c>
      <c r="BX44" s="121" t="str">
        <f>Macro!BX$3</f>
        <v>2024</v>
      </c>
      <c r="BY44" s="120" t="str">
        <f>Macro!BY$3</f>
        <v>1Q25</v>
      </c>
      <c r="BZ44" s="120" t="str">
        <f>Macro!BZ$3</f>
        <v>2Q25</v>
      </c>
      <c r="CA44" s="120" t="str">
        <f>Macro!CA$3</f>
        <v>3Q25</v>
      </c>
      <c r="CB44" s="120" t="str">
        <f>Macro!CB$3</f>
        <v>4Q25</v>
      </c>
      <c r="CC44" s="121" t="str">
        <f>Macro!CC$3</f>
        <v>2025</v>
      </c>
      <c r="CD44" s="120" t="str">
        <f>Macro!CD$3</f>
        <v>1Q26</v>
      </c>
      <c r="CE44" s="120" t="str">
        <f>Macro!CE$3</f>
        <v>2Q26E</v>
      </c>
      <c r="CF44" s="120" t="str">
        <f>Macro!CF$3</f>
        <v>3Q26E</v>
      </c>
      <c r="CG44" s="120" t="str">
        <f>Macro!CG$3</f>
        <v>4Q26E</v>
      </c>
      <c r="CH44" s="121" t="str">
        <f>Macro!CH$3</f>
        <v>2026E</v>
      </c>
      <c r="CI44" s="120" t="str">
        <f>Macro!CI$3</f>
        <v>1Q27E</v>
      </c>
      <c r="CJ44" s="120" t="str">
        <f>Macro!CJ$3</f>
        <v>2Q27E</v>
      </c>
      <c r="CK44" s="120" t="str">
        <f>Macro!CK$3</f>
        <v>3Q27E</v>
      </c>
      <c r="CL44" s="120" t="str">
        <f>Macro!CL$3</f>
        <v>4Q27E</v>
      </c>
      <c r="CM44" s="121" t="str">
        <f>Macro!CM$3</f>
        <v>2027E</v>
      </c>
      <c r="CN44" s="120" t="str">
        <f>Macro!CN$3</f>
        <v>1Q28E</v>
      </c>
      <c r="CO44" s="120" t="str">
        <f>Macro!CO$3</f>
        <v>2Q28E</v>
      </c>
      <c r="CP44" s="120" t="str">
        <f>Macro!CP$3</f>
        <v>3Q28E</v>
      </c>
      <c r="CQ44" s="120" t="str">
        <f>Macro!CQ$3</f>
        <v>4Q28E</v>
      </c>
      <c r="CR44" s="121" t="str">
        <f>Macro!CR$3</f>
        <v>2028E</v>
      </c>
      <c r="CS44" s="120" t="str">
        <f>Macro!CS$3</f>
        <v>1Q29E</v>
      </c>
      <c r="CT44" s="120" t="str">
        <f>Macro!CT$3</f>
        <v>2Q29E</v>
      </c>
      <c r="CU44" s="120" t="str">
        <f>Macro!CU$3</f>
        <v>3Q29E</v>
      </c>
      <c r="CV44" s="120" t="str">
        <f>Macro!CV$3</f>
        <v>4Q29E</v>
      </c>
      <c r="CW44" s="121" t="str">
        <f>Macro!CW$3</f>
        <v>2029E</v>
      </c>
      <c r="CX44" s="120" t="str">
        <f>Macro!CX$3</f>
        <v>1Q30E</v>
      </c>
      <c r="CY44" s="120" t="str">
        <f>Macro!CY$3</f>
        <v>2Q30E</v>
      </c>
      <c r="CZ44" s="120" t="str">
        <f>Macro!CZ$3</f>
        <v>3Q30E</v>
      </c>
      <c r="DA44" s="120" t="str">
        <f>Macro!DA$3</f>
        <v>4Q30E</v>
      </c>
      <c r="DB44" s="121" t="str">
        <f>Macro!DB$3</f>
        <v>2030E</v>
      </c>
    </row>
    <row r="45" spans="1:106" ht="11.15" customHeight="1" thickTop="1" x14ac:dyDescent="0.35">
      <c r="A45" s="122" t="s">
        <v>261</v>
      </c>
      <c r="B45" s="627"/>
      <c r="C45" s="627"/>
      <c r="D45" s="627"/>
      <c r="E45" s="627"/>
      <c r="F45" s="628">
        <f t="shared" ref="F45" si="432">E45</f>
        <v>0</v>
      </c>
      <c r="G45" s="627"/>
      <c r="H45" s="627"/>
      <c r="I45" s="627"/>
      <c r="J45" s="627"/>
      <c r="K45" s="628">
        <f t="shared" ref="K45" si="433">J45</f>
        <v>0</v>
      </c>
      <c r="L45" s="627"/>
      <c r="M45" s="627"/>
      <c r="N45" s="627"/>
      <c r="O45" s="627"/>
      <c r="P45" s="628">
        <f t="shared" ref="P45" si="434">O45</f>
        <v>0</v>
      </c>
      <c r="Q45" s="627"/>
      <c r="R45" s="627"/>
      <c r="S45" s="627"/>
      <c r="T45" s="627"/>
      <c r="U45" s="628">
        <f t="shared" ref="U45" si="435">T45</f>
        <v>0</v>
      </c>
      <c r="V45" s="627"/>
      <c r="W45" s="627"/>
      <c r="X45" s="627"/>
      <c r="Y45" s="627"/>
      <c r="Z45" s="628">
        <f t="shared" ref="Z45" si="436">Y45</f>
        <v>0</v>
      </c>
      <c r="AA45" s="627"/>
      <c r="AB45" s="627"/>
      <c r="AC45" s="627"/>
      <c r="AD45" s="627"/>
      <c r="AE45" s="628">
        <f t="shared" ref="AE45" si="437">AD45</f>
        <v>0</v>
      </c>
      <c r="AF45" s="627"/>
      <c r="AG45" s="627"/>
      <c r="AH45" s="627"/>
      <c r="AI45" s="627"/>
      <c r="AJ45" s="628">
        <f>AI45</f>
        <v>0</v>
      </c>
      <c r="AK45" s="627"/>
      <c r="AL45" s="627"/>
      <c r="AM45" s="627"/>
      <c r="AN45" s="627"/>
      <c r="AO45" s="628">
        <f>AN45</f>
        <v>0</v>
      </c>
      <c r="AP45" s="627"/>
      <c r="AQ45" s="627"/>
      <c r="AR45" s="627"/>
      <c r="AS45" s="627"/>
      <c r="AT45" s="628">
        <f>AS45</f>
        <v>0</v>
      </c>
      <c r="AU45" s="627"/>
      <c r="AV45" s="627"/>
      <c r="AW45" s="627">
        <v>4720000</v>
      </c>
      <c r="AX45" s="627">
        <v>5766000</v>
      </c>
      <c r="AY45" s="628">
        <f>AX45</f>
        <v>5766000</v>
      </c>
      <c r="AZ45" s="627">
        <v>7469000</v>
      </c>
      <c r="BA45" s="627">
        <v>7945000</v>
      </c>
      <c r="BB45" s="627">
        <v>8828000</v>
      </c>
      <c r="BC45" s="627">
        <v>10531639.29016</v>
      </c>
      <c r="BD45" s="628">
        <f>BC45</f>
        <v>10531639.29016</v>
      </c>
      <c r="BE45" s="627">
        <v>9966000</v>
      </c>
      <c r="BF45" s="627">
        <v>10430000</v>
      </c>
      <c r="BG45" s="627">
        <v>11456497.934560003</v>
      </c>
      <c r="BH45" s="627">
        <v>9793619.998300001</v>
      </c>
      <c r="BI45" s="628">
        <f>BH45</f>
        <v>9793619.998300001</v>
      </c>
      <c r="BJ45" s="627">
        <v>9952710.6042000018</v>
      </c>
      <c r="BK45" s="627">
        <v>9647194.7034000009</v>
      </c>
      <c r="BL45" s="627">
        <v>10487094.934040001</v>
      </c>
      <c r="BM45" s="627">
        <v>10138416.628</v>
      </c>
      <c r="BN45" s="628">
        <f>BM45</f>
        <v>10138416.628</v>
      </c>
      <c r="BO45" s="627">
        <v>9905531.2655299995</v>
      </c>
      <c r="BP45" s="627">
        <v>10182554.84953</v>
      </c>
      <c r="BQ45" s="627">
        <v>11848093.692</v>
      </c>
      <c r="BR45" s="627">
        <v>14508048.284</v>
      </c>
      <c r="BS45" s="628">
        <f>BR45</f>
        <v>14508048.284</v>
      </c>
      <c r="BT45" s="627">
        <v>15637376.806</v>
      </c>
      <c r="BU45" s="627">
        <v>17585580.512000002</v>
      </c>
      <c r="BV45" s="627">
        <v>19517275.011999998</v>
      </c>
      <c r="BW45" s="627">
        <v>20122400</v>
      </c>
      <c r="BX45" s="628">
        <f>BW45</f>
        <v>20122400</v>
      </c>
      <c r="BY45" s="627">
        <v>19805343.511999998</v>
      </c>
      <c r="BZ45" s="627">
        <v>21114378.100000001</v>
      </c>
      <c r="CA45" s="627">
        <v>23343700</v>
      </c>
      <c r="CB45" s="627">
        <v>24641300</v>
      </c>
      <c r="CC45" s="628">
        <f>CB45</f>
        <v>24641300</v>
      </c>
      <c r="CD45" s="627">
        <v>24924600</v>
      </c>
      <c r="CE45" s="627">
        <v>26092800</v>
      </c>
      <c r="CF45" s="629">
        <f>CF46*SUM(CF4:CG4,CI4:CJ4)</f>
        <v>26445288.697846979</v>
      </c>
      <c r="CG45" s="629">
        <f>CG46*SUM(CG4,CI4:CK4)</f>
        <v>27078927.775559001</v>
      </c>
      <c r="CH45" s="628">
        <f>CG45</f>
        <v>27078927.775559001</v>
      </c>
      <c r="CI45" s="629">
        <f>CI46*SUM(CI4:CL4)</f>
        <v>26341643.534524236</v>
      </c>
      <c r="CJ45" s="629">
        <f>CJ46*SUM(CJ4:CL4,CN4)</f>
        <v>26059368.99652807</v>
      </c>
      <c r="CK45" s="629">
        <f>CK46*SUM(CK4:CL4,CN4:CO4)</f>
        <v>26649196.389355883</v>
      </c>
      <c r="CL45" s="629">
        <f>CL46*SUM(CL4,CN4:CP4)</f>
        <v>27260089.046213262</v>
      </c>
      <c r="CM45" s="628">
        <f>CL45</f>
        <v>27260089.046213262</v>
      </c>
      <c r="CN45" s="629">
        <f>CN46*SUM(CN4:CQ4)</f>
        <v>26493313.435537104</v>
      </c>
      <c r="CO45" s="629">
        <f>CO46*SUM(CO4:CQ4,CS4)</f>
        <v>26199305.287773851</v>
      </c>
      <c r="CP45" s="629">
        <f>CP46*SUM(CP4:CQ4,CS4:CT4)</f>
        <v>26811895.848351195</v>
      </c>
      <c r="CQ45" s="629">
        <f>CQ46*SUM(CQ4,CS4:CU4)</f>
        <v>27446117.64086476</v>
      </c>
      <c r="CR45" s="628">
        <f>CQ45</f>
        <v>27446117.64086476</v>
      </c>
      <c r="CS45" s="629">
        <f>CS46*SUM(CS4:CV4)</f>
        <v>26649058.305477899</v>
      </c>
      <c r="CT45" s="629">
        <f>CT46*SUM(CT4:CV4,CX4)</f>
        <v>26343438.335839249</v>
      </c>
      <c r="CU45" s="629">
        <f>CU46*SUM(CU4:CV4,CX4:CY4)</f>
        <v>26980223.098264698</v>
      </c>
      <c r="CV45" s="629">
        <f>CV46*SUM(CV4,CX4:CZ4)</f>
        <v>27639493.415930331</v>
      </c>
      <c r="CW45" s="628">
        <f>CV45</f>
        <v>27639493.415930331</v>
      </c>
      <c r="CX45" s="629">
        <f>CX46*SUM(CX4:DA4)</f>
        <v>26810954.303207211</v>
      </c>
      <c r="CY45" s="629">
        <f>CY46*SUM(CY4:DA4,DC4)</f>
        <v>25508964.268928025</v>
      </c>
      <c r="CZ45" s="629">
        <f>CZ46*SUM(CZ4:DA4,DC4:DD4)</f>
        <v>24325336.965037856</v>
      </c>
      <c r="DA45" s="629">
        <f>DA46*SUM(DA4,DC4:DE4)</f>
        <v>22549896.0092026</v>
      </c>
      <c r="DB45" s="628">
        <f>DA45</f>
        <v>22549896.0092026</v>
      </c>
    </row>
    <row r="46" spans="1:106" ht="11.25" customHeight="1" x14ac:dyDescent="0.35">
      <c r="A46" s="75" t="s">
        <v>262</v>
      </c>
      <c r="B46" s="144" t="e">
        <f t="shared" ref="B46" si="438">B45/SUM(E4,B4:D4)</f>
        <v>#DIV/0!</v>
      </c>
      <c r="C46" s="144" t="e">
        <f t="shared" ref="C46" si="439">C45/SUM(G4,C4:E4)</f>
        <v>#DIV/0!</v>
      </c>
      <c r="D46" s="144" t="e">
        <f t="shared" ref="D46" si="440">D45/SUM(G4:H4,D4:E4)</f>
        <v>#DIV/0!</v>
      </c>
      <c r="E46" s="144" t="e">
        <f t="shared" ref="E46" si="441">E45/SUM(E4,G4:I4)</f>
        <v>#DIV/0!</v>
      </c>
      <c r="F46" s="145" t="e">
        <f t="shared" ref="F46" si="442">F45/K4</f>
        <v>#DIV/0!</v>
      </c>
      <c r="G46" s="144" t="e">
        <f t="shared" ref="G46" si="443">G45/SUM(J4,G4:I4)</f>
        <v>#DIV/0!</v>
      </c>
      <c r="H46" s="144" t="e">
        <f t="shared" ref="H46" si="444">H45/SUM(L4,H4:J4)</f>
        <v>#DIV/0!</v>
      </c>
      <c r="I46" s="144" t="e">
        <f t="shared" ref="I46" si="445">I45/SUM(L4:M4,I4:J4)</f>
        <v>#DIV/0!</v>
      </c>
      <c r="J46" s="144" t="e">
        <f t="shared" ref="J46" si="446">J45/SUM(J4,L4:N4)</f>
        <v>#DIV/0!</v>
      </c>
      <c r="K46" s="145" t="e">
        <f t="shared" ref="K46" si="447">K45/P4</f>
        <v>#DIV/0!</v>
      </c>
      <c r="L46" s="144" t="e">
        <f t="shared" ref="L46" si="448">L45/SUM(O4,L4:N4)</f>
        <v>#DIV/0!</v>
      </c>
      <c r="M46" s="144" t="e">
        <f t="shared" ref="M46" si="449">M45/SUM(Q4,M4:O4)</f>
        <v>#DIV/0!</v>
      </c>
      <c r="N46" s="144" t="e">
        <f t="shared" ref="N46" si="450">N45/SUM(Q4:R4,N4:O4)</f>
        <v>#DIV/0!</v>
      </c>
      <c r="O46" s="144" t="e">
        <f t="shared" ref="O46" si="451">O45/SUM(O4,Q4:S4)</f>
        <v>#DIV/0!</v>
      </c>
      <c r="P46" s="145" t="e">
        <f t="shared" ref="P46" si="452">P45/U4</f>
        <v>#DIV/0!</v>
      </c>
      <c r="Q46" s="144" t="e">
        <f t="shared" ref="Q46" si="453">Q45/SUM(T4,Q4:S4)</f>
        <v>#DIV/0!</v>
      </c>
      <c r="R46" s="144" t="e">
        <f t="shared" ref="R46" si="454">R45/SUM(V4,R4:T4)</f>
        <v>#DIV/0!</v>
      </c>
      <c r="S46" s="144" t="e">
        <f t="shared" ref="S46" si="455">S45/SUM(V4:W4,S4:T4)</f>
        <v>#DIV/0!</v>
      </c>
      <c r="T46" s="144" t="e">
        <f t="shared" ref="T46" si="456">T45/SUM(T4,V4:X4)</f>
        <v>#DIV/0!</v>
      </c>
      <c r="U46" s="145" t="e">
        <f t="shared" ref="U46" si="457">U45/Z4</f>
        <v>#DIV/0!</v>
      </c>
      <c r="V46" s="144" t="e">
        <f t="shared" ref="V46" si="458">V45/SUM(Y4,V4:X4)</f>
        <v>#DIV/0!</v>
      </c>
      <c r="W46" s="144" t="e">
        <f t="shared" ref="W46" si="459">W45/SUM(AA4,W4:Y4)</f>
        <v>#DIV/0!</v>
      </c>
      <c r="X46" s="144" t="e">
        <f t="shared" ref="X46" si="460">X45/SUM(AA4:AB4,X4:Y4)</f>
        <v>#DIV/0!</v>
      </c>
      <c r="Y46" s="144" t="e">
        <f t="shared" ref="Y46" si="461">Y45/SUM(Y4,AA4:AC4)</f>
        <v>#DIV/0!</v>
      </c>
      <c r="Z46" s="145" t="e">
        <f t="shared" ref="Z46" si="462">Z45/AE4</f>
        <v>#DIV/0!</v>
      </c>
      <c r="AA46" s="144" t="e">
        <f t="shared" ref="AA46" si="463">AA45/SUM(AD4,AA4:AC4)</f>
        <v>#DIV/0!</v>
      </c>
      <c r="AB46" s="144" t="e">
        <f t="shared" ref="AB46" si="464">AB45/SUM(AF4,AB4:AD4)</f>
        <v>#DIV/0!</v>
      </c>
      <c r="AC46" s="144" t="e">
        <f t="shared" ref="AC46" si="465">AC45/SUM(AF4:AG4,AC4:AD4)</f>
        <v>#DIV/0!</v>
      </c>
      <c r="AD46" s="144" t="e">
        <f t="shared" ref="AD46" si="466">AD45/SUM(AD4,AF4:AH4)</f>
        <v>#DIV/0!</v>
      </c>
      <c r="AE46" s="145" t="e">
        <f t="shared" ref="AE46" si="467">AE45/AJ4</f>
        <v>#DIV/0!</v>
      </c>
      <c r="AF46" s="144" t="e">
        <f>AF45/SUM(AI4,AF4:AH4)</f>
        <v>#DIV/0!</v>
      </c>
      <c r="AG46" s="144">
        <f>AG45/SUM(AK4,AG4:AI4)</f>
        <v>0</v>
      </c>
      <c r="AH46" s="144">
        <f>AH45/SUM(AK4:AL4,AH4:AI4)</f>
        <v>0</v>
      </c>
      <c r="AI46" s="144">
        <f>AI45/SUM(AI4,AK4:AM4)</f>
        <v>0</v>
      </c>
      <c r="AJ46" s="145">
        <f>AJ45/AO4</f>
        <v>0</v>
      </c>
      <c r="AK46" s="144">
        <f>AK45/SUM(AN4,AK4:AM4)</f>
        <v>0</v>
      </c>
      <c r="AL46" s="144">
        <f>AL45/SUM(AP4,AL4:AN4)</f>
        <v>0</v>
      </c>
      <c r="AM46" s="144">
        <f>AM45/SUM(AP4:AQ4,AM4:AN4)</f>
        <v>0</v>
      </c>
      <c r="AN46" s="144">
        <f>AN45/SUM(AN4,AP4:AR4)</f>
        <v>0</v>
      </c>
      <c r="AO46" s="145">
        <f>AO45/AT4</f>
        <v>0</v>
      </c>
      <c r="AP46" s="144">
        <f>AP45/SUM(AS4,AP4:AR4)</f>
        <v>0</v>
      </c>
      <c r="AQ46" s="144">
        <f>AQ45/SUM(AU4,AQ4:AS4)</f>
        <v>0</v>
      </c>
      <c r="AR46" s="144">
        <f>AR45/SUM(AU4:AV4,AR4:AS4)</f>
        <v>0</v>
      </c>
      <c r="AS46" s="144">
        <f>AS45/SUM(AS4,AU4:AW4)</f>
        <v>0</v>
      </c>
      <c r="AT46" s="145">
        <f>AT45/AY4</f>
        <v>0</v>
      </c>
      <c r="AU46" s="144">
        <f>AU45/SUM(AX4,AU4:AW4)</f>
        <v>0</v>
      </c>
      <c r="AV46" s="144">
        <f>AV45/SUM(AZ4,AV4:AX4)</f>
        <v>0</v>
      </c>
      <c r="AW46" s="144">
        <f>AW45/SUM(AZ4:BA4,AW4:AX4)</f>
        <v>3.8158525781121972</v>
      </c>
      <c r="AX46" s="144">
        <f>AX45/SUM(AX4,AZ4:BB4)</f>
        <v>4.6307643315295444</v>
      </c>
      <c r="AY46" s="145">
        <f>AY45/BD4</f>
        <v>3.7422621161526908</v>
      </c>
      <c r="AZ46" s="144">
        <f>AZ45/SUM(BC4,AZ4:BB4)</f>
        <v>4.8475469555227972</v>
      </c>
      <c r="BA46" s="144">
        <f>BA45/SUM(BE4,BA4:BC4)</f>
        <v>4.0254611955818458</v>
      </c>
      <c r="BB46" s="144">
        <f>BB45/SUM(BE4:BF4,BB4:BC4)</f>
        <v>3.7592393281589334</v>
      </c>
      <c r="BC46" s="144">
        <f>BC45/SUM(BC4,BE4:BG4)</f>
        <v>3.9419818147934871</v>
      </c>
      <c r="BD46" s="145">
        <f>BD45/BI4</f>
        <v>3.7815465614545167</v>
      </c>
      <c r="BE46" s="144">
        <f>BE45/SUM(BH4,BE4:BG4)</f>
        <v>3.5784451017675485</v>
      </c>
      <c r="BF46" s="144">
        <f>BF45/SUM(BJ4,BF4:BH4)</f>
        <v>3.5051004493228106</v>
      </c>
      <c r="BG46" s="144">
        <f>BG45/SUM(BJ4:BK4,BG4:BH4)</f>
        <v>3.4241502665946952</v>
      </c>
      <c r="BH46" s="144">
        <f>BH45/SUM(BH4,BJ4:BL4)</f>
        <v>2.7628789342661104</v>
      </c>
      <c r="BI46" s="145">
        <f>BI45/BN4</f>
        <v>2.9563204930769871</v>
      </c>
      <c r="BJ46" s="144">
        <f>BJ45/SUM(BM4,BJ4:BL4)</f>
        <v>3.004343881625843</v>
      </c>
      <c r="BK46" s="144">
        <f>BK45/SUM(BO4,BK4:BM4)</f>
        <v>2.4413361831096618</v>
      </c>
      <c r="BL46" s="144">
        <f>BL45/SUM(BO4:BP4,BL4:BM4)</f>
        <v>2.5467394420881884</v>
      </c>
      <c r="BM46" s="144">
        <f>BM45/SUM(BM4,BO4:BQ4)</f>
        <v>2.4486431288219146</v>
      </c>
      <c r="BN46" s="145">
        <f>BN45/BS4</f>
        <v>2.2829798972278601</v>
      </c>
      <c r="BO46" s="144">
        <f>BO45/SUM(BR4,BO4:BQ4)</f>
        <v>2.2305385130960147</v>
      </c>
      <c r="BP46" s="144">
        <f>BP45/SUM(BT4,BP4:BR4)</f>
        <v>2.075858048806138</v>
      </c>
      <c r="BQ46" s="144">
        <f>BQ45/SUM(BT4:BU4,BQ4:BR4)</f>
        <v>2.1870649856833029</v>
      </c>
      <c r="BR46" s="144">
        <f>BR45/SUM(BR4,BT4:BV4)</f>
        <v>2.4034556807878809</v>
      </c>
      <c r="BS46" s="145">
        <f>BS45/BX4</f>
        <v>2.2050183581036094</v>
      </c>
      <c r="BT46" s="144">
        <f>BT45/SUM(BW4,BT4:BV4)</f>
        <v>2.3766603374101085</v>
      </c>
      <c r="BU46" s="144">
        <f>BU45/SUM(BY4,BU4:BW4)</f>
        <v>2.3514126919046014</v>
      </c>
      <c r="BV46" s="144">
        <f>BV45/SUM(BY4:BZ4,BV4:BW4)</f>
        <v>2.4490488427168708</v>
      </c>
      <c r="BW46" s="144">
        <f>BW45/SUM(BW4,BY4:CA4)</f>
        <v>2.3969415402359706</v>
      </c>
      <c r="BX46" s="145">
        <f>BX45/CC4</f>
        <v>2.4288644234734367</v>
      </c>
      <c r="BY46" s="144">
        <f>BY45/SUM(CB4,BY4:CA4)</f>
        <v>2.3905942755818015</v>
      </c>
      <c r="BZ46" s="144">
        <f>BZ45/SUM(CD4,BZ4:CB4)</f>
        <v>2.5913617313578738</v>
      </c>
      <c r="CA46" s="144">
        <f>CA45/SUM(CE4,CA4:CC4)</f>
        <v>1.6894307294620736</v>
      </c>
      <c r="CB46" s="144">
        <f>CB45/SUM(CB4,CD4:CF4)</f>
        <v>2.9043210837413196</v>
      </c>
      <c r="CC46" s="145">
        <f>CC45/CH4</f>
        <v>2.6904777902581989</v>
      </c>
      <c r="CD46" s="144">
        <f>CD45/SUM(CG4,CD4:CF4)</f>
        <v>2.7214101013773422</v>
      </c>
      <c r="CE46" s="144">
        <f>CE45/SUM(CI4,CE4:CG4)</f>
        <v>2.6403436233981843</v>
      </c>
      <c r="CF46" s="144">
        <f>((CE45-CF4)/SUM(CF4:CG4,CI4:CJ4))+0.25</f>
        <v>2.5008341795696021</v>
      </c>
      <c r="CG46" s="144">
        <f>((CF45-CG4)/SUM(CG4,CI4:CK4))+0.25</f>
        <v>2.606260256975073</v>
      </c>
      <c r="CH46" s="145">
        <f>CH45/CM4</f>
        <v>2.5709554589540606</v>
      </c>
      <c r="CI46" s="144">
        <f>((CG45-CI4)/SUM(CI4:CK4,CL4))+0.25</f>
        <v>2.5009554589540608</v>
      </c>
      <c r="CJ46" s="144">
        <f>((CI45-CJ4)/SUM(CJ4:CL4,CN4))+0.25</f>
        <v>2.4428865116055096</v>
      </c>
      <c r="CK46" s="144">
        <f>((CJ45-CK4)/SUM(CK4:CL4,CN4:CO4))+0.25</f>
        <v>2.4708549403848243</v>
      </c>
      <c r="CL46" s="144">
        <f>((CK45-CL4)/SUM(CL4,CN4:CP4))+0.25</f>
        <v>2.507902576505872</v>
      </c>
      <c r="CM46" s="145">
        <f>CM45/CR4</f>
        <v>2.4886110182250571</v>
      </c>
      <c r="CN46" s="144">
        <f>((CL45-CN4)/SUM(CN4:CP4,CQ4))+0.25</f>
        <v>2.4186110182250569</v>
      </c>
      <c r="CO46" s="144">
        <f>((CN45-CO4)/SUM(CO4:CQ4,CS4))+0.25</f>
        <v>2.3619197998032555</v>
      </c>
      <c r="CP46" s="144">
        <f>((CO45-CP4)/SUM(CP4:CQ4,CS4:CT4))+0.25</f>
        <v>2.3910346428840512</v>
      </c>
      <c r="CQ46" s="144">
        <f>((CP45-CQ4)/SUM(CQ4,CS4:CU4))+0.25</f>
        <v>2.4288520139742737</v>
      </c>
      <c r="CR46" s="145">
        <f>CR45/CW4</f>
        <v>2.4103954995120107</v>
      </c>
      <c r="CS46" s="144">
        <f>((CQ45-CS4)/SUM(CS4:CU4,CV4))+0.25</f>
        <v>2.3403954995120109</v>
      </c>
      <c r="CT46" s="144">
        <f>((CS45-CT4)/SUM(CT4:CV4,CX4))+0.25</f>
        <v>2.2846804602439468</v>
      </c>
      <c r="CU46" s="144">
        <f>((CT45-CU4)/SUM(CU4:CV4,CX4:CY4))+0.25</f>
        <v>2.3146296877280061</v>
      </c>
      <c r="CV46" s="144">
        <f>((CU45-CV4)/SUM(CV4,CX4:CZ4))+0.25</f>
        <v>2.3530320952407218</v>
      </c>
      <c r="CW46" s="145">
        <f>CW45/DB4</f>
        <v>2.3351517259773349</v>
      </c>
      <c r="CX46" s="144">
        <f>((CV45-CX4)/SUM(CX4:CZ4,DA4))+0.25</f>
        <v>2.2651517259773351</v>
      </c>
      <c r="CY46" s="144">
        <f>((CX45-CY4)/SUM(CY4:DA4,DC4))+0.25</f>
        <v>3.1693407734960815</v>
      </c>
      <c r="CZ46" s="144">
        <f>((CY45-CZ4)/SUM(CZ4:DA4,DC4:DD4))+0.25</f>
        <v>5.1378793149433388</v>
      </c>
      <c r="DA46" s="144">
        <f>((CZ45-DA4)/SUM(DA4,DC4:DE4))+0.25</f>
        <v>9.5257586298866777</v>
      </c>
      <c r="DB46" s="145" t="e">
        <f>DB45/DG4</f>
        <v>#DIV/0!</v>
      </c>
    </row>
    <row r="47" spans="1:106" ht="11.25" customHeight="1" x14ac:dyDescent="0.35">
      <c r="B47" s="52"/>
      <c r="C47" s="52"/>
      <c r="D47" s="52"/>
      <c r="E47" s="52"/>
      <c r="F47" s="53"/>
      <c r="G47" s="52"/>
      <c r="H47" s="52"/>
      <c r="I47" s="52"/>
      <c r="J47" s="52"/>
      <c r="K47" s="53"/>
      <c r="L47" s="52"/>
      <c r="M47" s="52"/>
      <c r="N47" s="52"/>
      <c r="O47" s="52"/>
      <c r="P47" s="53"/>
      <c r="Q47" s="52"/>
      <c r="R47" s="52"/>
      <c r="S47" s="52"/>
      <c r="T47" s="52"/>
      <c r="U47" s="53"/>
      <c r="V47" s="52"/>
      <c r="W47" s="52"/>
      <c r="X47" s="52"/>
      <c r="Y47" s="52"/>
      <c r="Z47" s="53"/>
      <c r="AA47" s="52"/>
      <c r="AB47" s="52"/>
      <c r="AC47" s="52"/>
      <c r="AD47" s="52"/>
      <c r="AE47" s="53"/>
      <c r="AF47" s="52"/>
      <c r="AG47" s="52"/>
      <c r="AH47" s="52"/>
      <c r="AI47" s="52"/>
      <c r="AJ47" s="53"/>
      <c r="AK47" s="52"/>
      <c r="AL47" s="52"/>
      <c r="AM47" s="52"/>
      <c r="AN47" s="52"/>
      <c r="AO47" s="53"/>
      <c r="AP47" s="52"/>
      <c r="AQ47" s="52"/>
      <c r="AR47" s="52"/>
      <c r="AS47" s="52"/>
      <c r="AT47" s="53"/>
      <c r="AU47" s="52"/>
      <c r="AV47" s="52"/>
      <c r="AW47" s="52"/>
      <c r="AX47" s="52"/>
      <c r="AY47" s="53"/>
      <c r="AZ47" s="52"/>
      <c r="BA47" s="52"/>
      <c r="BB47" s="52"/>
      <c r="BC47" s="52"/>
      <c r="BD47" s="53"/>
      <c r="BE47" s="52"/>
      <c r="BF47" s="52"/>
      <c r="BG47" s="52"/>
      <c r="BH47" s="52"/>
      <c r="BI47" s="53"/>
      <c r="BJ47" s="52"/>
      <c r="BK47" s="52"/>
      <c r="BL47" s="52"/>
      <c r="BM47" s="52"/>
      <c r="BN47" s="53"/>
      <c r="BO47" s="52"/>
      <c r="BP47" s="52"/>
      <c r="BQ47" s="52"/>
      <c r="BR47" s="52"/>
      <c r="BS47" s="53"/>
      <c r="BT47" s="52"/>
      <c r="BU47" s="52"/>
      <c r="BV47" s="52"/>
      <c r="BW47" s="52"/>
      <c r="BX47" s="53"/>
      <c r="BY47" s="52"/>
      <c r="BZ47" s="52"/>
      <c r="CA47" s="351"/>
      <c r="CB47" s="52"/>
      <c r="CC47" s="53"/>
      <c r="CD47" s="52"/>
      <c r="CE47" s="52"/>
      <c r="CF47" s="52"/>
      <c r="CG47" s="52"/>
      <c r="CH47" s="53"/>
      <c r="CI47" s="52"/>
      <c r="CJ47" s="52"/>
      <c r="CK47" s="52"/>
      <c r="CL47" s="52"/>
      <c r="CM47" s="53"/>
      <c r="CN47" s="52"/>
      <c r="CO47" s="52"/>
      <c r="CP47" s="52"/>
      <c r="CQ47" s="52"/>
      <c r="CR47" s="53"/>
      <c r="CS47" s="52"/>
      <c r="CT47" s="52"/>
      <c r="CU47" s="52"/>
      <c r="CV47" s="52"/>
      <c r="CW47" s="53"/>
      <c r="CX47" s="52"/>
      <c r="CY47" s="52"/>
      <c r="CZ47" s="52"/>
      <c r="DA47" s="52"/>
      <c r="DB47" s="53"/>
    </row>
    <row r="48" spans="1:106" s="15" customFormat="1" ht="11.25" customHeight="1" thickBot="1" x14ac:dyDescent="0.4">
      <c r="A48" s="119" t="s">
        <v>39</v>
      </c>
      <c r="B48" s="120" t="str">
        <f>Macro!B$3</f>
        <v>1Q10</v>
      </c>
      <c r="C48" s="120" t="str">
        <f>Macro!C$3</f>
        <v>2Q10</v>
      </c>
      <c r="D48" s="120" t="str">
        <f>Macro!D$3</f>
        <v>3Q10</v>
      </c>
      <c r="E48" s="120" t="str">
        <f>Macro!E$3</f>
        <v>4Q10</v>
      </c>
      <c r="F48" s="121" t="str">
        <f>Macro!F$3</f>
        <v>2010</v>
      </c>
      <c r="G48" s="120" t="str">
        <f>Macro!G$3</f>
        <v>1Q11</v>
      </c>
      <c r="H48" s="120" t="str">
        <f>Macro!H$3</f>
        <v>2Q11</v>
      </c>
      <c r="I48" s="120" t="str">
        <f>Macro!I$3</f>
        <v>3Q11</v>
      </c>
      <c r="J48" s="120" t="str">
        <f>Macro!J$3</f>
        <v>4Q11</v>
      </c>
      <c r="K48" s="121" t="str">
        <f>Macro!K$3</f>
        <v>2011</v>
      </c>
      <c r="L48" s="120" t="str">
        <f>Macro!L$3</f>
        <v>1Q12</v>
      </c>
      <c r="M48" s="120" t="str">
        <f>Macro!M$3</f>
        <v>2Q12</v>
      </c>
      <c r="N48" s="120" t="str">
        <f>Macro!N$3</f>
        <v>3Q12</v>
      </c>
      <c r="O48" s="120" t="str">
        <f>Macro!O$3</f>
        <v>4Q12</v>
      </c>
      <c r="P48" s="121" t="str">
        <f>Macro!P$3</f>
        <v>2012</v>
      </c>
      <c r="Q48" s="120" t="str">
        <f>Macro!Q$3</f>
        <v>1Q13</v>
      </c>
      <c r="R48" s="120" t="str">
        <f>Macro!R$3</f>
        <v>2Q13</v>
      </c>
      <c r="S48" s="120" t="str">
        <f>Macro!S$3</f>
        <v>3Q13</v>
      </c>
      <c r="T48" s="120" t="str">
        <f>Macro!T$3</f>
        <v>4Q13</v>
      </c>
      <c r="U48" s="121" t="str">
        <f>Macro!U$3</f>
        <v>2013</v>
      </c>
      <c r="V48" s="120" t="str">
        <f>Macro!V$3</f>
        <v>1Q14</v>
      </c>
      <c r="W48" s="120" t="str">
        <f>Macro!W$3</f>
        <v>2Q14</v>
      </c>
      <c r="X48" s="120" t="str">
        <f>Macro!X$3</f>
        <v>3Q14</v>
      </c>
      <c r="Y48" s="120" t="str">
        <f>Macro!Y$3</f>
        <v>4Q14</v>
      </c>
      <c r="Z48" s="121" t="str">
        <f>Macro!Z$3</f>
        <v>2014</v>
      </c>
      <c r="AA48" s="120" t="str">
        <f>Macro!AA$3</f>
        <v>1Q15</v>
      </c>
      <c r="AB48" s="120" t="str">
        <f>Macro!AB$3</f>
        <v>2Q15</v>
      </c>
      <c r="AC48" s="120" t="str">
        <f>Macro!AC$3</f>
        <v>3Q15</v>
      </c>
      <c r="AD48" s="120" t="str">
        <f>Macro!AD$3</f>
        <v>4Q15</v>
      </c>
      <c r="AE48" s="121" t="str">
        <f>Macro!AE$3</f>
        <v>2015</v>
      </c>
      <c r="AF48" s="120" t="str">
        <f>Macro!AF$3</f>
        <v>1Q16</v>
      </c>
      <c r="AG48" s="120" t="str">
        <f>Macro!AG$3</f>
        <v>2Q16</v>
      </c>
      <c r="AH48" s="120" t="str">
        <f>Macro!AH$3</f>
        <v>3Q16</v>
      </c>
      <c r="AI48" s="120" t="str">
        <f>Macro!AI$3</f>
        <v>4Q16</v>
      </c>
      <c r="AJ48" s="121" t="str">
        <f>Macro!AJ$3</f>
        <v>2016</v>
      </c>
      <c r="AK48" s="120" t="str">
        <f>Macro!AK$3</f>
        <v>1Q17</v>
      </c>
      <c r="AL48" s="120" t="str">
        <f>Macro!AL$3</f>
        <v>2Q17</v>
      </c>
      <c r="AM48" s="120" t="str">
        <f>Macro!AM$3</f>
        <v>3Q17</v>
      </c>
      <c r="AN48" s="120" t="str">
        <f>Macro!AN$3</f>
        <v>4Q17</v>
      </c>
      <c r="AO48" s="121" t="str">
        <f>Macro!AO$3</f>
        <v>2017</v>
      </c>
      <c r="AP48" s="120" t="str">
        <f>Macro!AP$3</f>
        <v>1Q18</v>
      </c>
      <c r="AQ48" s="120" t="str">
        <f>Macro!AQ$3</f>
        <v>2Q18</v>
      </c>
      <c r="AR48" s="120" t="str">
        <f>Macro!AR$3</f>
        <v>3Q18</v>
      </c>
      <c r="AS48" s="120" t="str">
        <f>Macro!AS$3</f>
        <v>4Q18</v>
      </c>
      <c r="AT48" s="121" t="str">
        <f>Macro!AT$3</f>
        <v>2018</v>
      </c>
      <c r="AU48" s="120" t="str">
        <f>Macro!AU$3</f>
        <v>1Q19</v>
      </c>
      <c r="AV48" s="120" t="str">
        <f>Macro!AV$3</f>
        <v>2Q19</v>
      </c>
      <c r="AW48" s="120" t="str">
        <f>Macro!AW$3</f>
        <v>3Q19</v>
      </c>
      <c r="AX48" s="120" t="str">
        <f>Macro!AX$3</f>
        <v>4Q19</v>
      </c>
      <c r="AY48" s="121" t="str">
        <f>Macro!AY$3</f>
        <v>2019</v>
      </c>
      <c r="AZ48" s="120" t="str">
        <f>Macro!AZ$3</f>
        <v>1Q20</v>
      </c>
      <c r="BA48" s="120" t="str">
        <f>Macro!BA$3</f>
        <v>2Q20</v>
      </c>
      <c r="BB48" s="120" t="str">
        <f>Macro!BB$3</f>
        <v>3Q20</v>
      </c>
      <c r="BC48" s="120" t="str">
        <f>Macro!BC$3</f>
        <v>4Q20</v>
      </c>
      <c r="BD48" s="121" t="str">
        <f>Macro!BD$3</f>
        <v>2020</v>
      </c>
      <c r="BE48" s="120" t="str">
        <f>Macro!BE$3</f>
        <v>1Q21</v>
      </c>
      <c r="BF48" s="120" t="str">
        <f>Macro!BF$3</f>
        <v>2Q21</v>
      </c>
      <c r="BG48" s="120" t="str">
        <f>Macro!BG$3</f>
        <v>3Q21</v>
      </c>
      <c r="BH48" s="120" t="str">
        <f>Macro!BH$3</f>
        <v>4Q21</v>
      </c>
      <c r="BI48" s="121" t="str">
        <f>Macro!BI$3</f>
        <v>2021</v>
      </c>
      <c r="BJ48" s="120" t="str">
        <f>Macro!BJ$3</f>
        <v>1Q22</v>
      </c>
      <c r="BK48" s="120" t="str">
        <f>Macro!BK$3</f>
        <v>2Q22</v>
      </c>
      <c r="BL48" s="120" t="str">
        <f>Macro!BL$3</f>
        <v>3Q22</v>
      </c>
      <c r="BM48" s="120" t="str">
        <f>Macro!BM$3</f>
        <v>4Q22</v>
      </c>
      <c r="BN48" s="121" t="str">
        <f>Macro!BN$3</f>
        <v>2022</v>
      </c>
      <c r="BO48" s="120" t="str">
        <f>Macro!BO$3</f>
        <v>1Q23</v>
      </c>
      <c r="BP48" s="120" t="str">
        <f>Macro!BP$3</f>
        <v>2Q23</v>
      </c>
      <c r="BQ48" s="120" t="str">
        <f>Macro!BQ$3</f>
        <v>3Q23</v>
      </c>
      <c r="BR48" s="120" t="str">
        <f>Macro!BR$3</f>
        <v>4Q23</v>
      </c>
      <c r="BS48" s="121" t="str">
        <f>Macro!BS$3</f>
        <v>2023</v>
      </c>
      <c r="BT48" s="120" t="str">
        <f>Macro!BT$3</f>
        <v>1Q24</v>
      </c>
      <c r="BU48" s="120" t="str">
        <f>Macro!BU$3</f>
        <v>2Q24</v>
      </c>
      <c r="BV48" s="120" t="str">
        <f>Macro!BV$3</f>
        <v>3Q24</v>
      </c>
      <c r="BW48" s="120" t="str">
        <f>Macro!BW$3</f>
        <v>4Q24</v>
      </c>
      <c r="BX48" s="121" t="str">
        <f>Macro!BX$3</f>
        <v>2024</v>
      </c>
      <c r="BY48" s="120" t="str">
        <f>Macro!BY$3</f>
        <v>1Q25</v>
      </c>
      <c r="BZ48" s="120" t="str">
        <f>Macro!BZ$3</f>
        <v>2Q25</v>
      </c>
      <c r="CA48" s="120" t="str">
        <f>Macro!CA$3</f>
        <v>3Q25</v>
      </c>
      <c r="CB48" s="120" t="str">
        <f>Macro!CB$3</f>
        <v>4Q25</v>
      </c>
      <c r="CC48" s="121" t="str">
        <f>Macro!CC$3</f>
        <v>2025</v>
      </c>
      <c r="CD48" s="120" t="str">
        <f>Macro!CD$3</f>
        <v>1Q26</v>
      </c>
      <c r="CE48" s="120" t="str">
        <f>Macro!CE$3</f>
        <v>2Q26E</v>
      </c>
      <c r="CF48" s="120" t="str">
        <f>Macro!CF$3</f>
        <v>3Q26E</v>
      </c>
      <c r="CG48" s="120" t="str">
        <f>Macro!CG$3</f>
        <v>4Q26E</v>
      </c>
      <c r="CH48" s="121" t="str">
        <f>Macro!CH$3</f>
        <v>2026E</v>
      </c>
      <c r="CI48" s="120" t="str">
        <f>Macro!CI$3</f>
        <v>1Q27E</v>
      </c>
      <c r="CJ48" s="120" t="str">
        <f>Macro!CJ$3</f>
        <v>2Q27E</v>
      </c>
      <c r="CK48" s="120" t="str">
        <f>Macro!CK$3</f>
        <v>3Q27E</v>
      </c>
      <c r="CL48" s="120" t="str">
        <f>Macro!CL$3</f>
        <v>4Q27E</v>
      </c>
      <c r="CM48" s="121" t="str">
        <f>Macro!CM$3</f>
        <v>2027E</v>
      </c>
      <c r="CN48" s="120" t="str">
        <f>Macro!CN$3</f>
        <v>1Q28E</v>
      </c>
      <c r="CO48" s="120" t="str">
        <f>Macro!CO$3</f>
        <v>2Q28E</v>
      </c>
      <c r="CP48" s="120" t="str">
        <f>Macro!CP$3</f>
        <v>3Q28E</v>
      </c>
      <c r="CQ48" s="120" t="str">
        <f>Macro!CQ$3</f>
        <v>4Q28E</v>
      </c>
      <c r="CR48" s="121" t="str">
        <f>Macro!CR$3</f>
        <v>2028E</v>
      </c>
      <c r="CS48" s="120" t="str">
        <f>Macro!CS$3</f>
        <v>1Q29E</v>
      </c>
      <c r="CT48" s="120" t="str">
        <f>Macro!CT$3</f>
        <v>2Q29E</v>
      </c>
      <c r="CU48" s="120" t="str">
        <f>Macro!CU$3</f>
        <v>3Q29E</v>
      </c>
      <c r="CV48" s="120" t="str">
        <f>Macro!CV$3</f>
        <v>4Q29E</v>
      </c>
      <c r="CW48" s="121" t="str">
        <f>Macro!CW$3</f>
        <v>2029E</v>
      </c>
      <c r="CX48" s="120" t="str">
        <f>Macro!CX$3</f>
        <v>1Q30E</v>
      </c>
      <c r="CY48" s="120" t="str">
        <f>Macro!CY$3</f>
        <v>2Q30E</v>
      </c>
      <c r="CZ48" s="120" t="str">
        <f>Macro!CZ$3</f>
        <v>3Q30E</v>
      </c>
      <c r="DA48" s="120" t="str">
        <f>Macro!DA$3</f>
        <v>4Q30E</v>
      </c>
      <c r="DB48" s="121" t="str">
        <f>Macro!DB$3</f>
        <v>2030E</v>
      </c>
    </row>
    <row r="49" spans="1:106" ht="11.25" customHeight="1" thickTop="1" x14ac:dyDescent="0.35">
      <c r="A49" s="122" t="s">
        <v>314</v>
      </c>
      <c r="B49" s="629"/>
      <c r="C49" s="629"/>
      <c r="D49" s="629"/>
      <c r="E49" s="629"/>
      <c r="F49" s="630">
        <f t="shared" ref="F49:F50" si="468">SUM(B49:E49)</f>
        <v>0</v>
      </c>
      <c r="G49" s="629"/>
      <c r="H49" s="629"/>
      <c r="I49" s="629"/>
      <c r="J49" s="629"/>
      <c r="K49" s="630">
        <f t="shared" ref="K49:K50" si="469">SUM(G49:J49)</f>
        <v>0</v>
      </c>
      <c r="L49" s="629"/>
      <c r="M49" s="629"/>
      <c r="N49" s="629"/>
      <c r="O49" s="629"/>
      <c r="P49" s="630">
        <f t="shared" ref="P49:P50" si="470">SUM(L49:O49)</f>
        <v>0</v>
      </c>
      <c r="Q49" s="629"/>
      <c r="R49" s="629"/>
      <c r="S49" s="629"/>
      <c r="T49" s="629"/>
      <c r="U49" s="630">
        <f t="shared" ref="U49:U50" si="471">SUM(Q49:T49)</f>
        <v>0</v>
      </c>
      <c r="V49" s="629"/>
      <c r="W49" s="629"/>
      <c r="X49" s="629"/>
      <c r="Y49" s="629"/>
      <c r="Z49" s="630">
        <f t="shared" ref="Z49:Z50" si="472">SUM(V49:Y49)</f>
        <v>0</v>
      </c>
      <c r="AA49" s="629"/>
      <c r="AB49" s="629"/>
      <c r="AC49" s="629"/>
      <c r="AD49" s="629"/>
      <c r="AE49" s="630">
        <f t="shared" ref="AE49:AE50" si="473">SUM(AA49:AD49)</f>
        <v>0</v>
      </c>
      <c r="AF49" s="629"/>
      <c r="AG49" s="629"/>
      <c r="AH49" s="629"/>
      <c r="AI49" s="629"/>
      <c r="AJ49" s="630">
        <f>SUM(AF49:AI49)</f>
        <v>0</v>
      </c>
      <c r="AK49" s="629">
        <f>AK50*AK13/1000</f>
        <v>114122.62117647059</v>
      </c>
      <c r="AL49" s="629">
        <f t="shared" ref="AL49:AN49" si="474">AL50*AL13/1000</f>
        <v>314854.54945456708</v>
      </c>
      <c r="AM49" s="629">
        <f t="shared" si="474"/>
        <v>661832.85194273922</v>
      </c>
      <c r="AN49" s="629">
        <f t="shared" si="474"/>
        <v>299643.49840663135</v>
      </c>
      <c r="AO49" s="630">
        <f>SUM(AK49:AN49)</f>
        <v>1390453.5209804084</v>
      </c>
      <c r="AP49" s="629">
        <f>AP50*AP13/1000</f>
        <v>444078.89711303724</v>
      </c>
      <c r="AQ49" s="629">
        <f t="shared" ref="AQ49" si="475">AQ50*AQ13/1000</f>
        <v>159655.27704602765</v>
      </c>
      <c r="AR49" s="629">
        <f t="shared" ref="AR49" si="476">AR50*AR13/1000</f>
        <v>299307.81635044247</v>
      </c>
      <c r="AS49" s="629">
        <f t="shared" ref="AS49" si="477">AS50*AS13/1000</f>
        <v>194986.06998001211</v>
      </c>
      <c r="AT49" s="630">
        <f>SUM(AP49:AS49)</f>
        <v>1098028.0604895195</v>
      </c>
      <c r="AU49" s="629">
        <f>AU50*AU13/1000</f>
        <v>459811.81489825278</v>
      </c>
      <c r="AV49" s="629">
        <f t="shared" ref="AV49" si="478">AV50*AV13/1000</f>
        <v>202858.39222322695</v>
      </c>
      <c r="AW49" s="629">
        <f t="shared" ref="AW49" si="479">AW50*AW13/1000</f>
        <v>258291.72829447186</v>
      </c>
      <c r="AX49" s="629">
        <f t="shared" ref="AX49" si="480">AX50*AX13/1000</f>
        <v>254146.50652333527</v>
      </c>
      <c r="AY49" s="630">
        <f>SUM(AU49:AX49)</f>
        <v>1175108.4419392869</v>
      </c>
      <c r="AZ49" s="629">
        <f>AVERAGE(AL8:AN8,AP8)*AZ50/1000</f>
        <v>142992.89110471489</v>
      </c>
      <c r="BA49" s="629">
        <f>AVERAGE(AM8:AN8,AP8:AQ8)*BA50/1000</f>
        <v>247402.87085267808</v>
      </c>
      <c r="BB49" s="629">
        <f>AVERAGE(AN8,AP8:AR8)*BB50/1000</f>
        <v>265214.68477537355</v>
      </c>
      <c r="BC49" s="629">
        <f>AVERAGE(AP8:AS8)*BC50/1000</f>
        <v>502445.47619692906</v>
      </c>
      <c r="BD49" s="630">
        <f>SUM(AZ49:BC49)</f>
        <v>1158055.9229296956</v>
      </c>
      <c r="BE49" s="629">
        <f>AVERAGE(AQ8:AS8,AU8)*BE50/1000</f>
        <v>78471.73000414476</v>
      </c>
      <c r="BF49" s="629">
        <f>AVERAGE(AR8:AS8,AU8:AV8)*BF50/1000</f>
        <v>147424.16519454823</v>
      </c>
      <c r="BG49" s="629">
        <f>AVERAGE(AS8,AU8:AW8)*BG50/1000</f>
        <v>392124.71078661329</v>
      </c>
      <c r="BH49" s="629">
        <f>AVERAGE(AU8:AX8)*BH50/1000</f>
        <v>168538.19083732614</v>
      </c>
      <c r="BI49" s="630">
        <f>SUM(BE49:BH49)</f>
        <v>786558.79682263231</v>
      </c>
      <c r="BJ49" s="629">
        <f t="shared" ref="BJ49" si="481">AVERAGE(AV8:AX8,AZ8)*BJ50/1000</f>
        <v>360225.01921605086</v>
      </c>
      <c r="BK49" s="629">
        <f t="shared" ref="BK49" si="482">AVERAGE(AW8:AX8,AZ8:BA8)*BK50/1000</f>
        <v>178390.31980678326</v>
      </c>
      <c r="BL49" s="629">
        <f t="shared" ref="BL49" si="483">AVERAGE(AX8,AZ8:BB8)*BL50/1000</f>
        <v>165697.10390929683</v>
      </c>
      <c r="BM49" s="629">
        <f t="shared" ref="BM49" si="484">AVERAGE(AZ8:BC8)*BM50/1000</f>
        <v>393175.78046638647</v>
      </c>
      <c r="BN49" s="630">
        <f t="shared" ref="BN49" si="485">SUM(BJ49:BM49)</f>
        <v>1097488.2233985174</v>
      </c>
      <c r="BO49" s="629">
        <f t="shared" ref="BO49" si="486">AVERAGE(BA8:BC8,BE8)*BO50/1000</f>
        <v>486147.0028768538</v>
      </c>
      <c r="BP49" s="629">
        <f t="shared" ref="BP49" si="487">AVERAGE(BB8:BC8,BE8:BF8)*BP50/1000</f>
        <v>566405.02820601908</v>
      </c>
      <c r="BQ49" s="629">
        <f t="shared" ref="BQ49" si="488">AVERAGE(BC8,BE8:BG8)*BQ50/1000</f>
        <v>257219.58004738807</v>
      </c>
      <c r="BR49" s="629">
        <f t="shared" ref="BR49" si="489">AVERAGE(BE8:BH8)*BR50/1000</f>
        <v>703870.85817678447</v>
      </c>
      <c r="BS49" s="630">
        <f t="shared" ref="BS49" si="490">SUM(BO49:BR49)</f>
        <v>2013642.4693070455</v>
      </c>
      <c r="BT49" s="629">
        <f t="shared" ref="BT49" si="491">AVERAGE(BF8:BH8,BJ8)*BT50/1000</f>
        <v>181890.68525051375</v>
      </c>
      <c r="BU49" s="629">
        <f t="shared" ref="BU49" si="492">AVERAGE(BG8:BH8,BJ8:BK8)*BU50/1000</f>
        <v>388512.78336986736</v>
      </c>
      <c r="BV49" s="629">
        <f t="shared" ref="BV49" si="493">AVERAGE(BH8,BJ8:BL8)*BV50/1000</f>
        <v>681676.27190065081</v>
      </c>
      <c r="BW49" s="629">
        <f t="shared" ref="BW49" si="494">AVERAGE(BJ8:BM8)*BW50/1000</f>
        <v>825309.94954233512</v>
      </c>
      <c r="BX49" s="630">
        <f t="shared" ref="BX49" si="495">SUM(BT49:BW49)</f>
        <v>2077389.6900633671</v>
      </c>
      <c r="BY49" s="629">
        <f t="shared" ref="BY49" si="496">AVERAGE(BK8:BM8,BO8)*BY50/1000</f>
        <v>598006.18913445529</v>
      </c>
      <c r="BZ49" s="629">
        <f t="shared" ref="BZ49:CA49" si="497">AVERAGE(BL8:BM8,BO8:BP8)*BZ50/1000</f>
        <v>448161.66629793204</v>
      </c>
      <c r="CA49" s="629">
        <f t="shared" si="497"/>
        <v>1724437.0713825945</v>
      </c>
      <c r="CB49" s="629">
        <f t="shared" ref="CB49" si="498">AVERAGE(BO8:BR8)*CB50/1000</f>
        <v>1381903.0004366445</v>
      </c>
      <c r="CC49" s="630">
        <f>SUM(BY49:CB49)</f>
        <v>4152507.9272516263</v>
      </c>
      <c r="CD49" s="629">
        <f t="shared" ref="CD49" si="499">AVERAGE(BP8:BR8,BT8)*CD50/1000</f>
        <v>550956.78448221553</v>
      </c>
      <c r="CE49" s="629">
        <f t="shared" ref="CE49" si="500">AVERAGE(BQ8:BR8,BT8:BU8)*CE50/1000</f>
        <v>345196.64259499358</v>
      </c>
      <c r="CF49" s="629">
        <f>AVERAGE(BT4:BV4,BO4:BR4,BM4)</f>
        <v>1272093.8641475001</v>
      </c>
      <c r="CG49" s="629">
        <f>AVERAGE(BT4:BW4,BO4:BR4)</f>
        <v>1377553.6025</v>
      </c>
      <c r="CH49" s="630">
        <f>SUM(CD49:CG49)</f>
        <v>3545800.8937247093</v>
      </c>
      <c r="CI49" s="629">
        <f t="shared" ref="CI49" si="501">AVERAGE(BY4,BT4:BW4,BP4:BR4)</f>
        <v>1547994.612125</v>
      </c>
      <c r="CJ49" s="629">
        <f t="shared" ref="CJ49" si="502">AVERAGE(BY4:BZ4,BT4:BW4,BQ4:BR4)</f>
        <v>1673334.6658749999</v>
      </c>
      <c r="CK49" s="629">
        <f t="shared" ref="CK49" si="503">AVERAGE(BY4:CA4,BT4:BW4,BR4)</f>
        <v>1803920.0273750001</v>
      </c>
      <c r="CL49" s="629">
        <f t="shared" ref="CL49" si="504">AVERAGE(BY4:CB4,BT4:BW4)</f>
        <v>1858031.69575</v>
      </c>
      <c r="CM49" s="630">
        <f t="shared" ref="CM49:CM50" si="505">SUM(CI49:CL49)</f>
        <v>6883281.0011250004</v>
      </c>
      <c r="CN49" s="629">
        <f t="shared" ref="CN49" si="506">AVERAGE(CD4,BY4:CB4,BU4:BW4)</f>
        <v>1953339.4445</v>
      </c>
      <c r="CO49" s="629">
        <f t="shared" ref="CO49" si="507">AVERAGE(CD4:CE4,BY4:CB4,BV4:BW4)</f>
        <v>2018616.0763749999</v>
      </c>
      <c r="CP49" s="629">
        <f t="shared" ref="CP49" si="508">AVERAGE(CD4:CF4,BY4:CB4,BW4)</f>
        <v>2109923.7090614205</v>
      </c>
      <c r="CQ49" s="629">
        <f t="shared" ref="CQ49" si="509">AVERAGE(CD4:CG4,BY4:CB4)</f>
        <v>2180425.3049354954</v>
      </c>
      <c r="CR49" s="630">
        <f t="shared" ref="CR49:CR50" si="510">SUM(CN49:CQ49)</f>
        <v>8262304.5348719163</v>
      </c>
      <c r="CS49" s="629">
        <f t="shared" ref="CS49" si="511">AVERAGE(CI4,CD4:CG4,BZ4:CB4)</f>
        <v>2253791.9605267895</v>
      </c>
      <c r="CT49" s="629">
        <f t="shared" ref="CT49" si="512">AVERAGE(CI4:CJ4,CD4:CG4,CA4:CB4)</f>
        <v>2344273.3796691718</v>
      </c>
      <c r="CU49" s="629">
        <f t="shared" ref="CU49" si="513">AVERAGE(CI4:CK4,CD4:CG4,CB4)</f>
        <v>2359289.1800387306</v>
      </c>
      <c r="CV49" s="629">
        <f t="shared" ref="CV49" si="514">AVERAGE(CI4:CL4,CD4:CG4)</f>
        <v>2461417.4804082899</v>
      </c>
      <c r="CW49" s="630">
        <f t="shared" ref="CW49:CW50" si="515">SUM(CS49:CV49)</f>
        <v>9418772.0006429814</v>
      </c>
      <c r="CX49" s="629">
        <f t="shared" ref="CX49" si="516">AVERAGE(CN4,CI4:CL4,CE4:CG4)</f>
        <v>2568724.9722232362</v>
      </c>
      <c r="CY49" s="629">
        <f t="shared" ref="CY49" si="517">AVERAGE(CN4:CO4,CI4:CL4,CF4:CG4)</f>
        <v>2670000.2775613139</v>
      </c>
      <c r="CZ49" s="629">
        <f t="shared" ref="CZ49" si="518">AVERAGE(CN4:CP4,CI4:CL4,CG4)</f>
        <v>2657453.9522592346</v>
      </c>
      <c r="DA49" s="629">
        <f t="shared" ref="DA49" si="519">AVERAGE(CN4:CQ4,CI4:CL4)</f>
        <v>2685821.1637695013</v>
      </c>
      <c r="DB49" s="630">
        <f t="shared" ref="DB49:DB50" si="520">SUM(CX49:DA49)</f>
        <v>10582000.365813285</v>
      </c>
    </row>
    <row r="50" spans="1:106" ht="11.25" customHeight="1" x14ac:dyDescent="0.35">
      <c r="A50" s="75" t="s">
        <v>66</v>
      </c>
      <c r="B50" s="416"/>
      <c r="C50" s="416"/>
      <c r="D50" s="416"/>
      <c r="E50" s="416"/>
      <c r="F50" s="71">
        <f t="shared" si="468"/>
        <v>0</v>
      </c>
      <c r="G50" s="416"/>
      <c r="H50" s="416"/>
      <c r="I50" s="416"/>
      <c r="J50" s="416"/>
      <c r="K50" s="71">
        <f t="shared" si="469"/>
        <v>0</v>
      </c>
      <c r="L50" s="416"/>
      <c r="M50" s="416"/>
      <c r="N50" s="416"/>
      <c r="O50" s="416"/>
      <c r="P50" s="71">
        <f t="shared" si="470"/>
        <v>0</v>
      </c>
      <c r="Q50" s="416"/>
      <c r="R50" s="416"/>
      <c r="S50" s="416"/>
      <c r="T50" s="416"/>
      <c r="U50" s="71">
        <f t="shared" si="471"/>
        <v>0</v>
      </c>
      <c r="V50" s="416"/>
      <c r="W50" s="416"/>
      <c r="X50" s="416"/>
      <c r="Y50" s="416"/>
      <c r="Z50" s="71">
        <f t="shared" si="472"/>
        <v>0</v>
      </c>
      <c r="AA50" s="416"/>
      <c r="AB50" s="416"/>
      <c r="AC50" s="416"/>
      <c r="AD50" s="416"/>
      <c r="AE50" s="71">
        <f t="shared" si="473"/>
        <v>0</v>
      </c>
      <c r="AF50" s="416"/>
      <c r="AG50" s="416"/>
      <c r="AH50" s="416"/>
      <c r="AI50" s="416"/>
      <c r="AJ50" s="71">
        <f>SUM(AF50:AI50)</f>
        <v>0</v>
      </c>
      <c r="AK50" s="416">
        <v>600</v>
      </c>
      <c r="AL50" s="416">
        <v>1531</v>
      </c>
      <c r="AM50" s="416">
        <v>3503</v>
      </c>
      <c r="AN50" s="416">
        <v>1623</v>
      </c>
      <c r="AO50" s="71">
        <f>SUM(AK50:AN50)</f>
        <v>7257</v>
      </c>
      <c r="AP50" s="416">
        <v>2295</v>
      </c>
      <c r="AQ50" s="416">
        <v>821</v>
      </c>
      <c r="AR50" s="416">
        <v>1620</v>
      </c>
      <c r="AS50" s="416">
        <v>970</v>
      </c>
      <c r="AT50" s="71">
        <f>SUM(AP50:AS50)</f>
        <v>5706</v>
      </c>
      <c r="AU50" s="416">
        <v>2400</v>
      </c>
      <c r="AV50" s="416">
        <v>1084</v>
      </c>
      <c r="AW50" s="416">
        <v>1405</v>
      </c>
      <c r="AX50" s="416">
        <v>1314</v>
      </c>
      <c r="AY50" s="71">
        <f>SUM(AU50:AX50)</f>
        <v>6203</v>
      </c>
      <c r="AZ50" s="416">
        <v>800</v>
      </c>
      <c r="BA50" s="416">
        <v>1322</v>
      </c>
      <c r="BB50" s="416">
        <v>1412</v>
      </c>
      <c r="BC50" s="416">
        <v>2550</v>
      </c>
      <c r="BD50" s="71">
        <f>SUM(AZ50:BC50)</f>
        <v>6084</v>
      </c>
      <c r="BE50" s="416">
        <v>400</v>
      </c>
      <c r="BF50" s="416">
        <v>773</v>
      </c>
      <c r="BG50" s="416">
        <v>2054</v>
      </c>
      <c r="BH50" s="416">
        <v>899</v>
      </c>
      <c r="BI50" s="71">
        <f>SUM(BE50:BH50)</f>
        <v>4126</v>
      </c>
      <c r="BJ50" s="416">
        <v>1952</v>
      </c>
      <c r="BK50" s="416">
        <v>980</v>
      </c>
      <c r="BL50" s="416">
        <v>906</v>
      </c>
      <c r="BM50" s="416">
        <v>2144</v>
      </c>
      <c r="BN50" s="71">
        <f>SUM(BJ50:BM50)</f>
        <v>5982</v>
      </c>
      <c r="BO50" s="416">
        <v>2563</v>
      </c>
      <c r="BP50" s="416">
        <v>2832</v>
      </c>
      <c r="BQ50" s="416">
        <v>1232</v>
      </c>
      <c r="BR50" s="416">
        <v>3201</v>
      </c>
      <c r="BS50" s="71">
        <f>SUM(BO50:BR50)</f>
        <v>9828</v>
      </c>
      <c r="BT50" s="416">
        <v>790</v>
      </c>
      <c r="BU50" s="416">
        <v>1543</v>
      </c>
      <c r="BV50" s="416">
        <v>2644</v>
      </c>
      <c r="BW50" s="416">
        <v>3145</v>
      </c>
      <c r="BX50" s="71">
        <f>SUM(BT50:BW50)</f>
        <v>8122</v>
      </c>
      <c r="BY50" s="416">
        <v>2200</v>
      </c>
      <c r="BZ50" s="416">
        <v>1613</v>
      </c>
      <c r="CA50" s="416">
        <v>6262</v>
      </c>
      <c r="CB50" s="416">
        <v>4882</v>
      </c>
      <c r="CC50" s="71">
        <f>SUM(BY50:CB50)</f>
        <v>14957</v>
      </c>
      <c r="CD50" s="416">
        <v>1884</v>
      </c>
      <c r="CE50" s="416">
        <v>1192</v>
      </c>
      <c r="CF50" s="98">
        <f>AVERAGE(BM7,BO7:BR7,BT7:BV7)</f>
        <v>4315.75</v>
      </c>
      <c r="CG50" s="98">
        <f>AVERAGE(BO7:BR7,BT7:BW7)</f>
        <v>4555</v>
      </c>
      <c r="CH50" s="71">
        <f>SUM(CD50:CG50)</f>
        <v>11946.75</v>
      </c>
      <c r="CI50" s="98">
        <f t="shared" ref="CI50" si="521">AVERAGE(BP7:BR7,BT7:BW7,BY7)</f>
        <v>5059.625</v>
      </c>
      <c r="CJ50" s="98">
        <f t="shared" ref="CJ50" si="522">AVERAGE(BQ7:BR7,BT7:BW7,BY7:BZ7)</f>
        <v>5408.25</v>
      </c>
      <c r="CK50" s="98">
        <f t="shared" ref="CK50" si="523">AVERAGE(BR7,BT7:BW7,BY7:CA7)</f>
        <v>5802.625</v>
      </c>
      <c r="CL50" s="98">
        <f t="shared" ref="CL50" si="524">AVERAGE(BT7:BW7,BY7:CB7)</f>
        <v>5891.375</v>
      </c>
      <c r="CM50" s="71">
        <f t="shared" si="505"/>
        <v>22161.875</v>
      </c>
      <c r="CN50" s="98">
        <f t="shared" ref="CN50" si="525">AVERAGE(BU7:BW7,BY7:CB7,CD7)</f>
        <v>6146.625</v>
      </c>
      <c r="CO50" s="98">
        <f t="shared" ref="CO50" si="526">AVERAGE(BV7:BW7,BY7:CB7,CD7:CE7)</f>
        <v>6266.75</v>
      </c>
      <c r="CP50" s="98">
        <f t="shared" ref="CP50" si="527">AVERAGE(BW7,BY7:CB7,CD7:CF7)</f>
        <v>6447.9374391795272</v>
      </c>
      <c r="CQ50" s="98">
        <f t="shared" ref="CQ50" si="528">AVERAGE(BY7:CB7,CD7:CG7)</f>
        <v>6640.5738035548329</v>
      </c>
      <c r="CR50" s="71">
        <f t="shared" si="510"/>
        <v>25501.886242734363</v>
      </c>
      <c r="CS50" s="98">
        <f t="shared" ref="CS50" si="529">AVERAGE(BZ7:CB7,CD7:CG7,CI7)</f>
        <v>6682.9254903258416</v>
      </c>
      <c r="CT50" s="98">
        <f t="shared" ref="CT50" si="530">AVERAGE(CA7:CB7,CD7:CG7,CI7:CJ7)</f>
        <v>6884.1183079831017</v>
      </c>
      <c r="CU50" s="98">
        <f t="shared" ref="CU50" si="531">AVERAGE(CB7,CD7:CG7,CI7:CK7)</f>
        <v>6760.5411016781309</v>
      </c>
      <c r="CV50" s="98">
        <f t="shared" ref="CV50" si="532">AVERAGE(CD7:CG7,CI7:CL7)</f>
        <v>6999.886351536552</v>
      </c>
      <c r="CW50" s="71">
        <f t="shared" si="515"/>
        <v>27327.471251523624</v>
      </c>
      <c r="CX50" s="98">
        <f t="shared" ref="CX50" si="533">AVERAGE(CE7:CG7,CI7:CL7,CN7)</f>
        <v>7183.6307012969128</v>
      </c>
      <c r="CY50" s="98">
        <f t="shared" ref="CY50" si="534">AVERAGE(CF7:CG7,CI7:CL7,CN7:CO7)</f>
        <v>7390.783972006825</v>
      </c>
      <c r="CZ50" s="98">
        <f t="shared" ref="CZ50" si="535">AVERAGE(CG7,CI7:CL7,CN7:CP7)</f>
        <v>7290.5211621509134</v>
      </c>
      <c r="DA50" s="98">
        <f t="shared" ref="DA50" si="536">AVERAGE(CI7:CL7,CN7:CQ7)</f>
        <v>7308.7300476340288</v>
      </c>
      <c r="DB50" s="71">
        <f t="shared" si="520"/>
        <v>29173.665883088677</v>
      </c>
    </row>
    <row r="54" spans="1:106" ht="11.25" customHeight="1" x14ac:dyDescent="0.35">
      <c r="CA54" s="73"/>
    </row>
  </sheetData>
  <pageMargins left="0.7" right="0.7" top="0.75" bottom="0.75" header="0.3" footer="0.3"/>
  <headerFooter>
    <oddFooter>&amp;L_x000D_&amp;1#&amp;"Calibri"&amp;9&amp;K000000 Corporativo | Interno</oddFooter>
  </headerFooter>
  <ignoredErrors>
    <ignoredError sqref="A3:XFD3 A48:CD48 A47:BY47 CA47:CD47 A46:BY46 CA46:CD46 A44:XFD44 A43:CC43 CF43:XFD43 A51:XFD1048576 A49:CD50 DC49:XFD50 A30:XFD31 A27:CD27 CG27:XFD27 A22:XFD23 A4:CD4 CM4:XFD4 A39:CD42 A38:CD38 CH38:XFD38 A5:CD21 CF5:XFD5 CG4:CH4 A1:CB1 A2:CB2 A28:CD29 CF28:XFD29 A24:CD26 CF24:XFD26 A32:CD37 CF32:XFD37 CF39:XFD39 CF48:XFD48 CF47:XFD47 CF46:XFD46 A45:CD45 CF45:XFD45 CM1:XFD1 CF7:XFD15 CG6:XFD6 CM2:XFD2 CF19:XFD21 CH18 CJ18:XFD18 CF17:XFD17 CH16:XFD16 CF41:XFD42 CG40:CH40 CJ40:XFD40" formula="1"/>
    <ignoredError sqref="BZ46 CF49:DB50 CF27" formula="1"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FED8-8A0A-4847-B62A-E3752A43BDDD}">
  <sheetPr>
    <tabColor theme="2" tint="-0.89999084444715716"/>
  </sheetPr>
  <dimension ref="A1:O111"/>
  <sheetViews>
    <sheetView showGridLines="0" zoomScaleNormal="100" workbookViewId="0">
      <selection activeCell="E20" sqref="E20"/>
    </sheetView>
  </sheetViews>
  <sheetFormatPr defaultColWidth="11" defaultRowHeight="11.25" customHeight="1" outlineLevelRow="2" x14ac:dyDescent="0.35"/>
  <cols>
    <col min="1" max="1" width="30.7265625" style="232" customWidth="1"/>
    <col min="2" max="8" width="11" style="232" customWidth="1"/>
    <col min="9" max="13" width="11" style="232"/>
    <col min="14" max="14" width="11" style="232" customWidth="1"/>
    <col min="15" max="16" width="11" style="232"/>
    <col min="17" max="17" width="11" style="232" customWidth="1"/>
    <col min="18" max="16384" width="11" style="232"/>
  </cols>
  <sheetData>
    <row r="1" spans="1:4" s="7" customFormat="1" ht="45.75" customHeight="1" x14ac:dyDescent="0.35"/>
    <row r="2" spans="1:4" s="7" customFormat="1" ht="11.25" customHeight="1" x14ac:dyDescent="0.35">
      <c r="A2" s="11" t="str">
        <f ca="1">$B$5&amp;" | "&amp;"TP R$"&amp;$B$16&amp;"/sh"</f>
        <v>CURY3 | TP R$44/sh</v>
      </c>
    </row>
    <row r="3" spans="1:4" s="7" customFormat="1" ht="11.25" customHeight="1" thickBot="1" x14ac:dyDescent="0.4">
      <c r="A3" s="119" t="s">
        <v>317</v>
      </c>
      <c r="B3" s="226"/>
      <c r="C3" s="52"/>
    </row>
    <row r="4" spans="1:4" s="7" customFormat="1" ht="11.25" customHeight="1" thickTop="1" x14ac:dyDescent="0.35">
      <c r="A4" s="237" t="s">
        <v>278</v>
      </c>
      <c r="B4" s="479" t="s">
        <v>446</v>
      </c>
    </row>
    <row r="5" spans="1:4" s="7" customFormat="1" ht="11.25" customHeight="1" x14ac:dyDescent="0.35">
      <c r="A5" s="234" t="s">
        <v>323</v>
      </c>
      <c r="B5" s="480" t="s">
        <v>338</v>
      </c>
    </row>
    <row r="6" spans="1:4" s="7" customFormat="1" ht="11.25" customHeight="1" x14ac:dyDescent="0.35">
      <c r="A6" s="74" t="s">
        <v>277</v>
      </c>
      <c r="B6" s="481">
        <v>30.1</v>
      </c>
    </row>
    <row r="7" spans="1:4" s="7" customFormat="1" ht="11.25" customHeight="1" x14ac:dyDescent="0.35">
      <c r="A7" s="122" t="s">
        <v>279</v>
      </c>
      <c r="B7" s="482">
        <v>0</v>
      </c>
    </row>
    <row r="8" spans="1:4" s="7" customFormat="1" ht="11.25" customHeight="1" x14ac:dyDescent="0.35">
      <c r="A8" s="238" t="s">
        <v>280</v>
      </c>
      <c r="B8" s="99">
        <f>(1+B10)*(1+B7)-1</f>
        <v>4.000000000000048E-2</v>
      </c>
      <c r="C8" s="11"/>
    </row>
    <row r="9" spans="1:4" s="7" customFormat="1" ht="11.25" customHeight="1" x14ac:dyDescent="0.35">
      <c r="A9" s="122" t="s">
        <v>285</v>
      </c>
      <c r="B9" s="482">
        <v>7.4999999999999997E-2</v>
      </c>
    </row>
    <row r="10" spans="1:4" s="7" customFormat="1" ht="11.25" customHeight="1" x14ac:dyDescent="0.35">
      <c r="A10" s="122" t="s">
        <v>286</v>
      </c>
      <c r="B10" s="45">
        <f>HLOOKUP(20&amp;(RIGHT($B$4,2)+2)&amp;"E",Macro!$A$3:$DB$12,8,FALSE)</f>
        <v>4.000000000000048E-2</v>
      </c>
      <c r="C10" s="11"/>
    </row>
    <row r="11" spans="1:4" s="7" customFormat="1" ht="11.25" customHeight="1" x14ac:dyDescent="0.35">
      <c r="A11" s="122" t="s">
        <v>287</v>
      </c>
      <c r="B11" s="45">
        <f>(1+B9)*(1+B10)-1</f>
        <v>0.11800000000000055</v>
      </c>
      <c r="C11" s="52"/>
    </row>
    <row r="12" spans="1:4" s="7" customFormat="1" ht="11.25" customHeight="1" x14ac:dyDescent="0.35">
      <c r="A12" s="122" t="s">
        <v>288</v>
      </c>
      <c r="B12" s="482">
        <v>0.04</v>
      </c>
      <c r="C12" s="52"/>
    </row>
    <row r="13" spans="1:4" s="7" customFormat="1" ht="11.25" customHeight="1" x14ac:dyDescent="0.35">
      <c r="A13" s="122" t="s">
        <v>289</v>
      </c>
      <c r="B13" s="483">
        <v>1.2</v>
      </c>
    </row>
    <row r="14" spans="1:4" s="7" customFormat="1" ht="11.25" customHeight="1" x14ac:dyDescent="0.35">
      <c r="A14" s="122" t="s">
        <v>290</v>
      </c>
      <c r="B14" s="109">
        <f>B12*B13</f>
        <v>4.8000000000000001E-2</v>
      </c>
      <c r="D14" s="110"/>
    </row>
    <row r="15" spans="1:4" s="7" customFormat="1" ht="11.25" customHeight="1" x14ac:dyDescent="0.35">
      <c r="A15" s="227" t="s">
        <v>276</v>
      </c>
      <c r="B15" s="228">
        <f>B11+B14</f>
        <v>0.16600000000000054</v>
      </c>
      <c r="D15" s="229"/>
    </row>
    <row r="16" spans="1:4" s="7" customFormat="1" ht="11.25" customHeight="1" x14ac:dyDescent="0.35">
      <c r="A16" s="215" t="s">
        <v>316</v>
      </c>
      <c r="B16" s="267">
        <f ca="1">B72</f>
        <v>44</v>
      </c>
      <c r="C16" s="73"/>
      <c r="D16" s="229"/>
    </row>
    <row r="17" spans="1:6" s="7" customFormat="1" ht="11.25" customHeight="1" x14ac:dyDescent="0.35">
      <c r="A17" s="122" t="s">
        <v>294</v>
      </c>
      <c r="B17" s="266">
        <f ca="1">B16/B6-1</f>
        <v>0.46179401993355484</v>
      </c>
      <c r="D17" s="229"/>
    </row>
    <row r="18" spans="1:6" s="7" customFormat="1" ht="11.25" customHeight="1" x14ac:dyDescent="0.35">
      <c r="A18" s="74" t="s">
        <v>324</v>
      </c>
      <c r="B18" s="261" t="s">
        <v>356</v>
      </c>
      <c r="D18" s="73"/>
    </row>
    <row r="19" spans="1:6" s="7" customFormat="1" ht="11.25" customHeight="1" x14ac:dyDescent="0.35">
      <c r="C19" s="123"/>
      <c r="D19" s="123"/>
      <c r="E19" s="123"/>
      <c r="F19" s="123"/>
    </row>
    <row r="20" spans="1:6" s="7" customFormat="1" ht="11.25" customHeight="1" x14ac:dyDescent="0.35">
      <c r="C20" s="337" t="str">
        <f t="shared" ref="C20:F20" si="0">RIGHT(C21,3)</f>
        <v>26E</v>
      </c>
      <c r="D20" s="337" t="str">
        <f t="shared" si="0"/>
        <v>27E</v>
      </c>
      <c r="E20" s="337" t="str">
        <f t="shared" si="0"/>
        <v>28E</v>
      </c>
      <c r="F20" s="337" t="str">
        <f t="shared" si="0"/>
        <v>29E</v>
      </c>
    </row>
    <row r="21" spans="1:6" s="7" customFormat="1" ht="11.25" customHeight="1" thickBot="1" x14ac:dyDescent="0.4">
      <c r="A21" s="119" t="s">
        <v>321</v>
      </c>
      <c r="B21" s="226"/>
      <c r="C21" s="241" t="str">
        <f>"20"&amp;TEXT(--MID($B$4,3,2) + (--LEFT($B$4,1)=4),"00") &amp; "E"</f>
        <v>2026E</v>
      </c>
      <c r="D21" s="241" t="str">
        <f>20&amp;LEFT(RIGHT(C21,3),2)+1&amp;"E"</f>
        <v>2027E</v>
      </c>
      <c r="E21" s="241" t="str">
        <f t="shared" ref="E21:F21" si="1">20&amp;LEFT(RIGHT(D21,3),2)+1&amp;"E"</f>
        <v>2028E</v>
      </c>
      <c r="F21" s="241" t="str">
        <f t="shared" si="1"/>
        <v>2029E</v>
      </c>
    </row>
    <row r="22" spans="1:6" s="7" customFormat="1" ht="11.25" customHeight="1" thickTop="1" x14ac:dyDescent="0.35">
      <c r="A22" s="215" t="s">
        <v>292</v>
      </c>
      <c r="B22" s="257"/>
      <c r="C22" s="353">
        <f ca="1">HLOOKUP(C21,'BS &amp; FCF'!$A$131:$DB$152,7,FALSE)</f>
        <v>0.70844109215126361</v>
      </c>
      <c r="D22" s="353">
        <f ca="1">HLOOKUP(D21,'BS &amp; FCF'!$A$131:$DB$152,7,FALSE)</f>
        <v>0.70766140326934002</v>
      </c>
      <c r="E22" s="353">
        <f ca="1">HLOOKUP(E21,'BS &amp; FCF'!$A$131:$DB$152,7,FALSE)</f>
        <v>0.72734892009824204</v>
      </c>
      <c r="F22" s="354">
        <f ca="1">HLOOKUP(F21,'BS &amp; FCF'!$A$131:$DB$152,7,FALSE)</f>
        <v>0.70914458380661072</v>
      </c>
    </row>
    <row r="23" spans="1:6" s="7" customFormat="1" ht="11.25" customHeight="1" x14ac:dyDescent="0.35">
      <c r="A23" s="215" t="s">
        <v>303</v>
      </c>
      <c r="B23" s="257"/>
      <c r="C23" s="318">
        <f ca="1">HLOOKUP(C21,IS!$A$47:$DB$53,6,FALSE)</f>
        <v>3.946192647272913</v>
      </c>
      <c r="D23" s="318">
        <f ca="1">HLOOKUP(D21,IS!$A$47:$DB$53,6,FALSE)</f>
        <v>4.9633196096531425</v>
      </c>
      <c r="E23" s="318">
        <f ca="1">HLOOKUP(E21,IS!$A$47:$DB$53,6,FALSE)</f>
        <v>5.8598090591676488</v>
      </c>
      <c r="F23" s="242">
        <f ca="1">HLOOKUP(F21,IS!$A$47:$DB$53,6,FALSE)</f>
        <v>6.1995300669012137</v>
      </c>
    </row>
    <row r="24" spans="1:6" s="7" customFormat="1" ht="11.25" customHeight="1" x14ac:dyDescent="0.35">
      <c r="A24" s="246" t="s">
        <v>282</v>
      </c>
      <c r="B24" s="232"/>
      <c r="C24" s="318">
        <f ca="1">HLOOKUP(C21,IS!$A$47:$DB$53,7,FALSE)</f>
        <v>2.2849798648513646</v>
      </c>
      <c r="D24" s="318">
        <f ca="1">HLOOKUP(D21,IS!$A$47:$DB$53,7,FALSE)</f>
        <v>3.5737367846975285</v>
      </c>
      <c r="E24" s="318">
        <f ca="1">HLOOKUP(E21,IS!$A$47:$DB$53,7,FALSE)</f>
        <v>5.0909367244410841</v>
      </c>
      <c r="F24" s="242">
        <f ca="1">HLOOKUP(F21,IS!$A$47:$DB$53,7,FALSE)</f>
        <v>5.5230474580635205</v>
      </c>
    </row>
    <row r="25" spans="1:6" s="7" customFormat="1" ht="11.25" customHeight="1" x14ac:dyDescent="0.35">
      <c r="A25" s="256" t="s">
        <v>281</v>
      </c>
      <c r="B25" s="247"/>
      <c r="C25" s="319">
        <f ca="1">HLOOKUP(C21,'BS &amp; FCF'!$A$131:$DB$147,17,FALSE)</f>
        <v>6.1534028457613523</v>
      </c>
      <c r="D25" s="319">
        <f ca="1">HLOOKUP(D21,'BS &amp; FCF'!$A$131:$DB$147,17,FALSE)</f>
        <v>7.6137371812769254</v>
      </c>
      <c r="E25" s="319">
        <f ca="1">HLOOKUP(E21,'BS &amp; FCF'!$A$131:$DB$147,17,FALSE)</f>
        <v>8.4121202162159587</v>
      </c>
      <c r="F25" s="268">
        <f ca="1">HLOOKUP(F21,'BS &amp; FCF'!$A$131:$DB$147,17,FALSE)</f>
        <v>9.1032160070329837</v>
      </c>
    </row>
    <row r="26" spans="1:6" s="7" customFormat="1" ht="11.25" customHeight="1" x14ac:dyDescent="0.35">
      <c r="A26" s="246" t="s">
        <v>40</v>
      </c>
      <c r="B26" s="232"/>
      <c r="C26" s="320">
        <f ca="1">$B$6/C23</f>
        <v>7.6276053123765122</v>
      </c>
      <c r="D26" s="320">
        <f ca="1">$B$6/D23</f>
        <v>6.0644895689285496</v>
      </c>
      <c r="E26" s="320">
        <f ca="1">$B$6/E23</f>
        <v>5.136686143878471</v>
      </c>
      <c r="F26" s="269">
        <f ca="1">$B$6/F23</f>
        <v>4.8552067132800039</v>
      </c>
    </row>
    <row r="27" spans="1:6" s="7" customFormat="1" ht="11.25" customHeight="1" outlineLevel="1" x14ac:dyDescent="0.35">
      <c r="A27" s="232" t="s">
        <v>346</v>
      </c>
      <c r="B27" s="232"/>
      <c r="C27" s="321">
        <f ca="1">SUMIF($C$35:$N$35,C$20,$C$40:$N$40)</f>
        <v>1.2365512165222219</v>
      </c>
      <c r="D27" s="321">
        <f ca="1">SUMIF($C$35:$N$35,D$20,$C$40:$N$40)+C27</f>
        <v>4.2363138969270038</v>
      </c>
      <c r="E27" s="321">
        <f t="shared" ref="E27:F27" ca="1" si="2">SUMIF($C$35:$N$35,E$20,$C$40:$N$40)+D27</f>
        <v>7.9062799017517431</v>
      </c>
      <c r="F27" s="255">
        <f t="shared" ca="1" si="2"/>
        <v>9.6839045526032148</v>
      </c>
    </row>
    <row r="28" spans="1:6" s="7" customFormat="1" ht="11.25" customHeight="1" x14ac:dyDescent="0.35">
      <c r="A28" s="246" t="s">
        <v>343</v>
      </c>
      <c r="B28" s="232"/>
      <c r="C28" s="320">
        <f ca="1">($B$6-C27)/C23</f>
        <v>7.3142523346964277</v>
      </c>
      <c r="D28" s="320">
        <f t="shared" ref="D28:F28" ca="1" si="3">($B$6-D27)/D23</f>
        <v>5.2109652686421413</v>
      </c>
      <c r="E28" s="320">
        <f t="shared" ca="1" si="3"/>
        <v>3.7874476581325234</v>
      </c>
      <c r="F28" s="269">
        <f t="shared" ca="1" si="3"/>
        <v>3.2931682284108366</v>
      </c>
    </row>
    <row r="29" spans="1:6" s="7" customFormat="1" ht="11.25" customHeight="1" x14ac:dyDescent="0.35">
      <c r="A29" s="246" t="s">
        <v>318</v>
      </c>
      <c r="B29" s="232"/>
      <c r="C29" s="322">
        <f ca="1">C24/$B$6</f>
        <v>7.5912952320643337E-2</v>
      </c>
      <c r="D29" s="322">
        <f ca="1">D24/$B$6</f>
        <v>0.11872879683380493</v>
      </c>
      <c r="E29" s="322">
        <f ca="1">E24/$B$6</f>
        <v>0.16913411044654764</v>
      </c>
      <c r="F29" s="270">
        <f ca="1">F24/$B$6</f>
        <v>0.18348994877287442</v>
      </c>
    </row>
    <row r="30" spans="1:6" s="7" customFormat="1" ht="11.25" customHeight="1" x14ac:dyDescent="0.35">
      <c r="A30" s="256" t="s">
        <v>319</v>
      </c>
      <c r="B30" s="247"/>
      <c r="C30" s="323">
        <f ca="1">$B$6/C25</f>
        <v>4.8916023791183738</v>
      </c>
      <c r="D30" s="323">
        <f ca="1">$B$6/D25</f>
        <v>3.9533804862636233</v>
      </c>
      <c r="E30" s="323">
        <f ca="1">$B$6/E25</f>
        <v>3.5781704524355864</v>
      </c>
      <c r="F30" s="271">
        <f ca="1">$B$6/F25</f>
        <v>3.3065237578395674</v>
      </c>
    </row>
    <row r="31" spans="1:6" s="7" customFormat="1" ht="11.25" customHeight="1" x14ac:dyDescent="0.35">
      <c r="A31" s="246" t="s">
        <v>41</v>
      </c>
      <c r="B31" s="232"/>
      <c r="C31" s="320">
        <f ca="1">$B$16/C23</f>
        <v>11.149987832045399</v>
      </c>
      <c r="D31" s="320">
        <f ca="1">$B$16/D23</f>
        <v>8.865034585809175</v>
      </c>
      <c r="E31" s="320">
        <f ca="1">$B$16/E23</f>
        <v>7.5087770873971005</v>
      </c>
      <c r="F31" s="269">
        <f ca="1">$B$16/F23</f>
        <v>7.0973121390139582</v>
      </c>
    </row>
    <row r="32" spans="1:6" s="7" customFormat="1" ht="11.25" customHeight="1" x14ac:dyDescent="0.35">
      <c r="A32" s="246" t="s">
        <v>320</v>
      </c>
      <c r="B32" s="232"/>
      <c r="C32" s="322">
        <f ca="1">C24/$B$16</f>
        <v>5.1931360564803741E-2</v>
      </c>
      <c r="D32" s="322">
        <f ca="1">D24/$B$16</f>
        <v>8.122129056130746E-2</v>
      </c>
      <c r="E32" s="322">
        <f ca="1">E24/$B$16</f>
        <v>0.115703107373661</v>
      </c>
      <c r="F32" s="270">
        <f ca="1">F24/$B$16</f>
        <v>0.12552380586508002</v>
      </c>
    </row>
    <row r="33" spans="1:15" s="7" customFormat="1" ht="11.25" customHeight="1" x14ac:dyDescent="0.35">
      <c r="A33" s="249" t="s">
        <v>299</v>
      </c>
      <c r="B33" s="248"/>
      <c r="C33" s="324">
        <f ca="1">$B$16/C25</f>
        <v>7.1505151056879876</v>
      </c>
      <c r="D33" s="324">
        <f ca="1">$B$16/D25</f>
        <v>5.7790279533421733</v>
      </c>
      <c r="E33" s="324">
        <f ca="1">$B$16/E25</f>
        <v>5.2305481696732823</v>
      </c>
      <c r="F33" s="317">
        <f ca="1">$B$16/F25</f>
        <v>4.8334566559781047</v>
      </c>
    </row>
    <row r="34" spans="1:15" s="7" customFormat="1" ht="11.25" customHeight="1" x14ac:dyDescent="0.35"/>
    <row r="35" spans="1:15" s="7" customFormat="1" ht="11.25" customHeight="1" x14ac:dyDescent="0.35">
      <c r="C35" s="337" t="str">
        <f>RIGHT(C36,3)</f>
        <v>26E</v>
      </c>
      <c r="D35" s="337" t="str">
        <f t="shared" ref="D35:N35" si="4">RIGHT(D36,3)</f>
        <v>26E</v>
      </c>
      <c r="E35" s="337" t="str">
        <f t="shared" si="4"/>
        <v>27E</v>
      </c>
      <c r="F35" s="337" t="str">
        <f t="shared" si="4"/>
        <v>27E</v>
      </c>
      <c r="G35" s="337" t="str">
        <f t="shared" si="4"/>
        <v>27E</v>
      </c>
      <c r="H35" s="337" t="str">
        <f t="shared" si="4"/>
        <v>27E</v>
      </c>
      <c r="I35" s="337" t="str">
        <f t="shared" si="4"/>
        <v>28E</v>
      </c>
      <c r="J35" s="337" t="str">
        <f t="shared" si="4"/>
        <v>28E</v>
      </c>
      <c r="K35" s="337" t="str">
        <f t="shared" si="4"/>
        <v>28E</v>
      </c>
      <c r="L35" s="337" t="str">
        <f t="shared" si="4"/>
        <v>28E</v>
      </c>
      <c r="M35" s="337" t="str">
        <f t="shared" si="4"/>
        <v>29E</v>
      </c>
      <c r="N35" s="337" t="str">
        <f t="shared" si="4"/>
        <v>29E</v>
      </c>
    </row>
    <row r="36" spans="1:15" s="7" customFormat="1" ht="11.25" customHeight="1" thickBot="1" x14ac:dyDescent="0.4">
      <c r="A36" s="239"/>
      <c r="B36" s="240"/>
      <c r="C36" s="241" t="str">
        <f>MOD(--LEFT($B$4,1),4)+1 &amp; "Q" &amp; TEXT(--MID($B$4,3,2) + (--LEFT($B$4,1)=4),"00") &amp; "E"</f>
        <v>3Q26E</v>
      </c>
      <c r="D36" s="241" t="str">
        <f>MOD(--LEFT(C36,1),4)+1 &amp; "Q" &amp; TEXT(--MID(C36,3,2) + IF(--LEFT(C36,1)=4,1,0),"00") &amp; "E"</f>
        <v>4Q26E</v>
      </c>
      <c r="E36" s="241" t="str">
        <f t="shared" ref="E36:K36" si="5">MOD(--LEFT(D36,1),4)+1 &amp; "Q" &amp; TEXT(--MID(D36,3,2) + IF(--LEFT(D36,1)=4,1,0),"00") &amp; "E"</f>
        <v>1Q27E</v>
      </c>
      <c r="F36" s="241" t="str">
        <f t="shared" si="5"/>
        <v>2Q27E</v>
      </c>
      <c r="G36" s="241" t="str">
        <f t="shared" si="5"/>
        <v>3Q27E</v>
      </c>
      <c r="H36" s="241" t="str">
        <f>MOD(--LEFT(G36,1),4)+1 &amp; "Q" &amp; TEXT(--MID(G36,3,2) + IF(--LEFT(G36,1)=4,1,0),"00") &amp; "E"</f>
        <v>4Q27E</v>
      </c>
      <c r="I36" s="241" t="str">
        <f t="shared" si="5"/>
        <v>1Q28E</v>
      </c>
      <c r="J36" s="241" t="str">
        <f t="shared" si="5"/>
        <v>2Q28E</v>
      </c>
      <c r="K36" s="241" t="str">
        <f t="shared" si="5"/>
        <v>3Q28E</v>
      </c>
      <c r="L36" s="241" t="str">
        <f t="shared" ref="L36:N36" si="6">MOD(--LEFT(K36,1),4)+1 &amp; "Q" &amp; TEXT(--MID(K36,3,2) + IF(--LEFT(K36,1)=4,1,0),"00") &amp; "E"</f>
        <v>4Q28E</v>
      </c>
      <c r="M36" s="241" t="str">
        <f t="shared" si="6"/>
        <v>1Q29E</v>
      </c>
      <c r="N36" s="241" t="str">
        <f t="shared" si="6"/>
        <v>2Q29E</v>
      </c>
    </row>
    <row r="37" spans="1:15" s="7" customFormat="1" ht="11.25" customHeight="1" thickTop="1" x14ac:dyDescent="0.35">
      <c r="A37" s="122" t="s">
        <v>303</v>
      </c>
      <c r="B37" s="122"/>
      <c r="C37" s="328">
        <f ca="1">HLOOKUP(C36,IS!$A$47:$DB$53,6,FALSE)</f>
        <v>0.99188081819547835</v>
      </c>
      <c r="D37" s="328">
        <f ca="1">HLOOKUP(D36,IS!$A$47:$DB$53,6,FALSE)</f>
        <v>1.0931773447743363</v>
      </c>
      <c r="E37" s="328">
        <f ca="1">HLOOKUP(E36,IS!$A$47:$DB$53,6,FALSE)</f>
        <v>1.1238086290170901</v>
      </c>
      <c r="F37" s="329">
        <f ca="1">HLOOKUP(F36,IS!$A$47:$DB$53,6,FALSE)</f>
        <v>1.2192605164687644</v>
      </c>
      <c r="G37" s="332">
        <f ca="1">HLOOKUP(G36,IS!$A$47:$DB$53,6,FALSE)</f>
        <v>1.3287358893365138</v>
      </c>
      <c r="H37" s="328">
        <f ca="1">HLOOKUP(H36,IS!$A$47:$DB$53,6,FALSE)</f>
        <v>1.2915145748307739</v>
      </c>
      <c r="I37" s="328">
        <f ca="1">HLOOKUP(I36,IS!$A$47:$DB$53,6,FALSE)</f>
        <v>1.4611692572097148</v>
      </c>
      <c r="J37" s="329">
        <f ca="1">HLOOKUP(J36,IS!$A$47:$DB$53,6,FALSE)</f>
        <v>1.4183131510188984</v>
      </c>
      <c r="K37" s="325">
        <f ca="1">HLOOKUP(K36,IS!$A$47:$DB$53,6,FALSE)</f>
        <v>1.4855993774307064</v>
      </c>
      <c r="L37" s="325">
        <f ca="1">HLOOKUP(L36,IS!$A$47:$DB$53,6,FALSE)</f>
        <v>1.4947272735083301</v>
      </c>
      <c r="M37" s="325">
        <f ca="1">HLOOKUP(M36,IS!$A$47:$DB$53,6,FALSE)</f>
        <v>1.5778401366926924</v>
      </c>
      <c r="N37" s="325">
        <f ca="1">HLOOKUP(N36,IS!$A$47:$DB$53,6,FALSE)</f>
        <v>1.5064884780517704</v>
      </c>
    </row>
    <row r="38" spans="1:15" s="7" customFormat="1" ht="11.25" customHeight="1" x14ac:dyDescent="0.35">
      <c r="A38" s="316" t="s">
        <v>282</v>
      </c>
      <c r="B38" s="316"/>
      <c r="C38" s="326">
        <f>HLOOKUP(C36,IS!$A$47:$DB$53,7,FALSE)</f>
        <v>0.61678780714645032</v>
      </c>
      <c r="D38" s="326">
        <f ca="1">HLOOKUP(D36,IS!$A$47:$DB$53,7,FALSE)</f>
        <v>0.69431657273683478</v>
      </c>
      <c r="E38" s="326">
        <f ca="1">HLOOKUP(E36,IS!$A$47:$DB$53,7,FALSE)</f>
        <v>0.81988300858075225</v>
      </c>
      <c r="F38" s="330">
        <f ca="1">HLOOKUP(F36,IS!$A$47:$DB$53,7,FALSE)</f>
        <v>0.84285647176281753</v>
      </c>
      <c r="G38" s="333">
        <f ca="1">HLOOKUP(G36,IS!$A$47:$DB$53,7,FALSE)</f>
        <v>0.91444538735157321</v>
      </c>
      <c r="H38" s="326">
        <f ca="1">HLOOKUP(H36,IS!$A$47:$DB$53,7,FALSE)</f>
        <v>0.99655191700238543</v>
      </c>
      <c r="I38" s="326">
        <f ca="1">HLOOKUP(I36,IS!$A$47:$DB$53,7,FALSE)</f>
        <v>1.1623631173476967</v>
      </c>
      <c r="J38" s="330">
        <f ca="1">HLOOKUP(J36,IS!$A$47:$DB$53,7,FALSE)</f>
        <v>1.3150523314887432</v>
      </c>
      <c r="K38" s="326">
        <f ca="1">HLOOKUP(K36,IS!$A$47:$DB$53,7,FALSE)</f>
        <v>1.2764818359170087</v>
      </c>
      <c r="L38" s="326">
        <f ca="1">HLOOKUP(L36,IS!$A$47:$DB$53,7,FALSE)</f>
        <v>1.3370394396876357</v>
      </c>
      <c r="M38" s="326">
        <f ca="1">HLOOKUP(M36,IS!$A$47:$DB$53,7,FALSE)</f>
        <v>1.3452545461574972</v>
      </c>
      <c r="N38" s="326">
        <f ca="1">HLOOKUP(N36,IS!$A$47:$DB$53,7,FALSE)</f>
        <v>1.4200561230234232</v>
      </c>
    </row>
    <row r="39" spans="1:15" s="7" customFormat="1" ht="11.25" customHeight="1" x14ac:dyDescent="0.35">
      <c r="A39" s="339" t="s">
        <v>310</v>
      </c>
      <c r="B39" s="340"/>
      <c r="C39" s="341">
        <f>(1+$B$15)^(1/4)</f>
        <v>1.0391413758172885</v>
      </c>
      <c r="D39" s="341">
        <f>C39*(1+$B$15)^(1/4)</f>
        <v>1.0798147989354472</v>
      </c>
      <c r="E39" s="341">
        <f>D39*(1+$B$15)^(1/4)</f>
        <v>1.1220802357936492</v>
      </c>
      <c r="F39" s="342">
        <f>E39*(1+$B$15)^(1/4)</f>
        <v>1.1660000000000001</v>
      </c>
      <c r="G39" s="343">
        <f t="shared" ref="G39:N39" si="7">F39*(1+$B$15)^(1/4)</f>
        <v>1.2116388442029586</v>
      </c>
      <c r="H39" s="341">
        <f t="shared" si="7"/>
        <v>1.2590640555587318</v>
      </c>
      <c r="I39" s="341">
        <f t="shared" si="7"/>
        <v>1.3083455549353955</v>
      </c>
      <c r="J39" s="342">
        <f t="shared" si="7"/>
        <v>1.3595560000000007</v>
      </c>
      <c r="K39" s="341">
        <f t="shared" si="7"/>
        <v>1.4127708923406501</v>
      </c>
      <c r="L39" s="341">
        <f t="shared" si="7"/>
        <v>1.4680686887814816</v>
      </c>
      <c r="M39" s="341">
        <f t="shared" si="7"/>
        <v>1.5255309170546714</v>
      </c>
      <c r="N39" s="341">
        <f t="shared" si="7"/>
        <v>1.585242296000001</v>
      </c>
    </row>
    <row r="40" spans="1:15" s="7" customFormat="1" ht="11.25" customHeight="1" x14ac:dyDescent="0.35">
      <c r="A40" s="122" t="s">
        <v>346</v>
      </c>
      <c r="B40" s="122"/>
      <c r="C40" s="325">
        <f>C38/C39</f>
        <v>0.59355523848845348</v>
      </c>
      <c r="D40" s="325">
        <f t="shared" ref="D40:N40" ca="1" si="8">D38/D39</f>
        <v>0.6429959780337684</v>
      </c>
      <c r="E40" s="325">
        <f t="shared" ca="1" si="8"/>
        <v>0.73068126719195581</v>
      </c>
      <c r="F40" s="331">
        <f t="shared" ca="1" si="8"/>
        <v>0.72286146806416585</v>
      </c>
      <c r="G40" s="334">
        <f t="shared" ca="1" si="8"/>
        <v>0.75471778717453919</v>
      </c>
      <c r="H40" s="325">
        <f t="shared" ca="1" si="8"/>
        <v>0.79150215797412149</v>
      </c>
      <c r="I40" s="325">
        <f t="shared" ca="1" si="8"/>
        <v>0.88842210910029251</v>
      </c>
      <c r="J40" s="331">
        <f t="shared" ca="1" si="8"/>
        <v>0.96726602765074965</v>
      </c>
      <c r="K40" s="325">
        <f t="shared" ca="1" si="8"/>
        <v>0.9035306735419496</v>
      </c>
      <c r="L40" s="325">
        <f t="shared" ca="1" si="8"/>
        <v>0.91074719453174768</v>
      </c>
      <c r="M40" s="325">
        <f t="shared" ca="1" si="8"/>
        <v>0.88182712727629797</v>
      </c>
      <c r="N40" s="325">
        <f t="shared" ca="1" si="8"/>
        <v>0.89579752357517362</v>
      </c>
    </row>
    <row r="41" spans="1:15" s="7" customFormat="1" ht="11.25" customHeight="1" thickBot="1" x14ac:dyDescent="0.4">
      <c r="A41" s="239" t="s">
        <v>349</v>
      </c>
      <c r="B41" s="240"/>
      <c r="C41" s="241" t="str">
        <f>C36</f>
        <v>3Q26E</v>
      </c>
      <c r="D41" s="241" t="str">
        <f t="shared" ref="D41:N41" si="9">D36</f>
        <v>4Q26E</v>
      </c>
      <c r="E41" s="241" t="str">
        <f t="shared" si="9"/>
        <v>1Q27E</v>
      </c>
      <c r="F41" s="241" t="str">
        <f t="shared" si="9"/>
        <v>2Q27E</v>
      </c>
      <c r="G41" s="241" t="str">
        <f t="shared" si="9"/>
        <v>3Q27E</v>
      </c>
      <c r="H41" s="241" t="str">
        <f t="shared" si="9"/>
        <v>4Q27E</v>
      </c>
      <c r="I41" s="241" t="str">
        <f t="shared" si="9"/>
        <v>1Q28E</v>
      </c>
      <c r="J41" s="241" t="str">
        <f t="shared" si="9"/>
        <v>2Q28E</v>
      </c>
      <c r="K41" s="241" t="str">
        <f t="shared" si="9"/>
        <v>3Q28E</v>
      </c>
      <c r="L41" s="241" t="str">
        <f t="shared" si="9"/>
        <v>4Q28E</v>
      </c>
      <c r="M41" s="241" t="str">
        <f t="shared" si="9"/>
        <v>1Q29E</v>
      </c>
      <c r="N41" s="241" t="str">
        <f t="shared" si="9"/>
        <v>2Q29E</v>
      </c>
    </row>
    <row r="42" spans="1:15" s="7" customFormat="1" ht="11.25" customHeight="1" thickTop="1" x14ac:dyDescent="0.35">
      <c r="A42" s="122" t="s">
        <v>282</v>
      </c>
      <c r="B42" s="122"/>
      <c r="C42" s="328">
        <f>C38</f>
        <v>0.61678780714645032</v>
      </c>
      <c r="D42" s="328">
        <f t="shared" ref="D42:J42" ca="1" si="10">D38</f>
        <v>0.69431657273683478</v>
      </c>
      <c r="E42" s="328">
        <f t="shared" ca="1" si="10"/>
        <v>0.81988300858075225</v>
      </c>
      <c r="F42" s="329">
        <f t="shared" ca="1" si="10"/>
        <v>0.84285647176281753</v>
      </c>
      <c r="G42" s="328">
        <f t="shared" ca="1" si="10"/>
        <v>0.91444538735157321</v>
      </c>
      <c r="H42" s="328">
        <f t="shared" ca="1" si="10"/>
        <v>0.99655191700238543</v>
      </c>
      <c r="I42" s="328">
        <f t="shared" ca="1" si="10"/>
        <v>1.1623631173476967</v>
      </c>
      <c r="J42" s="329">
        <f t="shared" ca="1" si="10"/>
        <v>1.3150523314887432</v>
      </c>
      <c r="K42" s="336"/>
      <c r="L42" s="336"/>
      <c r="M42" s="336"/>
      <c r="N42" s="336"/>
    </row>
    <row r="43" spans="1:15" s="7" customFormat="1" ht="11.25" customHeight="1" x14ac:dyDescent="0.35">
      <c r="A43" s="122" t="s">
        <v>312</v>
      </c>
      <c r="B43" s="122"/>
      <c r="C43" s="325">
        <v>0</v>
      </c>
      <c r="D43" s="325">
        <v>0</v>
      </c>
      <c r="E43" s="325">
        <v>0</v>
      </c>
      <c r="F43" s="331">
        <v>0</v>
      </c>
      <c r="G43" s="325">
        <v>0</v>
      </c>
      <c r="H43" s="325">
        <v>0</v>
      </c>
      <c r="I43" s="325">
        <v>0</v>
      </c>
      <c r="J43" s="331">
        <v>0</v>
      </c>
      <c r="K43" s="336">
        <f ca="1">SUM($K$37:$N$37)*(((1-(B8/B67)))/(B15-B8))</f>
        <v>45.43248600692268</v>
      </c>
      <c r="L43" s="325"/>
      <c r="M43" s="325"/>
      <c r="N43" s="325"/>
    </row>
    <row r="44" spans="1:15" s="7" customFormat="1" ht="11.25" customHeight="1" x14ac:dyDescent="0.35">
      <c r="A44" s="238" t="s">
        <v>284</v>
      </c>
      <c r="B44" s="484">
        <f>-$B$6</f>
        <v>-30.1</v>
      </c>
      <c r="C44" s="327">
        <f>SUM(C42:C43)</f>
        <v>0.61678780714645032</v>
      </c>
      <c r="D44" s="327">
        <f t="shared" ref="D44:K44" ca="1" si="11">SUM(D42:D43)</f>
        <v>0.69431657273683478</v>
      </c>
      <c r="E44" s="327">
        <f t="shared" ca="1" si="11"/>
        <v>0.81988300858075225</v>
      </c>
      <c r="F44" s="335">
        <f t="shared" ca="1" si="11"/>
        <v>0.84285647176281753</v>
      </c>
      <c r="G44" s="327">
        <f t="shared" ca="1" si="11"/>
        <v>0.91444538735157321</v>
      </c>
      <c r="H44" s="327">
        <f t="shared" ca="1" si="11"/>
        <v>0.99655191700238543</v>
      </c>
      <c r="I44" s="327">
        <f t="shared" ca="1" si="11"/>
        <v>1.1623631173476967</v>
      </c>
      <c r="J44" s="335">
        <f t="shared" ca="1" si="11"/>
        <v>1.3150523314887432</v>
      </c>
      <c r="K44" s="327">
        <f t="shared" ca="1" si="11"/>
        <v>45.43248600692268</v>
      </c>
      <c r="L44" s="327"/>
      <c r="M44" s="327"/>
      <c r="N44" s="327"/>
    </row>
    <row r="45" spans="1:15" s="7" customFormat="1" ht="11.25" customHeight="1" x14ac:dyDescent="0.35">
      <c r="A45" s="215" t="s">
        <v>347</v>
      </c>
      <c r="B45" s="272">
        <f ca="1">(1+IRR(B44:K44))^4-1</f>
        <v>0.30894832685236517</v>
      </c>
      <c r="C45" s="478">
        <f ca="1">$B$6/SUM(C37:F37)</f>
        <v>6.7974558776851239</v>
      </c>
    </row>
    <row r="46" spans="1:15" s="7" customFormat="1" ht="11.25" customHeight="1" x14ac:dyDescent="0.35">
      <c r="A46" s="215" t="s">
        <v>322</v>
      </c>
      <c r="B46" s="338">
        <f ca="1">ROUND(NPV((1+B15)^(1/4)-1,C44:K44),1)</f>
        <v>38.299999999999997</v>
      </c>
      <c r="D46" s="123"/>
      <c r="E46" s="123"/>
      <c r="F46" s="123"/>
      <c r="G46" s="123"/>
      <c r="H46" s="123"/>
      <c r="I46" s="123"/>
      <c r="J46" s="123"/>
      <c r="K46" s="123"/>
      <c r="L46" s="123"/>
      <c r="M46" s="123"/>
      <c r="N46" s="123"/>
      <c r="O46" s="123"/>
    </row>
    <row r="47" spans="1:15" s="7" customFormat="1" ht="11.25" customHeight="1" x14ac:dyDescent="0.35">
      <c r="A47" s="238" t="s">
        <v>348</v>
      </c>
      <c r="B47" s="273">
        <f ca="1">(B46/B6)^(1/2)-1</f>
        <v>0.12801828405812432</v>
      </c>
      <c r="C47" s="123"/>
      <c r="D47" s="123"/>
      <c r="E47" s="123"/>
      <c r="F47" s="123"/>
      <c r="G47" s="123"/>
      <c r="H47" s="123"/>
      <c r="I47" s="123"/>
      <c r="J47" s="123"/>
      <c r="K47" s="123"/>
      <c r="L47" s="123"/>
      <c r="M47" s="123"/>
      <c r="N47" s="123"/>
      <c r="O47" s="123"/>
    </row>
    <row r="48" spans="1:15" s="7" customFormat="1" ht="11.25" customHeight="1" x14ac:dyDescent="0.35">
      <c r="B48" s="9"/>
      <c r="C48" s="123"/>
      <c r="D48" s="123"/>
      <c r="E48" s="123"/>
      <c r="F48" s="123"/>
      <c r="G48" s="123"/>
      <c r="H48" s="123"/>
      <c r="I48" s="123"/>
      <c r="J48" s="123"/>
      <c r="K48" s="123"/>
      <c r="L48" s="123"/>
      <c r="M48" s="123"/>
      <c r="N48" s="123"/>
      <c r="O48" s="123"/>
    </row>
    <row r="49" spans="1:15" s="7" customFormat="1" ht="11.25" customHeight="1" x14ac:dyDescent="0.35">
      <c r="B49" s="9"/>
      <c r="C49" s="123"/>
      <c r="D49" s="123"/>
      <c r="E49" s="123"/>
      <c r="F49" s="123"/>
      <c r="G49" s="123"/>
      <c r="H49" s="123"/>
      <c r="I49" s="123"/>
      <c r="J49" s="123"/>
      <c r="K49" s="123"/>
      <c r="L49" s="123"/>
      <c r="M49" s="123"/>
      <c r="N49" s="123"/>
      <c r="O49" s="123"/>
    </row>
    <row r="50" spans="1:15" ht="11.25" hidden="1" customHeight="1" outlineLevel="1" thickBot="1" x14ac:dyDescent="0.4">
      <c r="A50" s="119" t="s">
        <v>302</v>
      </c>
      <c r="B50" s="226"/>
      <c r="E50" s="255"/>
      <c r="G50" s="255"/>
      <c r="I50" s="307"/>
    </row>
    <row r="51" spans="1:15" ht="11.25" hidden="1" customHeight="1" outlineLevel="1" thickTop="1" x14ac:dyDescent="0.35">
      <c r="A51" s="230" t="s">
        <v>296</v>
      </c>
      <c r="B51" s="231" t="str">
        <f>LEFT(B4,2)&amp;RIGHT(B4,2)+1&amp;"E"</f>
        <v>2Q27E</v>
      </c>
      <c r="I51" s="307"/>
    </row>
    <row r="52" spans="1:15" ht="11.25" hidden="1" customHeight="1" outlineLevel="1" x14ac:dyDescent="0.35">
      <c r="A52" s="230" t="s">
        <v>298</v>
      </c>
      <c r="B52" s="233">
        <f ca="1">HLOOKUP($B$51,'BS &amp; FCF'!142:152,5,0)</f>
        <v>2118626.7696259911</v>
      </c>
      <c r="D52" s="309"/>
      <c r="E52" s="309"/>
      <c r="I52" s="307"/>
    </row>
    <row r="53" spans="1:15" ht="11.25" hidden="1" customHeight="1" outlineLevel="2" x14ac:dyDescent="0.35">
      <c r="A53" s="230" t="s">
        <v>291</v>
      </c>
      <c r="B53" s="314">
        <f ca="1">AVERAGE($C$22:$F$22)</f>
        <v>0.71314899983136415</v>
      </c>
      <c r="D53" s="309"/>
      <c r="E53" s="309"/>
      <c r="I53" s="307"/>
    </row>
    <row r="54" spans="1:15" ht="11.25" hidden="1" customHeight="1" outlineLevel="1" x14ac:dyDescent="0.35">
      <c r="A54" s="234" t="s">
        <v>300</v>
      </c>
      <c r="B54" s="244">
        <f ca="1">(B53-B8)/(B15-B8)</f>
        <v>5.3424523796139951</v>
      </c>
      <c r="C54" s="311"/>
      <c r="E54" s="309"/>
      <c r="I54" s="307"/>
    </row>
    <row r="55" spans="1:15" ht="11.25" hidden="1" customHeight="1" outlineLevel="1" x14ac:dyDescent="0.35">
      <c r="A55" s="230" t="s">
        <v>307</v>
      </c>
      <c r="B55" s="245">
        <v>0</v>
      </c>
      <c r="E55" s="64"/>
      <c r="H55" s="235"/>
      <c r="I55" s="307"/>
    </row>
    <row r="56" spans="1:15" ht="11.25" hidden="1" customHeight="1" outlineLevel="1" x14ac:dyDescent="0.35">
      <c r="A56" s="230" t="s">
        <v>306</v>
      </c>
      <c r="B56" s="112">
        <f ca="1">B52*B54+B55</f>
        <v>11318662.626902288</v>
      </c>
      <c r="E56" s="64"/>
      <c r="H56" s="235"/>
    </row>
    <row r="57" spans="1:15" ht="11.25" hidden="1" customHeight="1" outlineLevel="1" x14ac:dyDescent="0.35">
      <c r="A57" s="230" t="s">
        <v>295</v>
      </c>
      <c r="B57" s="112">
        <f>HLOOKUP(B51,IS!$A$47:$DB$48,2,0)</f>
        <v>308047.59399999998</v>
      </c>
      <c r="H57" s="111"/>
    </row>
    <row r="58" spans="1:15" ht="11.25" hidden="1" customHeight="1" outlineLevel="1" x14ac:dyDescent="0.35">
      <c r="A58" s="230" t="s">
        <v>344</v>
      </c>
      <c r="B58" s="315">
        <f ca="1">B56/B57</f>
        <v>36.7432268498818</v>
      </c>
      <c r="H58" s="111"/>
    </row>
    <row r="59" spans="1:15" ht="11.25" hidden="1" customHeight="1" outlineLevel="1" x14ac:dyDescent="0.35">
      <c r="A59" s="230" t="s">
        <v>297</v>
      </c>
      <c r="B59" s="315">
        <f ca="1">SUM(C38:F38)</f>
        <v>2.9738438602268547</v>
      </c>
    </row>
    <row r="60" spans="1:15" ht="11.25" hidden="1" customHeight="1" outlineLevel="1" x14ac:dyDescent="0.35">
      <c r="A60" s="251" t="s">
        <v>305</v>
      </c>
      <c r="B60" s="252"/>
      <c r="C60" s="236"/>
      <c r="D60" s="255"/>
      <c r="E60" s="33"/>
      <c r="I60" s="307"/>
    </row>
    <row r="61" spans="1:15" ht="11.25" hidden="1" customHeight="1" outlineLevel="1" x14ac:dyDescent="0.35">
      <c r="A61" s="253" t="s">
        <v>301</v>
      </c>
      <c r="B61" s="254"/>
      <c r="D61" s="236"/>
      <c r="E61" s="33"/>
      <c r="I61" s="307"/>
    </row>
    <row r="62" spans="1:15" ht="11.25" hidden="1" customHeight="1" outlineLevel="1" x14ac:dyDescent="0.35">
      <c r="A62" s="230"/>
      <c r="E62" s="33"/>
      <c r="I62" s="307"/>
    </row>
    <row r="63" spans="1:15" ht="11.25" hidden="1" customHeight="1" outlineLevel="1" x14ac:dyDescent="0.35">
      <c r="A63" s="230"/>
      <c r="E63" s="33"/>
      <c r="I63" s="307"/>
    </row>
    <row r="64" spans="1:15" ht="11.25" customHeight="1" collapsed="1" thickBot="1" x14ac:dyDescent="0.4">
      <c r="A64" s="119" t="s">
        <v>345</v>
      </c>
      <c r="B64" s="226"/>
      <c r="D64" s="246"/>
      <c r="E64" s="246"/>
      <c r="F64" s="246"/>
      <c r="G64" s="246"/>
      <c r="H64" s="246"/>
      <c r="I64" s="307"/>
    </row>
    <row r="65" spans="1:9" ht="11.25" customHeight="1" thickTop="1" x14ac:dyDescent="0.35">
      <c r="A65" s="230" t="s">
        <v>296</v>
      </c>
      <c r="B65" s="231" t="str">
        <f>LEFT(B4,2)&amp;RIGHT(B4,2)+1&amp;"E"</f>
        <v>2Q27E</v>
      </c>
      <c r="G65" s="246"/>
      <c r="H65" s="246"/>
      <c r="I65" s="307"/>
    </row>
    <row r="66" spans="1:9" ht="11.25" customHeight="1" x14ac:dyDescent="0.35">
      <c r="A66" s="230" t="s">
        <v>304</v>
      </c>
      <c r="B66" s="485">
        <f ca="1">SUM(G37:J37)</f>
        <v>5.4997328723959011</v>
      </c>
      <c r="G66" s="246"/>
      <c r="H66" s="246"/>
      <c r="I66" s="307"/>
    </row>
    <row r="67" spans="1:9" ht="11.25" customHeight="1" outlineLevel="1" x14ac:dyDescent="0.35">
      <c r="A67" s="230" t="s">
        <v>291</v>
      </c>
      <c r="B67" s="314">
        <f ca="1">AVERAGE($C$22:$F$22)</f>
        <v>0.71314899983136415</v>
      </c>
      <c r="G67" s="246"/>
      <c r="H67" s="246"/>
      <c r="I67" s="307"/>
    </row>
    <row r="68" spans="1:9" ht="11.25" customHeight="1" x14ac:dyDescent="0.35">
      <c r="A68" s="234" t="s">
        <v>308</v>
      </c>
      <c r="B68" s="486">
        <f ca="1">(((1-(B8/B67)))/(B15-B8))</f>
        <v>7.491355075695691</v>
      </c>
      <c r="C68" s="235"/>
      <c r="G68" s="246"/>
      <c r="H68" s="246"/>
      <c r="I68" s="307"/>
    </row>
    <row r="69" spans="1:9" ht="11.25" customHeight="1" outlineLevel="1" x14ac:dyDescent="0.35">
      <c r="A69" s="230" t="s">
        <v>307</v>
      </c>
      <c r="B69" s="487">
        <v>0</v>
      </c>
      <c r="G69" s="246"/>
      <c r="H69" s="246"/>
      <c r="I69" s="307"/>
    </row>
    <row r="70" spans="1:9" ht="11.25" customHeight="1" x14ac:dyDescent="0.35">
      <c r="A70" s="230" t="s">
        <v>342</v>
      </c>
      <c r="B70" s="315">
        <f ca="1">B66*B68</f>
        <v>41.200451768593474</v>
      </c>
      <c r="G70" s="246"/>
      <c r="H70" s="246"/>
      <c r="I70" s="307"/>
    </row>
    <row r="71" spans="1:9" ht="11.25" customHeight="1" x14ac:dyDescent="0.35">
      <c r="A71" s="230" t="s">
        <v>297</v>
      </c>
      <c r="B71" s="485">
        <f ca="1">SUM(C38:F38)</f>
        <v>2.9738438602268547</v>
      </c>
      <c r="F71" s="246"/>
      <c r="G71" s="246"/>
      <c r="H71" s="246"/>
    </row>
    <row r="72" spans="1:9" ht="11.25" customHeight="1" x14ac:dyDescent="0.35">
      <c r="A72" s="234" t="s">
        <v>305</v>
      </c>
      <c r="B72" s="250">
        <f ca="1">ROUND(B70+B71,0)</f>
        <v>44</v>
      </c>
      <c r="F72" s="246"/>
      <c r="G72" s="246"/>
      <c r="H72" s="246"/>
    </row>
    <row r="73" spans="1:9" ht="11.25" customHeight="1" x14ac:dyDescent="0.35">
      <c r="A73" s="274" t="s">
        <v>301</v>
      </c>
      <c r="B73" s="275">
        <f ca="1">B72/$B$6-1</f>
        <v>0.46179401993355484</v>
      </c>
      <c r="F73" s="246"/>
      <c r="G73" s="246"/>
      <c r="H73" s="246"/>
    </row>
    <row r="74" spans="1:9" ht="11.25" customHeight="1" x14ac:dyDescent="0.35">
      <c r="F74" s="246"/>
      <c r="G74" s="246"/>
      <c r="H74" s="246"/>
    </row>
    <row r="75" spans="1:9" ht="11.25" customHeight="1" x14ac:dyDescent="0.35">
      <c r="D75" s="246"/>
      <c r="E75" s="246"/>
      <c r="F75" s="246"/>
      <c r="G75" s="246"/>
      <c r="H75" s="246"/>
    </row>
    <row r="76" spans="1:9" ht="11.25" hidden="1" customHeight="1" outlineLevel="1" thickBot="1" x14ac:dyDescent="0.4">
      <c r="A76" s="119" t="s">
        <v>309</v>
      </c>
      <c r="B76" s="226"/>
      <c r="C76" s="241" t="str">
        <f>20&amp;RIGHT($B$4,2)&amp;"E"</f>
        <v>2026E</v>
      </c>
      <c r="D76" s="241" t="str">
        <f>20&amp;RIGHT($B$4,2)+1&amp;"E"</f>
        <v>2027E</v>
      </c>
      <c r="E76" s="241" t="str">
        <f>20&amp;RIGHT($B$4,2)+2&amp;"E"</f>
        <v>2028E</v>
      </c>
      <c r="F76" s="241" t="str">
        <f>20&amp;RIGHT($B$4,2)+3&amp;"E"</f>
        <v>2029E</v>
      </c>
      <c r="G76" s="241" t="str">
        <f>20&amp;RIGHT($B$4,2)+4&amp;"E"</f>
        <v>2030E</v>
      </c>
      <c r="H76" s="246"/>
    </row>
    <row r="77" spans="1:9" ht="11.25" hidden="1" customHeight="1" outlineLevel="1" thickTop="1" x14ac:dyDescent="0.35">
      <c r="A77" s="122" t="s">
        <v>315</v>
      </c>
      <c r="B77" s="257"/>
      <c r="C77" s="258">
        <f ca="1">HLOOKUP(C76,'BS &amp; FCF'!$A$70:$DB$90,21,FALSE)</f>
        <v>662949.17142213462</v>
      </c>
      <c r="D77" s="258">
        <f ca="1">HLOOKUP(D76,'BS &amp; FCF'!$A$70:$DB$90,21,FALSE)</f>
        <v>1346949.6928027356</v>
      </c>
      <c r="E77" s="258">
        <f ca="1">HLOOKUP(E76,'BS &amp; FCF'!$A$70:$DB$90,21,FALSE)</f>
        <v>1702178.8618586124</v>
      </c>
      <c r="F77" s="258">
        <f ca="1">HLOOKUP(F76,'BS &amp; FCF'!$A$70:$DB$90,21,FALSE)</f>
        <v>1817139.5363599379</v>
      </c>
      <c r="G77" s="258">
        <f ca="1">HLOOKUP(G76,'BS &amp; FCF'!$A$70:$DB$90,21,FALSE)</f>
        <v>1903149.6183847808</v>
      </c>
      <c r="H77" s="246"/>
    </row>
    <row r="78" spans="1:9" ht="11.25" hidden="1" customHeight="1" outlineLevel="2" x14ac:dyDescent="0.35">
      <c r="A78" s="339" t="s">
        <v>310</v>
      </c>
      <c r="B78" s="243"/>
      <c r="C78" s="243">
        <f>(1+$B$15)</f>
        <v>1.1660000000000006</v>
      </c>
      <c r="D78" s="243">
        <f>C78*(1+$B$15)</f>
        <v>1.3595560000000013</v>
      </c>
      <c r="E78" s="243">
        <f>D78*(1+$B$15)</f>
        <v>1.5852422960000023</v>
      </c>
      <c r="F78" s="243">
        <f>E78*(1+$B$15)</f>
        <v>1.8483925171360036</v>
      </c>
      <c r="G78" s="243">
        <f>F78*(1+$B$15)</f>
        <v>2.1552256749805814</v>
      </c>
      <c r="H78" s="246"/>
    </row>
    <row r="79" spans="1:9" ht="11.25" hidden="1" customHeight="1" outlineLevel="1" x14ac:dyDescent="0.35">
      <c r="A79" s="11" t="s">
        <v>311</v>
      </c>
      <c r="B79" s="259"/>
      <c r="C79" s="260">
        <f ca="1">C77/C78</f>
        <v>568567.04238604999</v>
      </c>
      <c r="D79" s="260">
        <f t="shared" ref="D79:G79" ca="1" si="12">D77/D78</f>
        <v>990727.62931628735</v>
      </c>
      <c r="E79" s="260">
        <f t="shared" ca="1" si="12"/>
        <v>1073765.7367291253</v>
      </c>
      <c r="F79" s="260">
        <f t="shared" ca="1" si="12"/>
        <v>983091.80518405756</v>
      </c>
      <c r="G79" s="260">
        <f t="shared" ca="1" si="12"/>
        <v>883039.60020424693</v>
      </c>
      <c r="H79" s="246"/>
    </row>
    <row r="80" spans="1:9" ht="11.25" hidden="1" customHeight="1" outlineLevel="1" x14ac:dyDescent="0.35">
      <c r="A80" s="262" t="s">
        <v>312</v>
      </c>
      <c r="B80" s="263"/>
      <c r="C80" s="264" t="s">
        <v>283</v>
      </c>
      <c r="D80" s="264" t="s">
        <v>283</v>
      </c>
      <c r="E80" s="264" t="s">
        <v>283</v>
      </c>
      <c r="F80" s="264" t="s">
        <v>283</v>
      </c>
      <c r="G80" s="265">
        <f ca="1">($G$77/($B$15-$B$8))/G78</f>
        <v>7008250.795271798</v>
      </c>
      <c r="H80" s="246"/>
      <c r="I80" s="307"/>
    </row>
    <row r="81" spans="1:9" ht="11.25" hidden="1" customHeight="1" outlineLevel="1" x14ac:dyDescent="0.35">
      <c r="A81" s="230" t="s">
        <v>306</v>
      </c>
      <c r="B81" s="63">
        <f ca="1">SUM(C79:G79,G80)</f>
        <v>11507442.609091565</v>
      </c>
      <c r="C81" s="243"/>
      <c r="D81" s="243"/>
      <c r="E81" s="243"/>
      <c r="F81" s="243"/>
      <c r="G81" s="243"/>
      <c r="H81" s="246"/>
      <c r="I81" s="307"/>
    </row>
    <row r="82" spans="1:9" ht="11.25" hidden="1" customHeight="1" outlineLevel="1" x14ac:dyDescent="0.35">
      <c r="A82" s="7" t="s">
        <v>295</v>
      </c>
      <c r="B82" s="63">
        <f>$B$57</f>
        <v>308047.59399999998</v>
      </c>
      <c r="H82" s="246"/>
      <c r="I82" s="307"/>
    </row>
    <row r="83" spans="1:9" ht="11.25" hidden="1" customHeight="1" outlineLevel="1" x14ac:dyDescent="0.35">
      <c r="A83" s="215" t="s">
        <v>305</v>
      </c>
      <c r="B83" s="276">
        <f ca="1">ROUND(B81/B82*(1+$B$15),1)</f>
        <v>43.6</v>
      </c>
      <c r="H83" s="246"/>
      <c r="I83" s="307"/>
    </row>
    <row r="84" spans="1:9" ht="11.25" hidden="1" customHeight="1" outlineLevel="1" x14ac:dyDescent="0.35">
      <c r="A84" s="227" t="s">
        <v>294</v>
      </c>
      <c r="B84" s="275">
        <f ca="1">+B83/B6-1</f>
        <v>0.44850498338870426</v>
      </c>
      <c r="C84" s="248"/>
      <c r="D84" s="248"/>
      <c r="E84" s="248"/>
      <c r="F84" s="248"/>
      <c r="G84" s="248"/>
      <c r="H84" s="246"/>
      <c r="I84" s="307"/>
    </row>
    <row r="85" spans="1:9" ht="11.25" customHeight="1" collapsed="1" x14ac:dyDescent="0.35">
      <c r="D85" s="235"/>
      <c r="E85" s="235"/>
      <c r="H85" s="246"/>
      <c r="I85" s="307"/>
    </row>
    <row r="86" spans="1:9" ht="11.25" customHeight="1" x14ac:dyDescent="0.35">
      <c r="D86" s="235"/>
      <c r="E86" s="235"/>
      <c r="F86" s="235"/>
      <c r="G86" s="309"/>
      <c r="H86" s="303"/>
      <c r="I86" s="313"/>
    </row>
    <row r="87" spans="1:9" ht="11.25" customHeight="1" x14ac:dyDescent="0.35">
      <c r="H87" s="246"/>
      <c r="I87" s="313"/>
    </row>
    <row r="88" spans="1:9" ht="11.25" customHeight="1" x14ac:dyDescent="0.35">
      <c r="H88" s="246"/>
      <c r="I88" s="307"/>
    </row>
    <row r="89" spans="1:9" ht="11.25" customHeight="1" x14ac:dyDescent="0.35">
      <c r="H89" s="246"/>
      <c r="I89" s="307"/>
    </row>
    <row r="90" spans="1:9" ht="11.25" customHeight="1" x14ac:dyDescent="0.35">
      <c r="H90" s="246"/>
    </row>
    <row r="91" spans="1:9" ht="11.25" customHeight="1" x14ac:dyDescent="0.35">
      <c r="H91" s="303"/>
    </row>
    <row r="92" spans="1:9" ht="11.25" customHeight="1" x14ac:dyDescent="0.35">
      <c r="H92" s="246"/>
    </row>
    <row r="93" spans="1:9" ht="11.25" customHeight="1" x14ac:dyDescent="0.35">
      <c r="H93" s="246"/>
      <c r="I93" s="307"/>
    </row>
    <row r="94" spans="1:9" ht="11.25" customHeight="1" x14ac:dyDescent="0.35">
      <c r="H94" s="246"/>
      <c r="I94" s="307"/>
    </row>
    <row r="95" spans="1:9" ht="11.25" customHeight="1" x14ac:dyDescent="0.35">
      <c r="H95" s="246"/>
      <c r="I95" s="307"/>
    </row>
    <row r="96" spans="1:9" ht="11.25" customHeight="1" x14ac:dyDescent="0.35">
      <c r="H96" s="246"/>
      <c r="I96" s="307"/>
    </row>
    <row r="97" spans="7:9" ht="11.25" customHeight="1" x14ac:dyDescent="0.35">
      <c r="H97" s="246"/>
    </row>
    <row r="98" spans="7:9" ht="11.25" customHeight="1" x14ac:dyDescent="0.35">
      <c r="H98" s="246"/>
    </row>
    <row r="99" spans="7:9" ht="11.25" customHeight="1" x14ac:dyDescent="0.35">
      <c r="H99" s="246"/>
      <c r="I99" s="7"/>
    </row>
    <row r="100" spans="7:9" ht="11.25" customHeight="1" x14ac:dyDescent="0.35">
      <c r="I100" s="7"/>
    </row>
    <row r="101" spans="7:9" ht="11.25" customHeight="1" x14ac:dyDescent="0.35">
      <c r="I101" s="306"/>
    </row>
    <row r="102" spans="7:9" ht="11.25" customHeight="1" x14ac:dyDescent="0.35">
      <c r="I102" s="306"/>
    </row>
    <row r="103" spans="7:9" ht="11.25" customHeight="1" x14ac:dyDescent="0.35">
      <c r="I103" s="306"/>
    </row>
    <row r="104" spans="7:9" ht="11.25" customHeight="1" x14ac:dyDescent="0.35">
      <c r="I104" s="306"/>
    </row>
    <row r="105" spans="7:9" ht="11.25" customHeight="1" x14ac:dyDescent="0.35">
      <c r="I105" s="306"/>
    </row>
    <row r="106" spans="7:9" ht="11.25" customHeight="1" x14ac:dyDescent="0.35">
      <c r="I106" s="306"/>
    </row>
    <row r="107" spans="7:9" ht="11.25" customHeight="1" x14ac:dyDescent="0.35">
      <c r="I107" s="306"/>
    </row>
    <row r="108" spans="7:9" ht="11.25" customHeight="1" x14ac:dyDescent="0.35">
      <c r="I108" s="306"/>
    </row>
    <row r="109" spans="7:9" ht="11.25" customHeight="1" x14ac:dyDescent="0.35">
      <c r="I109" s="306"/>
    </row>
    <row r="110" spans="7:9" ht="11.25" customHeight="1" x14ac:dyDescent="0.35">
      <c r="I110" s="306"/>
    </row>
    <row r="111" spans="7:9" ht="11.25" customHeight="1" x14ac:dyDescent="0.35">
      <c r="G111" s="307" t="s">
        <v>341</v>
      </c>
    </row>
  </sheetData>
  <pageMargins left="0.7" right="0.7" top="0.75" bottom="0.75" header="0.3" footer="0.3"/>
  <headerFooter>
    <oddFooter>&amp;L_x000D_&amp;1#&amp;"Calibri"&amp;9&amp;K000000 Corporativo | Interno</oddFooter>
  </headerFooter>
  <ignoredErrors>
    <ignoredError sqref="A1:XFD1 A116:F117 A69:B69 A68 A57 A54 C59:H59 B2:XFD2 A62:H63 A59:A61 C61:H61 A75:G76 A7:XFD8 A48:A49 A83:A84 A81 A77:F80 A97:G99 C81:G84 A3:XFD3 A19:B19 C18 A11:XFD12 F66 A17:XFD17 A16 D16:XFD16 A6 C6:XFD6 B38 A4 C4:XFD4 A65:A66 F65:H65 A9:A10 C9:XFD10 A14:XFD15 A13 C13:XFD13 A85:C86 A37:B37 A20:B20 J20:XFD20 R44:XFD45 A50:C50 R48:XFD52 E60:H60 B64:H64 A100:H110 A71:A73 A120:F120 A118:F119 U118:XFD119 U121:XFD121 U122:XFD122 U123:XFD123 A121:F125 U124:XFD124 A133:F133 A126:F126 U126:XFD126 U127:XFD129 U125:XFD125 A127:F132 U130:XFD131 A149:F149 A134:F140 H66 F74:G74 A55:C56 R59:XFD66 R68:XFD110 H50:H52 H54:H56 C60 F68:H73 A74:B74 R54:XFD57 O41:XFD43 O36:XFD38 B36 B41 G20:H20 C20:F20 A42:B42 B43 A44 D45 A141:F141 A142:F142 C27:F27 D23:F23 D24:F24 D25:F25 D26:F26 C32:F33 D28:F28 D29:F29 D30:F30 D31:F31 U132:XFD132 U140:XFD140 U133:XFD133 U134:XFD134 U135:XFD135 U136:XFD136 U137:XFD137 U138:XFD139 A143:F143 A144:F144 U141:XFD141 U142:XFD142 U143:XFD143 U144:XFD144 A145:F145 A146:F146 U145:XFD145 A147:F147 A148:F148 U146:XFD146 U147:XFD147 U148:XFD148 A171:XFD1048576 A150:F157 U150:XFD157 A158:F158 A159:F159 U158:XFD158 U159:XFD159 A160:F160 U160:XFD160 U149:XFD149 A161:F161 U161:XFD161 U116:XFD117 A111:F115 U120:XFD120 U111:XFD115 A162:F170 U162:XFD170 E18:XFD18 C57:D57 A52:C52 A51 C51 F57:H57 G19:XFD19" formula="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0E38-97A3-4B67-985D-565EE11D2ACE}">
  <sheetPr>
    <tabColor rgb="FFD7E2DC"/>
  </sheetPr>
  <dimension ref="B1:T72"/>
  <sheetViews>
    <sheetView showGridLines="0" zoomScaleNormal="100" workbookViewId="0">
      <selection activeCell="U30" sqref="U30"/>
    </sheetView>
  </sheetViews>
  <sheetFormatPr defaultColWidth="11" defaultRowHeight="15" customHeight="1" x14ac:dyDescent="0.35"/>
  <cols>
    <col min="1" max="1" width="3.81640625" style="370" customWidth="1"/>
    <col min="2" max="2" width="35.54296875" style="370" customWidth="1"/>
    <col min="3" max="7" width="11" style="370"/>
    <col min="8" max="8" width="30.54296875" style="523" customWidth="1"/>
    <col min="9" max="11" width="11" style="523" hidden="1" customWidth="1"/>
    <col min="12" max="14" width="11" style="523"/>
    <col min="15" max="16384" width="11" style="370"/>
  </cols>
  <sheetData>
    <row r="1" spans="2:15" ht="15" customHeight="1" x14ac:dyDescent="0.35">
      <c r="B1" s="358"/>
      <c r="C1" s="357"/>
      <c r="D1" s="357"/>
      <c r="E1" s="357"/>
      <c r="F1" s="357"/>
      <c r="G1" s="357"/>
      <c r="H1" s="522"/>
      <c r="I1" s="522"/>
      <c r="J1" s="522"/>
      <c r="K1" s="522"/>
    </row>
    <row r="2" spans="2:15" ht="15" customHeight="1" thickBot="1" x14ac:dyDescent="0.4">
      <c r="B2" s="359" t="s">
        <v>118</v>
      </c>
      <c r="C2" s="373" t="str">
        <f>IS!BX58</f>
        <v>2024</v>
      </c>
      <c r="D2" s="373" t="str">
        <f>IS!CC58</f>
        <v>2025</v>
      </c>
      <c r="E2" s="373" t="str">
        <f>IS!CH58</f>
        <v>2026E</v>
      </c>
      <c r="F2" s="373" t="str">
        <f>IS!CM58</f>
        <v>2027E</v>
      </c>
      <c r="G2" s="357"/>
      <c r="H2" s="522"/>
      <c r="I2" s="522"/>
      <c r="J2" s="522"/>
      <c r="K2" s="522"/>
    </row>
    <row r="3" spans="2:15" ht="15" customHeight="1" thickTop="1" x14ac:dyDescent="0.35">
      <c r="B3" s="361" t="s">
        <v>104</v>
      </c>
      <c r="C3" s="374">
        <f>IS!BX59</f>
        <v>3926310</v>
      </c>
      <c r="D3" s="374">
        <f>IS!CC59</f>
        <v>5399424</v>
      </c>
      <c r="E3" s="374">
        <f>IS!CH59</f>
        <v>6834256.2754184976</v>
      </c>
      <c r="F3" s="374">
        <f>IS!CM59</f>
        <v>8249783.244527258</v>
      </c>
      <c r="G3" s="357"/>
      <c r="H3" s="522"/>
      <c r="I3" s="522"/>
      <c r="J3" s="522"/>
      <c r="K3" s="522"/>
    </row>
    <row r="4" spans="2:15" ht="15" customHeight="1" thickBot="1" x14ac:dyDescent="0.4">
      <c r="B4" s="362" t="s">
        <v>105</v>
      </c>
      <c r="C4" s="375">
        <f>IS!BX60</f>
        <v>-2405009</v>
      </c>
      <c r="D4" s="375">
        <f>IS!CC60</f>
        <v>-3240281</v>
      </c>
      <c r="E4" s="375">
        <f>IS!CH60</f>
        <v>-4118879.9658323717</v>
      </c>
      <c r="F4" s="375">
        <f>IS!CM60</f>
        <v>-4941884.1671744976</v>
      </c>
      <c r="G4" s="357"/>
      <c r="H4" s="359" t="s">
        <v>433</v>
      </c>
      <c r="I4" s="526" t="s">
        <v>444</v>
      </c>
      <c r="J4" s="526" t="s">
        <v>438</v>
      </c>
      <c r="K4" s="526" t="s">
        <v>423</v>
      </c>
      <c r="L4" s="526" t="s">
        <v>438</v>
      </c>
      <c r="M4" s="526" t="s">
        <v>413</v>
      </c>
      <c r="N4" s="525" t="s">
        <v>445</v>
      </c>
      <c r="O4" s="526" t="s">
        <v>414</v>
      </c>
    </row>
    <row r="5" spans="2:15" ht="15" hidden="1" customHeight="1" thickTop="1" x14ac:dyDescent="0.35">
      <c r="B5" s="363" t="s">
        <v>106</v>
      </c>
      <c r="C5" s="376">
        <f>IS!BX61</f>
        <v>1521301</v>
      </c>
      <c r="D5" s="376">
        <f>IS!CC61</f>
        <v>2159143</v>
      </c>
      <c r="E5" s="376">
        <f>IS!CH61</f>
        <v>2715376.3095861259</v>
      </c>
      <c r="F5" s="376">
        <f>IS!CM61</f>
        <v>3307899.0773527604</v>
      </c>
      <c r="G5" s="360"/>
      <c r="H5" s="361" t="s">
        <v>57</v>
      </c>
      <c r="I5" s="527">
        <f>Operating!CE4/1000</f>
        <v>2256.9</v>
      </c>
      <c r="J5" s="376">
        <v>1289.5</v>
      </c>
      <c r="K5" s="528">
        <f t="shared" ref="K5:K13" si="0">$I5/J5-1</f>
        <v>0.7502132609538581</v>
      </c>
      <c r="L5" s="374">
        <f>Operating!CD4/1000</f>
        <v>2646.8</v>
      </c>
      <c r="M5" s="528">
        <f t="shared" ref="M5:M19" si="1">$I5/L5-1</f>
        <v>-0.14730995919601031</v>
      </c>
      <c r="N5" s="374">
        <f>Operating!BZ4/1000</f>
        <v>2225.2856110000002</v>
      </c>
      <c r="O5" s="528">
        <f t="shared" ref="O5:O19" si="2">$I5/N5-1</f>
        <v>1.4206890496987867E-2</v>
      </c>
    </row>
    <row r="6" spans="2:15" ht="15" hidden="1" customHeight="1" x14ac:dyDescent="0.35">
      <c r="B6" s="362" t="s">
        <v>107</v>
      </c>
      <c r="C6" s="375">
        <f>IS!BX62</f>
        <v>-701799</v>
      </c>
      <c r="D6" s="375">
        <f>IS!CC62</f>
        <v>-885917</v>
      </c>
      <c r="E6" s="375">
        <f>IS!CH62</f>
        <v>-1100914.9608481829</v>
      </c>
      <c r="F6" s="375">
        <f>IS!CM62</f>
        <v>-1335056.7643955483</v>
      </c>
      <c r="G6" s="360"/>
      <c r="H6" s="542" t="s">
        <v>58</v>
      </c>
      <c r="I6" s="530">
        <f>Operating!CE5/1000</f>
        <v>1943.9</v>
      </c>
      <c r="J6" s="375">
        <v>1179.0999999999999</v>
      </c>
      <c r="K6" s="528">
        <f t="shared" si="0"/>
        <v>0.64863031125434678</v>
      </c>
      <c r="L6" s="543">
        <f>Operating!CD5/1000</f>
        <v>2268.9</v>
      </c>
      <c r="M6" s="528">
        <f t="shared" si="1"/>
        <v>-0.14324121821146807</v>
      </c>
      <c r="N6" s="543">
        <f>Operating!BZ5/1000</f>
        <v>1960.4876510000001</v>
      </c>
      <c r="O6" s="528">
        <f t="shared" si="2"/>
        <v>-8.4609821395911222E-3</v>
      </c>
    </row>
    <row r="7" spans="2:15" ht="15" hidden="1" customHeight="1" x14ac:dyDescent="0.35">
      <c r="B7" s="488" t="s">
        <v>108</v>
      </c>
      <c r="C7" s="375">
        <f>IS!BX63</f>
        <v>819502</v>
      </c>
      <c r="D7" s="375">
        <f>IS!CC63</f>
        <v>1273226</v>
      </c>
      <c r="E7" s="375">
        <f>IS!CH63</f>
        <v>1614461.348737943</v>
      </c>
      <c r="F7" s="375">
        <f>IS!CM63</f>
        <v>1972842.3129572121</v>
      </c>
      <c r="G7" s="360"/>
      <c r="H7" s="547" t="s">
        <v>415</v>
      </c>
      <c r="I7" s="527">
        <f>Operating!CE9/1000</f>
        <v>2045.5</v>
      </c>
      <c r="J7" s="376">
        <v>1556.3</v>
      </c>
      <c r="K7" s="548">
        <f t="shared" si="0"/>
        <v>0.31433528240056541</v>
      </c>
      <c r="L7" s="374">
        <f>Operating!CD9/1000</f>
        <v>2304.6</v>
      </c>
      <c r="M7" s="548">
        <f t="shared" si="1"/>
        <v>-0.11242731927449445</v>
      </c>
      <c r="N7" s="374">
        <f>Operating!BZ9/1000</f>
        <v>2261.3631793000004</v>
      </c>
      <c r="O7" s="548">
        <f t="shared" si="2"/>
        <v>-9.5457103607223481E-2</v>
      </c>
    </row>
    <row r="8" spans="2:15" ht="15" hidden="1" customHeight="1" x14ac:dyDescent="0.35">
      <c r="B8" s="489" t="s">
        <v>110</v>
      </c>
      <c r="C8" s="377">
        <f>IS!BX64</f>
        <v>2673</v>
      </c>
      <c r="D8" s="377">
        <f>IS!CC64</f>
        <v>865</v>
      </c>
      <c r="E8" s="377">
        <f>IS!CH64</f>
        <v>846.81788053379103</v>
      </c>
      <c r="F8" s="377">
        <f>IS!CM64</f>
        <v>874.75537421960837</v>
      </c>
      <c r="G8" s="360"/>
      <c r="H8" s="544" t="s">
        <v>421</v>
      </c>
      <c r="I8" s="545">
        <f>Operating!CE10/1000</f>
        <v>1748.8</v>
      </c>
      <c r="J8" s="622">
        <v>1434.7</v>
      </c>
      <c r="K8" s="529">
        <f t="shared" si="0"/>
        <v>0.21893078692409551</v>
      </c>
      <c r="L8" s="546">
        <f>Operating!CD10/1000</f>
        <v>1893.6</v>
      </c>
      <c r="M8" s="529">
        <f t="shared" si="1"/>
        <v>-7.6468103084072592E-2</v>
      </c>
      <c r="N8" s="546">
        <f>Operating!BZ10/1000</f>
        <v>2007.2358972826</v>
      </c>
      <c r="O8" s="529">
        <f t="shared" si="2"/>
        <v>-0.12875213004733077</v>
      </c>
    </row>
    <row r="9" spans="2:15" ht="15" customHeight="1" thickTop="1" x14ac:dyDescent="0.35">
      <c r="B9" s="363" t="s">
        <v>109</v>
      </c>
      <c r="C9" s="378">
        <f>IS!BX65</f>
        <v>822175</v>
      </c>
      <c r="D9" s="378">
        <f>IS!CC65</f>
        <v>1274091</v>
      </c>
      <c r="E9" s="378">
        <f>IS!CH65</f>
        <v>1615308.1666184769</v>
      </c>
      <c r="F9" s="378">
        <f>IS!CM65</f>
        <v>1973717.0683314316</v>
      </c>
      <c r="G9" s="360"/>
      <c r="H9" s="361" t="s">
        <v>435</v>
      </c>
      <c r="I9" s="527">
        <f>IS!CE9/1000</f>
        <v>1690.5940000000001</v>
      </c>
      <c r="J9" s="376">
        <v>1552.9595637523969</v>
      </c>
      <c r="K9" s="528">
        <f t="shared" si="0"/>
        <v>8.8627186090434185E-2</v>
      </c>
      <c r="L9" s="374">
        <f>IS!CD9/1000</f>
        <v>1612.5709999999999</v>
      </c>
      <c r="M9" s="528">
        <f>$I9/L9-1</f>
        <v>4.8384226182909273E-2</v>
      </c>
      <c r="N9" s="374">
        <f>IS!BZ9/1000</f>
        <v>1346.5989999999999</v>
      </c>
      <c r="O9" s="528">
        <f>$I9/N9-1</f>
        <v>0.25545466764790414</v>
      </c>
    </row>
    <row r="10" spans="2:15" ht="15" hidden="1" customHeight="1" x14ac:dyDescent="0.35">
      <c r="B10" s="362" t="s">
        <v>224</v>
      </c>
      <c r="C10" s="375">
        <f>IS!BX66</f>
        <v>-39445</v>
      </c>
      <c r="D10" s="375">
        <f>IS!CC66</f>
        <v>-60370</v>
      </c>
      <c r="E10" s="375">
        <f ca="1">IS!CH66</f>
        <v>-54788.155545776157</v>
      </c>
      <c r="F10" s="375">
        <f ca="1">IS!CM66</f>
        <v>-30574.017562597786</v>
      </c>
      <c r="G10" s="360"/>
      <c r="H10" s="362" t="s">
        <v>105</v>
      </c>
      <c r="I10" s="530">
        <f>IS!CE10/1000</f>
        <v>-1022.232</v>
      </c>
      <c r="J10" s="375">
        <v>-947.07819366427975</v>
      </c>
      <c r="K10" s="531">
        <f t="shared" si="0"/>
        <v>7.9353327780621097E-2</v>
      </c>
      <c r="L10" s="375">
        <f>IS!CD10/1000</f>
        <v>-982.91499999999996</v>
      </c>
      <c r="M10" s="531">
        <f t="shared" si="1"/>
        <v>4.0000406952788392E-2</v>
      </c>
      <c r="N10" s="375">
        <f>IS!BZ10/1000</f>
        <v>-813.82299999999998</v>
      </c>
      <c r="O10" s="531">
        <f t="shared" si="2"/>
        <v>0.2560863971649856</v>
      </c>
    </row>
    <row r="11" spans="2:15" ht="15" customHeight="1" x14ac:dyDescent="0.35">
      <c r="B11" s="364" t="s">
        <v>116</v>
      </c>
      <c r="C11" s="375">
        <f>IS!BX67</f>
        <v>106081</v>
      </c>
      <c r="D11" s="375">
        <f>IS!CC67</f>
        <v>170022</v>
      </c>
      <c r="E11" s="375">
        <f ca="1">IS!CH67</f>
        <v>190482.03677940756</v>
      </c>
      <c r="F11" s="375">
        <f ca="1">IS!CM67</f>
        <v>213185.272427227</v>
      </c>
      <c r="G11" s="360"/>
      <c r="H11" s="363" t="s">
        <v>71</v>
      </c>
      <c r="I11" s="527">
        <f>IS!CE16/1000</f>
        <v>668.36199999999997</v>
      </c>
      <c r="J11" s="376">
        <v>605.88137008811725</v>
      </c>
      <c r="K11" s="625">
        <f t="shared" si="0"/>
        <v>0.10312353704289623</v>
      </c>
      <c r="L11" s="376">
        <f>IS!CD16/1000</f>
        <v>629.65599999999995</v>
      </c>
      <c r="M11" s="625">
        <f>$I11/L11-1</f>
        <v>6.1471660716327703E-2</v>
      </c>
      <c r="N11" s="376">
        <f>IS!BZ16/1000</f>
        <v>532.77599999999995</v>
      </c>
      <c r="O11" s="625">
        <f>$I11/N11-1</f>
        <v>0.25448969172785563</v>
      </c>
    </row>
    <row r="12" spans="2:15" ht="15" hidden="1" customHeight="1" x14ac:dyDescent="0.35">
      <c r="B12" s="364" t="s">
        <v>117</v>
      </c>
      <c r="C12" s="375">
        <f>IS!BX68</f>
        <v>-145526</v>
      </c>
      <c r="D12" s="375">
        <f>IS!CC68</f>
        <v>-230392</v>
      </c>
      <c r="E12" s="375">
        <f>IS!CH68</f>
        <v>-245270.19232518371</v>
      </c>
      <c r="F12" s="375">
        <f>IS!CM68</f>
        <v>-243759.28998982479</v>
      </c>
      <c r="G12" s="360"/>
      <c r="H12" s="362" t="s">
        <v>418</v>
      </c>
      <c r="I12" s="530">
        <f>IS!CE18/1000</f>
        <v>-166.79</v>
      </c>
      <c r="J12" s="375">
        <v>-131.7628</v>
      </c>
      <c r="K12" s="531">
        <f t="shared" si="0"/>
        <v>0.26583527368878013</v>
      </c>
      <c r="L12" s="375">
        <f>IS!CD18/1000</f>
        <v>-119.07</v>
      </c>
      <c r="M12" s="531">
        <f t="shared" si="1"/>
        <v>0.40077265474090873</v>
      </c>
      <c r="N12" s="375">
        <f>IS!BZ18/1000</f>
        <v>-124.747</v>
      </c>
      <c r="O12" s="531">
        <f t="shared" si="2"/>
        <v>0.33702614090920013</v>
      </c>
    </row>
    <row r="13" spans="2:15" ht="15" hidden="1" customHeight="1" x14ac:dyDescent="0.35">
      <c r="B13" s="362" t="s">
        <v>112</v>
      </c>
      <c r="C13" s="375">
        <f>IS!BX69</f>
        <v>8539</v>
      </c>
      <c r="D13" s="375">
        <f>IS!CC69</f>
        <v>7390</v>
      </c>
      <c r="E13" s="375">
        <f>IS!CH69</f>
        <v>4846.5360952853207</v>
      </c>
      <c r="F13" s="375">
        <f>IS!CM69</f>
        <v>3512.1644615167361</v>
      </c>
      <c r="G13" s="360"/>
      <c r="H13" s="362" t="s">
        <v>419</v>
      </c>
      <c r="I13" s="530">
        <f>IS!CE21/1000+IS!CE32/1000</f>
        <v>-78.36399999999999</v>
      </c>
      <c r="J13" s="375">
        <v>-62.447039619144462</v>
      </c>
      <c r="K13" s="531">
        <f t="shared" si="0"/>
        <v>0.25488734899093357</v>
      </c>
      <c r="L13" s="375">
        <f>IS!CD21/1000+IS!CD32/1000</f>
        <v>-64.932000000000002</v>
      </c>
      <c r="M13" s="531">
        <f t="shared" si="1"/>
        <v>0.20686256391301661</v>
      </c>
      <c r="N13" s="375">
        <f>IS!BZ21/1000+IS!BZ32/1000</f>
        <v>-64.402000000000001</v>
      </c>
      <c r="O13" s="531">
        <f t="shared" si="2"/>
        <v>0.21679450948728274</v>
      </c>
    </row>
    <row r="14" spans="2:15" ht="15" hidden="1" customHeight="1" x14ac:dyDescent="0.35">
      <c r="B14" s="371" t="s">
        <v>113</v>
      </c>
      <c r="C14" s="375">
        <f>IS!BX70</f>
        <v>788596</v>
      </c>
      <c r="D14" s="375">
        <f>IS!CC70</f>
        <v>1220246</v>
      </c>
      <c r="E14" s="375">
        <f ca="1">IS!CH70</f>
        <v>1564519.7292874528</v>
      </c>
      <c r="F14" s="375">
        <f ca="1">IS!CM70</f>
        <v>1945780.4598561306</v>
      </c>
      <c r="G14" s="360"/>
      <c r="H14" s="362" t="s">
        <v>224</v>
      </c>
      <c r="I14" s="530">
        <f>IS!CE23/1000</f>
        <v>-22.12</v>
      </c>
      <c r="J14" s="375">
        <v>-7.9918609331834016</v>
      </c>
      <c r="K14" s="531">
        <f>$I14/J14-1</f>
        <v>1.7678159298486356</v>
      </c>
      <c r="L14" s="375">
        <f>IS!CD23/1000</f>
        <v>-10.709</v>
      </c>
      <c r="M14" s="531">
        <f t="shared" si="1"/>
        <v>1.065552339153983</v>
      </c>
      <c r="N14" s="375">
        <f>IS!BZ23/1000</f>
        <v>-15.628</v>
      </c>
      <c r="O14" s="531">
        <f t="shared" si="2"/>
        <v>0.41540824161760947</v>
      </c>
    </row>
    <row r="15" spans="2:15" ht="15" hidden="1" customHeight="1" x14ac:dyDescent="0.35">
      <c r="B15" s="362" t="s">
        <v>114</v>
      </c>
      <c r="C15" s="375">
        <f>IS!BX71</f>
        <v>-89784</v>
      </c>
      <c r="D15" s="375">
        <f>IS!CC71</f>
        <v>-139026</v>
      </c>
      <c r="E15" s="375">
        <f>IS!CH71</f>
        <v>-180592.21316012603</v>
      </c>
      <c r="F15" s="375">
        <f>IS!CM71</f>
        <v>-220147.90144387286</v>
      </c>
      <c r="G15" s="360"/>
      <c r="H15" s="362" t="s">
        <v>112</v>
      </c>
      <c r="I15" s="530">
        <f>IS!CE30/1000-IS!CE32/1000</f>
        <v>-45.796999999999997</v>
      </c>
      <c r="J15" s="375">
        <v>-39.609072600000012</v>
      </c>
      <c r="K15" s="531">
        <f>$I15/J15-1</f>
        <v>0.15622500083478297</v>
      </c>
      <c r="L15" s="375">
        <f>IS!CD30/1000-IS!CD32/1000</f>
        <v>-44.790999999999997</v>
      </c>
      <c r="M15" s="531">
        <f t="shared" si="1"/>
        <v>2.2459869170145863E-2</v>
      </c>
      <c r="N15" s="375">
        <f>IS!BZ30/1000-IS!BZ32/1000</f>
        <v>-30.494</v>
      </c>
      <c r="O15" s="531">
        <f t="shared" si="2"/>
        <v>0.5018364268380664</v>
      </c>
    </row>
    <row r="16" spans="2:15" ht="15" hidden="1" customHeight="1" x14ac:dyDescent="0.35">
      <c r="B16" s="362" t="s">
        <v>115</v>
      </c>
      <c r="C16" s="375">
        <f>IS!BX72</f>
        <v>-48969</v>
      </c>
      <c r="D16" s="375">
        <f>IS!CC72</f>
        <v>-105684</v>
      </c>
      <c r="E16" s="375">
        <f>IS!CH72</f>
        <v>-168312.3656744154</v>
      </c>
      <c r="F16" s="375">
        <f>IS!CM72</f>
        <v>-196693.89440558822</v>
      </c>
      <c r="G16" s="360"/>
      <c r="H16" s="362" t="s">
        <v>420</v>
      </c>
      <c r="I16" s="530">
        <f>IS!CE34/1000</f>
        <v>1.014</v>
      </c>
      <c r="J16" s="375">
        <v>1.1985290538319102</v>
      </c>
      <c r="K16" s="531">
        <f t="shared" ref="K16:K21" si="3">$I16/J16-1</f>
        <v>-0.15396293752073686</v>
      </c>
      <c r="L16" s="375">
        <f>IS!CD34/1000</f>
        <v>2.282</v>
      </c>
      <c r="M16" s="531">
        <f t="shared" si="1"/>
        <v>-0.55565293602103416</v>
      </c>
      <c r="N16" s="375">
        <f>IS!BZ34/1000</f>
        <v>1.091</v>
      </c>
      <c r="O16" s="531">
        <f t="shared" si="2"/>
        <v>-7.05774518790101E-2</v>
      </c>
    </row>
    <row r="17" spans="2:20" ht="15" hidden="1" customHeight="1" x14ac:dyDescent="0.35">
      <c r="B17" s="490" t="s">
        <v>122</v>
      </c>
      <c r="C17" s="376">
        <f>IS!BX73</f>
        <v>649843</v>
      </c>
      <c r="D17" s="376">
        <f>IS!CC73</f>
        <v>975536</v>
      </c>
      <c r="E17" s="376">
        <f ca="1">IS!CH73</f>
        <v>1215615.1504529114</v>
      </c>
      <c r="F17" s="376">
        <f ca="1">IS!CM73</f>
        <v>1528938.6640066695</v>
      </c>
      <c r="G17" s="360"/>
      <c r="H17" s="363" t="s">
        <v>113</v>
      </c>
      <c r="I17" s="527">
        <f>IS!CE35/1000</f>
        <v>356.30500000000001</v>
      </c>
      <c r="J17" s="376">
        <v>365.26912598962127</v>
      </c>
      <c r="K17" s="531">
        <f t="shared" si="3"/>
        <v>-2.4541154321036096E-2</v>
      </c>
      <c r="L17" s="376">
        <f>IS!CD35/1000</f>
        <v>392.43599999999998</v>
      </c>
      <c r="M17" s="531">
        <f t="shared" si="1"/>
        <v>-9.2068515630574055E-2</v>
      </c>
      <c r="N17" s="376">
        <f>IS!BZ35/1000</f>
        <v>298.596</v>
      </c>
      <c r="O17" s="531">
        <f t="shared" si="2"/>
        <v>0.19326782676258225</v>
      </c>
    </row>
    <row r="18" spans="2:20" ht="15" hidden="1" customHeight="1" x14ac:dyDescent="0.35">
      <c r="B18" s="366" t="s">
        <v>123</v>
      </c>
      <c r="C18" s="379">
        <f>IS!BX74</f>
        <v>649843</v>
      </c>
      <c r="D18" s="379">
        <f>IS!CC74</f>
        <v>975536</v>
      </c>
      <c r="E18" s="379">
        <f ca="1">IS!CH74</f>
        <v>1215615.1504529114</v>
      </c>
      <c r="F18" s="379">
        <f ca="1">IS!CM74</f>
        <v>1528938.6640066695</v>
      </c>
      <c r="G18" s="360"/>
      <c r="H18" s="362" t="s">
        <v>114</v>
      </c>
      <c r="I18" s="530">
        <f>IS!CE38/1000</f>
        <v>-42.103000000000002</v>
      </c>
      <c r="J18" s="375">
        <v>-33.193579355968673</v>
      </c>
      <c r="K18" s="531">
        <f t="shared" si="3"/>
        <v>0.26840795168506859</v>
      </c>
      <c r="L18" s="375">
        <f>IS!CD38/1000</f>
        <v>-37.247</v>
      </c>
      <c r="M18" s="531">
        <f t="shared" si="1"/>
        <v>0.13037291593953881</v>
      </c>
      <c r="N18" s="375">
        <f>IS!BZ38/1000</f>
        <v>-28.545000000000002</v>
      </c>
      <c r="O18" s="531">
        <f t="shared" si="2"/>
        <v>0.47496934664564727</v>
      </c>
    </row>
    <row r="19" spans="2:20" ht="15" hidden="1" customHeight="1" x14ac:dyDescent="0.35">
      <c r="B19" s="365"/>
      <c r="C19" s="376"/>
      <c r="D19" s="376"/>
      <c r="E19" s="376"/>
      <c r="F19" s="376"/>
      <c r="G19" s="360"/>
      <c r="H19" s="362" t="s">
        <v>115</v>
      </c>
      <c r="I19" s="530">
        <f>IS!CE43/1000</f>
        <v>-40.74</v>
      </c>
      <c r="J19" s="375">
        <v>-42.052199999999999</v>
      </c>
      <c r="K19" s="531">
        <f t="shared" si="3"/>
        <v>-3.1204074935437309E-2</v>
      </c>
      <c r="L19" s="375">
        <f>IS!CD43/1000</f>
        <v>-48.319000000000003</v>
      </c>
      <c r="M19" s="531">
        <f t="shared" si="1"/>
        <v>-0.1568534117014011</v>
      </c>
      <c r="N19" s="375">
        <f>IS!BZ43/1000</f>
        <v>-30.425999999999998</v>
      </c>
      <c r="O19" s="531">
        <f t="shared" si="2"/>
        <v>0.33898639321632817</v>
      </c>
    </row>
    <row r="20" spans="2:20" ht="15" customHeight="1" thickBot="1" x14ac:dyDescent="0.4">
      <c r="B20" s="359" t="s">
        <v>54</v>
      </c>
      <c r="C20" s="380" t="str">
        <f>IS!BX76</f>
        <v>2024</v>
      </c>
      <c r="D20" s="380" t="str">
        <f>IS!CC76</f>
        <v>2025</v>
      </c>
      <c r="E20" s="380" t="str">
        <f>IS!CH76</f>
        <v>2026E</v>
      </c>
      <c r="F20" s="380" t="str">
        <f>IS!CM76</f>
        <v>2027E</v>
      </c>
      <c r="G20" s="360"/>
      <c r="H20" s="490" t="s">
        <v>436</v>
      </c>
      <c r="I20" s="527">
        <f>IS!CE45/1000</f>
        <v>270.45100000000002</v>
      </c>
      <c r="J20" s="376">
        <v>281.28701776830655</v>
      </c>
      <c r="K20" s="552">
        <f t="shared" si="3"/>
        <v>-3.8522992828741387E-2</v>
      </c>
      <c r="L20" s="376">
        <f>IS!CD45/1000</f>
        <v>302.86700000000002</v>
      </c>
      <c r="M20" s="552">
        <f>$I20/L20-1</f>
        <v>-0.10703047872498483</v>
      </c>
      <c r="N20" s="376">
        <f>IS!BZ45/1000</f>
        <v>236.73099999999999</v>
      </c>
      <c r="O20" s="552">
        <f>$I20/N20-1</f>
        <v>0.14244015359205187</v>
      </c>
    </row>
    <row r="21" spans="2:20" ht="15" customHeight="1" thickTop="1" x14ac:dyDescent="0.35">
      <c r="B21" s="361" t="s">
        <v>150</v>
      </c>
      <c r="C21" s="381">
        <f>IS!BX77</f>
        <v>0.38746329250619538</v>
      </c>
      <c r="D21" s="381">
        <f>IS!CC77</f>
        <v>0.39988395058435861</v>
      </c>
      <c r="E21" s="381">
        <f>IS!CH77</f>
        <v>0.39731847916690088</v>
      </c>
      <c r="F21" s="381">
        <f>IS!CM77</f>
        <v>0.40096799871040911</v>
      </c>
      <c r="G21" s="360"/>
      <c r="H21" s="553" t="s">
        <v>10</v>
      </c>
      <c r="I21" s="554">
        <f>IS!CE52</f>
        <v>0.87795199595034012</v>
      </c>
      <c r="J21" s="555">
        <v>0.91312843614778094</v>
      </c>
      <c r="K21" s="532">
        <f t="shared" si="3"/>
        <v>-3.8522992828741387E-2</v>
      </c>
      <c r="L21" s="555">
        <f>IS!CD52</f>
        <v>0.98318248835275768</v>
      </c>
      <c r="M21" s="532">
        <f>$I21/L21-1</f>
        <v>-0.10703047872498495</v>
      </c>
      <c r="N21" s="555">
        <f>IS!BZ52</f>
        <v>0.81384506985582306</v>
      </c>
      <c r="O21" s="532">
        <f>$I21/N21-1</f>
        <v>7.8770429985984824E-2</v>
      </c>
    </row>
    <row r="22" spans="2:20" ht="15" hidden="1" customHeight="1" x14ac:dyDescent="0.35">
      <c r="B22" s="361" t="s">
        <v>79</v>
      </c>
      <c r="C22" s="382">
        <f>IS!BX78</f>
        <v>0.3853338121544147</v>
      </c>
      <c r="D22" s="382">
        <f>IS!CC78</f>
        <v>0.3975585173529621</v>
      </c>
      <c r="E22" s="382">
        <f>IS!CH78</f>
        <v>0.39561817114006698</v>
      </c>
      <c r="F22" s="382">
        <f>IS!CM78</f>
        <v>0.39832613140870532</v>
      </c>
      <c r="G22" s="360"/>
      <c r="H22" s="620" t="s">
        <v>417</v>
      </c>
      <c r="I22" s="533">
        <f>IS!CE77</f>
        <v>0.39846172410407232</v>
      </c>
      <c r="J22" s="534">
        <v>0.39089988271897158</v>
      </c>
      <c r="K22" s="535">
        <f>($I22-J22)*10000</f>
        <v>75.618413851007432</v>
      </c>
      <c r="L22" s="534">
        <f>IS!CD77</f>
        <v>0.393098350398215</v>
      </c>
      <c r="M22" s="535">
        <f>($I22-L22)*10000</f>
        <v>53.633737058573217</v>
      </c>
      <c r="N22" s="534">
        <f>IS!BZ77</f>
        <v>0.3982128309912602</v>
      </c>
      <c r="O22" s="535">
        <f>($I22-N22)*10000</f>
        <v>2.4889311281212079</v>
      </c>
    </row>
    <row r="23" spans="2:20" ht="15" customHeight="1" x14ac:dyDescent="0.35">
      <c r="B23" s="372" t="s">
        <v>148</v>
      </c>
      <c r="C23" s="383">
        <f>IS!BX79</f>
        <v>0.40013942888589976</v>
      </c>
      <c r="D23" s="383">
        <f>IS!CC79</f>
        <v>0.41287067104475444</v>
      </c>
      <c r="E23" s="383">
        <f>IS!CH79</f>
        <v>0.40986591672938727</v>
      </c>
      <c r="F23" s="383">
        <f>IS!CM79</f>
        <v>0.41379735937212836</v>
      </c>
      <c r="G23" s="360"/>
      <c r="H23" s="620" t="s">
        <v>79</v>
      </c>
      <c r="I23" s="533">
        <f>IS!CE78</f>
        <v>0.39534151901639303</v>
      </c>
      <c r="J23" s="534">
        <v>0.39014626280682646</v>
      </c>
      <c r="K23" s="535">
        <f>($I23-J23)*10000</f>
        <v>51.952562095665677</v>
      </c>
      <c r="L23" s="534">
        <f>IS!CD78</f>
        <v>0.39046714842323221</v>
      </c>
      <c r="M23" s="535">
        <f>($I23-L23)*10000</f>
        <v>48.743705931608147</v>
      </c>
      <c r="N23" s="534">
        <f>IS!BZ78</f>
        <v>0.39564562278748167</v>
      </c>
      <c r="O23" s="535">
        <f>($I23-N23)*10000</f>
        <v>-3.041037710886374</v>
      </c>
    </row>
    <row r="24" spans="2:20" ht="15" customHeight="1" x14ac:dyDescent="0.35">
      <c r="B24" s="372" t="s">
        <v>149</v>
      </c>
      <c r="C24" s="383">
        <f>IS!BX80</f>
        <v>3.3898305084745763E-2</v>
      </c>
      <c r="D24" s="383">
        <f>IS!CC80</f>
        <v>0.64485463774803875</v>
      </c>
      <c r="E24" s="383">
        <f>IS!CH80</f>
        <v>-0.19645014202481983</v>
      </c>
      <c r="F24" s="383">
        <f>IS!CM80</f>
        <v>-0.73513513513513506</v>
      </c>
      <c r="G24" s="360"/>
      <c r="H24" s="621" t="s">
        <v>214</v>
      </c>
      <c r="I24" s="536">
        <f>IS!CE83</f>
        <v>0.15997394998444334</v>
      </c>
      <c r="J24" s="537">
        <v>0.18112964711626889</v>
      </c>
      <c r="K24" s="538">
        <f>($I24-J24)*10000</f>
        <v>-211.55697131825551</v>
      </c>
      <c r="L24" s="537">
        <f>IS!CD83</f>
        <v>0.18781622638631104</v>
      </c>
      <c r="M24" s="538">
        <f>($I24-L24)*10000</f>
        <v>-278.42276401867707</v>
      </c>
      <c r="N24" s="537">
        <f>IS!BZ83</f>
        <v>0.17579918000830239</v>
      </c>
      <c r="O24" s="538">
        <f>($I24-N24)*10000</f>
        <v>-158.25230023859049</v>
      </c>
    </row>
    <row r="25" spans="2:20" ht="15" customHeight="1" x14ac:dyDescent="0.35">
      <c r="B25" s="367" t="s">
        <v>111</v>
      </c>
      <c r="C25" s="383">
        <f>IS!BX81</f>
        <v>0.20940144817907907</v>
      </c>
      <c r="D25" s="383">
        <f>IS!CC81</f>
        <v>0.23596794769219828</v>
      </c>
      <c r="E25" s="383">
        <f>IS!CH81</f>
        <v>0.23635463780139895</v>
      </c>
      <c r="F25" s="383">
        <f>IS!CM81</f>
        <v>0.23924471829496324</v>
      </c>
      <c r="G25" s="360"/>
      <c r="H25" s="370" t="s">
        <v>437</v>
      </c>
      <c r="I25" s="530">
        <f>'BS &amp; FCF'!CE75/1000</f>
        <v>153.65700000000001</v>
      </c>
      <c r="J25" s="375">
        <v>77.691663069301512</v>
      </c>
      <c r="K25" s="552">
        <f t="shared" ref="K25" si="4">$I25/J25-1</f>
        <v>0.97777977622820211</v>
      </c>
      <c r="L25" s="375">
        <f>'BS &amp; FCF'!CD75/1000</f>
        <v>90.843999999999994</v>
      </c>
      <c r="M25" s="531">
        <f>$I25/L25-1</f>
        <v>0.69143806965787524</v>
      </c>
      <c r="N25" s="375">
        <f>'BS &amp; FCF'!BZ75/1000</f>
        <v>61.814</v>
      </c>
      <c r="O25" s="531">
        <f>$I25/N25-1</f>
        <v>1.4857960979713334</v>
      </c>
    </row>
    <row r="26" spans="2:20" ht="15" hidden="1" customHeight="1" x14ac:dyDescent="0.35">
      <c r="B26" s="367" t="s">
        <v>8</v>
      </c>
      <c r="C26" s="383">
        <f>IS!BX82</f>
        <v>0.20872065629051195</v>
      </c>
      <c r="D26" s="383">
        <f>IS!CC82</f>
        <v>0.23580774541877059</v>
      </c>
      <c r="E26" s="383">
        <f>IS!CH82</f>
        <v>0.23623072996908959</v>
      </c>
      <c r="F26" s="383">
        <f>IS!CM82</f>
        <v>0.23913868455464651</v>
      </c>
      <c r="G26" s="360"/>
      <c r="H26" s="539" t="s">
        <v>17</v>
      </c>
      <c r="I26" s="540">
        <f>'BS &amp; FCF'!CE66</f>
        <v>-0.14181237099413765</v>
      </c>
      <c r="J26" s="623">
        <v>-0.21303411118070786</v>
      </c>
      <c r="K26" s="541">
        <f>$I26/J26-1</f>
        <v>-0.33432082680015407</v>
      </c>
      <c r="L26" s="541">
        <f>'BS &amp; FCF'!CD66</f>
        <v>-0.21506366380016598</v>
      </c>
      <c r="M26" s="541">
        <f>$I26/L26-1</f>
        <v>-0.34060283132762192</v>
      </c>
      <c r="N26" s="541">
        <f>'BS &amp; FCF'!BZ66</f>
        <v>-0.14430961531881892</v>
      </c>
      <c r="O26" s="541">
        <f>$I26/N26-1</f>
        <v>-1.730476738617992E-2</v>
      </c>
    </row>
    <row r="27" spans="2:20" ht="15" customHeight="1" x14ac:dyDescent="0.35">
      <c r="B27" s="366" t="s">
        <v>218</v>
      </c>
      <c r="C27" s="384">
        <f>IS!BX83</f>
        <v>0.16550985530943813</v>
      </c>
      <c r="D27" s="384">
        <f>IS!CC83</f>
        <v>0.18067408671739801</v>
      </c>
      <c r="E27" s="384">
        <f ca="1">IS!CH83</f>
        <v>0.17787087599059531</v>
      </c>
      <c r="F27" s="384">
        <f ca="1">IS!CM83</f>
        <v>0.18533076793513781</v>
      </c>
      <c r="G27" s="360"/>
      <c r="H27" s="549" t="s">
        <v>434</v>
      </c>
      <c r="I27" s="550">
        <f>'BS &amp; FCF'!CE137</f>
        <v>0.67621266053193574</v>
      </c>
      <c r="J27" s="624">
        <v>0.77470888666301985</v>
      </c>
      <c r="K27" s="558">
        <f>($I27-J27)*10000</f>
        <v>-984.96226131084109</v>
      </c>
      <c r="L27" s="551">
        <f>'BS &amp; FCF'!CD137</f>
        <v>0.82799213608818578</v>
      </c>
      <c r="M27" s="558">
        <f>($I27-L27)*10000</f>
        <v>-1517.7947555625005</v>
      </c>
      <c r="N27" s="551">
        <f>'BS &amp; FCF'!BZ137</f>
        <v>0.76883459545001565</v>
      </c>
      <c r="O27" s="558">
        <f>($I27-N27)*10000</f>
        <v>-926.2193491807991</v>
      </c>
    </row>
    <row r="28" spans="2:20" ht="15" customHeight="1" x14ac:dyDescent="0.35">
      <c r="B28" s="368"/>
      <c r="C28" s="360"/>
      <c r="D28" s="360"/>
      <c r="E28" s="360"/>
      <c r="F28" s="360"/>
      <c r="G28" s="360"/>
    </row>
    <row r="29" spans="2:20" ht="15" customHeight="1" thickBot="1" x14ac:dyDescent="0.4">
      <c r="B29" s="385" t="s">
        <v>198</v>
      </c>
      <c r="C29" s="391" t="str">
        <f>'BS &amp; FCF'!BX50</f>
        <v>2024</v>
      </c>
      <c r="D29" s="391" t="str">
        <f>'BS &amp; FCF'!CC50</f>
        <v>2025</v>
      </c>
      <c r="E29" s="391" t="str">
        <f>'BS &amp; FCF'!CH50</f>
        <v>2026E</v>
      </c>
      <c r="F29" s="391" t="str">
        <f>'BS &amp; FCF'!CM50</f>
        <v>2027E</v>
      </c>
      <c r="G29" s="397"/>
    </row>
    <row r="30" spans="2:20" ht="15" customHeight="1" x14ac:dyDescent="0.35">
      <c r="B30" s="387" t="s">
        <v>124</v>
      </c>
      <c r="C30" s="392">
        <f>'BS &amp; FCF'!BX51</f>
        <v>986382</v>
      </c>
      <c r="D30" s="392">
        <f>'BS &amp; FCF'!CC51</f>
        <v>1474887</v>
      </c>
      <c r="E30" s="392">
        <f>'BS &amp; FCF'!CH51</f>
        <v>1369410.8964456208</v>
      </c>
      <c r="F30" s="392">
        <f>'BS &amp; FCF'!CM51</f>
        <v>1650050.1508429304</v>
      </c>
      <c r="G30" s="360"/>
      <c r="H30" s="524"/>
      <c r="I30" s="524"/>
      <c r="J30" s="605">
        <v>0</v>
      </c>
      <c r="K30" s="524"/>
    </row>
    <row r="31" spans="2:20" ht="15" customHeight="1" thickBot="1" x14ac:dyDescent="0.4">
      <c r="B31" s="387" t="s">
        <v>120</v>
      </c>
      <c r="C31" s="392">
        <f>'BS &amp; FCF'!BX56</f>
        <v>1416236</v>
      </c>
      <c r="D31" s="392">
        <f>'BS &amp; FCF'!CC56</f>
        <v>1790937</v>
      </c>
      <c r="E31" s="392">
        <f ca="1">'BS &amp; FCF'!CH56</f>
        <v>1872524.0438168487</v>
      </c>
      <c r="F31" s="392">
        <f ca="1">'BS &amp; FCF'!CM56</f>
        <v>2185896.2505043857</v>
      </c>
      <c r="G31" s="360"/>
      <c r="H31" s="359" t="s">
        <v>433</v>
      </c>
      <c r="I31" s="644">
        <v>2025</v>
      </c>
      <c r="J31" s="618"/>
      <c r="K31" s="618"/>
      <c r="L31" s="643">
        <v>2026</v>
      </c>
      <c r="M31" s="643"/>
      <c r="N31" s="643"/>
      <c r="O31" s="643">
        <v>2027</v>
      </c>
      <c r="P31" s="643"/>
      <c r="Q31" s="643"/>
      <c r="R31" s="643">
        <v>2028</v>
      </c>
      <c r="S31" s="643"/>
      <c r="T31" s="643"/>
    </row>
    <row r="32" spans="2:20" ht="15" customHeight="1" thickTop="1" thickBot="1" x14ac:dyDescent="0.4">
      <c r="B32" s="386" t="s">
        <v>121</v>
      </c>
      <c r="C32" s="392">
        <f>'BS &amp; FCF'!BX57</f>
        <v>-429854</v>
      </c>
      <c r="D32" s="392">
        <f>'BS &amp; FCF'!CC57</f>
        <v>-316050</v>
      </c>
      <c r="E32" s="392">
        <f ca="1">'BS &amp; FCF'!CH57</f>
        <v>-503113.14737122785</v>
      </c>
      <c r="F32" s="392">
        <f ca="1">'BS &amp; FCF'!CM57</f>
        <v>-535846.09966145526</v>
      </c>
      <c r="G32" s="360"/>
      <c r="H32" s="359" t="s">
        <v>424</v>
      </c>
      <c r="I32" s="645"/>
      <c r="J32" s="565" t="s">
        <v>426</v>
      </c>
      <c r="K32" s="566" t="s">
        <v>427</v>
      </c>
      <c r="L32" s="565" t="s">
        <v>425</v>
      </c>
      <c r="M32" s="565" t="s">
        <v>426</v>
      </c>
      <c r="N32" s="566" t="s">
        <v>427</v>
      </c>
      <c r="O32" s="565" t="s">
        <v>425</v>
      </c>
      <c r="P32" s="565" t="s">
        <v>426</v>
      </c>
      <c r="Q32" s="566" t="s">
        <v>427</v>
      </c>
      <c r="R32" s="565" t="s">
        <v>425</v>
      </c>
      <c r="S32" s="565" t="s">
        <v>426</v>
      </c>
      <c r="T32" s="566" t="s">
        <v>427</v>
      </c>
    </row>
    <row r="33" spans="2:20" ht="15" customHeight="1" thickTop="1" x14ac:dyDescent="0.35">
      <c r="B33" s="387" t="s">
        <v>119</v>
      </c>
      <c r="C33" s="392">
        <f>'BS &amp; FCF'!BX58</f>
        <v>0</v>
      </c>
      <c r="D33" s="392">
        <f>'BS &amp; FCF'!CC58</f>
        <v>0</v>
      </c>
      <c r="E33" s="392">
        <f>'BS &amp; FCF'!CH58</f>
        <v>0</v>
      </c>
      <c r="F33" s="392">
        <f>'BS &amp; FCF'!CM58</f>
        <v>0</v>
      </c>
      <c r="G33" s="360"/>
      <c r="H33" s="567" t="s">
        <v>57</v>
      </c>
      <c r="I33" s="374">
        <f>Operating!CC4/1000</f>
        <v>8284.694610999999</v>
      </c>
      <c r="J33" s="374">
        <v>8510.7042081799846</v>
      </c>
      <c r="K33" s="568">
        <f>I33/J33-1</f>
        <v>-2.6555922007342025E-2</v>
      </c>
      <c r="L33" s="607">
        <f>Operating!CH4/1000</f>
        <v>9158.7078284839627</v>
      </c>
      <c r="M33" s="374">
        <f>'[2]Report Tables'!L33</f>
        <v>9431.9648864089995</v>
      </c>
      <c r="N33" s="568">
        <f t="shared" ref="N33:N49" si="5">L33/M33-1</f>
        <v>-2.8971382020175573E-2</v>
      </c>
      <c r="O33" s="374">
        <f>Operating!CM4/1000</f>
        <v>10532.632014782354</v>
      </c>
      <c r="P33" s="374">
        <f>'[2]Report Tables'!O33</f>
        <v>10152.567003730648</v>
      </c>
      <c r="Q33" s="568">
        <f t="shared" ref="Q33:Q49" si="6">O33/P33-1</f>
        <v>3.7435361018749891E-2</v>
      </c>
      <c r="R33" s="374">
        <f>Operating!CR4/1000</f>
        <v>10953.937295373657</v>
      </c>
      <c r="S33" s="374">
        <f>'[2]Report Tables'!R33</f>
        <v>10507.906848861219</v>
      </c>
      <c r="T33" s="568">
        <f t="shared" ref="T33:T49" si="7">R33/S33-1</f>
        <v>4.2447126047826966E-2</v>
      </c>
    </row>
    <row r="34" spans="2:20" ht="15" customHeight="1" x14ac:dyDescent="0.35">
      <c r="B34" s="387" t="s">
        <v>189</v>
      </c>
      <c r="C34" s="392">
        <f>'BS &amp; FCF'!BX59</f>
        <v>0</v>
      </c>
      <c r="D34" s="392">
        <f>'BS &amp; FCF'!CC59</f>
        <v>0</v>
      </c>
      <c r="E34" s="392">
        <f>'BS &amp; FCF'!CH59</f>
        <v>0</v>
      </c>
      <c r="F34" s="392">
        <f>'BS &amp; FCF'!CM59</f>
        <v>0</v>
      </c>
      <c r="G34" s="360"/>
      <c r="H34" s="569" t="s">
        <v>58</v>
      </c>
      <c r="I34" s="375">
        <f>Operating!CC5/1000</f>
        <v>7539.7926510000007</v>
      </c>
      <c r="J34" s="375">
        <v>7778.5112884619875</v>
      </c>
      <c r="K34" s="570">
        <f>I34/J34-1</f>
        <v>-3.0689501963709009E-2</v>
      </c>
      <c r="L34" s="608">
        <f>Operating!CH5/1000</f>
        <v>7829.5566542113684</v>
      </c>
      <c r="M34" s="375">
        <f>'[2]Report Tables'!L34</f>
        <v>8375.5483977681015</v>
      </c>
      <c r="N34" s="570">
        <f t="shared" si="5"/>
        <v>-6.5188775424213197E-2</v>
      </c>
      <c r="O34" s="375">
        <f>Operating!CM5/1000</f>
        <v>8952.7372125650018</v>
      </c>
      <c r="P34" s="375">
        <f>'[2]Report Tables'!O34</f>
        <v>9137.3103033575826</v>
      </c>
      <c r="Q34" s="570">
        <f t="shared" si="6"/>
        <v>-2.0199936815624819E-2</v>
      </c>
      <c r="R34" s="375">
        <f>Operating!CR5/1000</f>
        <v>9310.8467010676068</v>
      </c>
      <c r="S34" s="375">
        <f>'[2]Report Tables'!R34</f>
        <v>9457.1161639750972</v>
      </c>
      <c r="T34" s="570">
        <f t="shared" si="7"/>
        <v>-1.5466603177052396E-2</v>
      </c>
    </row>
    <row r="35" spans="2:20" ht="15" customHeight="1" x14ac:dyDescent="0.35">
      <c r="B35" s="388" t="s">
        <v>129</v>
      </c>
      <c r="C35" s="393">
        <f>'BS &amp; FCF'!BX64</f>
        <v>-429854</v>
      </c>
      <c r="D35" s="393">
        <f>'BS &amp; FCF'!CC64</f>
        <v>-316050</v>
      </c>
      <c r="E35" s="393">
        <f ca="1">'BS &amp; FCF'!CH64</f>
        <v>-503113.14737122785</v>
      </c>
      <c r="F35" s="393">
        <f ca="1">'BS &amp; FCF'!CM64</f>
        <v>-535846.09966145526</v>
      </c>
      <c r="G35" s="360"/>
      <c r="H35" s="571" t="s">
        <v>415</v>
      </c>
      <c r="I35" s="376">
        <f>Operating!CC9/1000</f>
        <v>7750.2420758500002</v>
      </c>
      <c r="J35" s="376">
        <v>8074.2725500294337</v>
      </c>
      <c r="K35" s="572">
        <f>I35/J35-1</f>
        <v>-4.0131228190736778E-2</v>
      </c>
      <c r="L35" s="609">
        <f>Operating!CH9/1000</f>
        <v>8694.144818527855</v>
      </c>
      <c r="M35" s="376">
        <f>'[2]Report Tables'!L35</f>
        <v>8980.206674575651</v>
      </c>
      <c r="N35" s="572">
        <f t="shared" si="5"/>
        <v>-3.1854707404193827E-2</v>
      </c>
      <c r="O35" s="376">
        <f>Operating!CM9/1000</f>
        <v>10188.679504433683</v>
      </c>
      <c r="P35" s="376">
        <f>'[2]Report Tables'!O35</f>
        <v>9859.0051483423504</v>
      </c>
      <c r="Q35" s="572">
        <f t="shared" si="6"/>
        <v>3.3438906982086625E-2</v>
      </c>
      <c r="R35" s="376">
        <f>Operating!CR9/1000</f>
        <v>10594.486316892282</v>
      </c>
      <c r="S35" s="376">
        <f>'[2]Report Tables'!R35</f>
        <v>10180.9328609518</v>
      </c>
      <c r="T35" s="572">
        <f t="shared" si="7"/>
        <v>4.0620389269694135E-2</v>
      </c>
    </row>
    <row r="36" spans="2:20" ht="15" customHeight="1" x14ac:dyDescent="0.35">
      <c r="B36" s="386" t="s">
        <v>131</v>
      </c>
      <c r="C36" s="392">
        <f>'BS &amp; FCF'!BX65</f>
        <v>1309539</v>
      </c>
      <c r="D36" s="392">
        <f>'BS &amp; FCF'!CC65</f>
        <v>1662054</v>
      </c>
      <c r="E36" s="392">
        <f ca="1">'BS &amp; FCF'!CH65</f>
        <v>2296307.0228476254</v>
      </c>
      <c r="F36" s="392">
        <f ca="1">'BS &amp; FCF'!CM65</f>
        <v>2791668.2007390964</v>
      </c>
      <c r="G36" s="360"/>
      <c r="H36" s="573" t="s">
        <v>421</v>
      </c>
      <c r="I36" s="546">
        <f>Operating!CC10/1000</f>
        <v>6991.3778972826003</v>
      </c>
      <c r="J36" s="546">
        <v>7260.084775210561</v>
      </c>
      <c r="K36" s="574">
        <f>I36/J36-1</f>
        <v>-3.7011534472084384E-2</v>
      </c>
      <c r="L36" s="610">
        <f>Operating!CH10/1000</f>
        <v>7423.0037429127915</v>
      </c>
      <c r="M36" s="546">
        <f>'[2]Report Tables'!L36</f>
        <v>7847.2218251059094</v>
      </c>
      <c r="N36" s="574">
        <f t="shared" si="5"/>
        <v>-5.4059652147961601E-2</v>
      </c>
      <c r="O36" s="546">
        <f>Operating!CM10/1000</f>
        <v>8710.4965945515505</v>
      </c>
      <c r="P36" s="546">
        <f>'[2]Report Tables'!O36</f>
        <v>8841.8117196456315</v>
      </c>
      <c r="Q36" s="574">
        <f t="shared" si="6"/>
        <v>-1.4851608387262072E-2</v>
      </c>
      <c r="R36" s="546">
        <f>Operating!CR10/1000</f>
        <v>9005.3133693584386</v>
      </c>
      <c r="S36" s="546">
        <f>'[2]Report Tables'!R36</f>
        <v>9162.8395748566181</v>
      </c>
      <c r="T36" s="574">
        <f t="shared" si="7"/>
        <v>-1.7191854578622157E-2</v>
      </c>
    </row>
    <row r="37" spans="2:20" ht="15" customHeight="1" x14ac:dyDescent="0.35">
      <c r="B37" s="389" t="s">
        <v>17</v>
      </c>
      <c r="C37" s="394">
        <f>'BS &amp; FCF'!BX66</f>
        <v>-0.32824833777382728</v>
      </c>
      <c r="D37" s="394">
        <f>'BS &amp; FCF'!CC66</f>
        <v>-0.1901562765108715</v>
      </c>
      <c r="E37" s="394">
        <f ca="1">'BS &amp; FCF'!CH66</f>
        <v>-0.21909663749898858</v>
      </c>
      <c r="F37" s="394">
        <f ca="1">'BS &amp; FCF'!CM66</f>
        <v>-0.19194476604332478</v>
      </c>
      <c r="G37" s="360"/>
      <c r="H37" s="575" t="s">
        <v>104</v>
      </c>
      <c r="I37" s="374">
        <f>IS!CC59/1000</f>
        <v>5399.424</v>
      </c>
      <c r="J37" s="374">
        <v>5238.5494691858612</v>
      </c>
      <c r="K37" s="576">
        <f t="shared" ref="K37:K49" si="8">I37/J37-1</f>
        <v>3.0709747375763596E-2</v>
      </c>
      <c r="L37" s="611">
        <f>IS!CH59/1000</f>
        <v>6834.2562754184974</v>
      </c>
      <c r="M37" s="374">
        <f>'[2]Report Tables'!L37</f>
        <v>6813.6498175338193</v>
      </c>
      <c r="N37" s="576">
        <f t="shared" si="5"/>
        <v>3.024290715917255E-3</v>
      </c>
      <c r="O37" s="374">
        <f>IS!CM59/1000</f>
        <v>8249.7832445272579</v>
      </c>
      <c r="P37" s="374">
        <f>'[2]Report Tables'!O37</f>
        <v>8014.8494019633281</v>
      </c>
      <c r="Q37" s="576">
        <f t="shared" si="6"/>
        <v>2.9312321514909589E-2</v>
      </c>
      <c r="R37" s="374">
        <f>IS!CR59/1000</f>
        <v>9155.425865545034</v>
      </c>
      <c r="S37" s="374">
        <f>'[2]Report Tables'!R37</f>
        <v>9032.9929330599371</v>
      </c>
      <c r="T37" s="576">
        <f t="shared" si="7"/>
        <v>1.3553971910794216E-2</v>
      </c>
    </row>
    <row r="38" spans="2:20" ht="15" customHeight="1" x14ac:dyDescent="0.35">
      <c r="B38" s="390" t="s">
        <v>132</v>
      </c>
      <c r="C38" s="395">
        <f>'BS &amp; FCF'!BX67</f>
        <v>-0.32824833777382728</v>
      </c>
      <c r="D38" s="395">
        <f>'BS &amp; FCF'!CC67</f>
        <v>-0.1901562765108715</v>
      </c>
      <c r="E38" s="395">
        <f ca="1">'BS &amp; FCF'!CH67</f>
        <v>-0.21909663749898858</v>
      </c>
      <c r="F38" s="395">
        <f ca="1">'BS &amp; FCF'!CM67</f>
        <v>-0.19194476604332478</v>
      </c>
      <c r="G38" s="360"/>
      <c r="H38" s="577" t="s">
        <v>105</v>
      </c>
      <c r="I38" s="375">
        <f>IS!CC60/1000</f>
        <v>-3240.2809999999999</v>
      </c>
      <c r="J38" s="375">
        <v>-3158.8961325681762</v>
      </c>
      <c r="K38" s="570">
        <f t="shared" si="8"/>
        <v>2.5763704793186015E-2</v>
      </c>
      <c r="L38" s="608">
        <f>IS!CH60/1000</f>
        <v>-4118.8799658323715</v>
      </c>
      <c r="M38" s="375">
        <f>'[2]Report Tables'!L38</f>
        <v>-4203.3879041761002</v>
      </c>
      <c r="N38" s="570">
        <f t="shared" si="5"/>
        <v>-2.0104720351830863E-2</v>
      </c>
      <c r="O38" s="375">
        <f>IS!CM60/1000</f>
        <v>-4941.8841671744976</v>
      </c>
      <c r="P38" s="375">
        <f>'[2]Report Tables'!O38</f>
        <v>-4851.6490682410576</v>
      </c>
      <c r="Q38" s="570">
        <f t="shared" si="6"/>
        <v>1.8598851166734098E-2</v>
      </c>
      <c r="R38" s="375">
        <f>IS!CR60/1000</f>
        <v>-5592.3900608300009</v>
      </c>
      <c r="S38" s="375">
        <f>'[2]Report Tables'!R38</f>
        <v>-5568.7325018502906</v>
      </c>
      <c r="T38" s="570">
        <f t="shared" si="7"/>
        <v>4.248284321764384E-3</v>
      </c>
    </row>
    <row r="39" spans="2:20" ht="15" customHeight="1" x14ac:dyDescent="0.35">
      <c r="B39" s="388" t="s">
        <v>18</v>
      </c>
      <c r="C39" s="396">
        <f>'BS &amp; FCF'!BX68</f>
        <v>-0.52282543254173386</v>
      </c>
      <c r="D39" s="396">
        <f>'BS &amp; FCF'!CC68</f>
        <v>-0.24805920456231148</v>
      </c>
      <c r="E39" s="396">
        <f ca="1">'BS &amp; FCF'!CH68</f>
        <v>-0.31146573624056917</v>
      </c>
      <c r="F39" s="396">
        <f ca="1">'BS &amp; FCF'!CM68</f>
        <v>-0.27149083739467089</v>
      </c>
      <c r="G39" s="360"/>
      <c r="H39" s="571" t="s">
        <v>416</v>
      </c>
      <c r="I39" s="376">
        <f>IS!CC61/1000</f>
        <v>2159.143</v>
      </c>
      <c r="J39" s="376">
        <v>2079.6533366176845</v>
      </c>
      <c r="K39" s="572">
        <f t="shared" si="8"/>
        <v>3.8222554683847498E-2</v>
      </c>
      <c r="L39" s="609">
        <f>IS!CH61/1000</f>
        <v>2715.3763095861259</v>
      </c>
      <c r="M39" s="376">
        <f>'[2]Report Tables'!L39</f>
        <v>2610.2619133577186</v>
      </c>
      <c r="N39" s="572">
        <f t="shared" si="5"/>
        <v>4.0269673970453335E-2</v>
      </c>
      <c r="O39" s="376">
        <f>IS!CM61/1000</f>
        <v>3307.8990773527603</v>
      </c>
      <c r="P39" s="376">
        <f>'[2]Report Tables'!O39</f>
        <v>3163.20033372227</v>
      </c>
      <c r="Q39" s="572">
        <f t="shared" si="6"/>
        <v>4.5744413367653225E-2</v>
      </c>
      <c r="R39" s="376">
        <f>IS!CR61/1000</f>
        <v>3563.0358047150335</v>
      </c>
      <c r="S39" s="376">
        <f>'[2]Report Tables'!R39</f>
        <v>3464.260431209646</v>
      </c>
      <c r="T39" s="572">
        <f t="shared" si="7"/>
        <v>2.8512687041515994E-2</v>
      </c>
    </row>
    <row r="40" spans="2:20" ht="15" customHeight="1" x14ac:dyDescent="0.35">
      <c r="B40" s="368"/>
      <c r="C40" s="360"/>
      <c r="D40" s="360"/>
      <c r="E40" s="360"/>
      <c r="F40" s="360"/>
      <c r="G40" s="360"/>
      <c r="H40" s="577" t="s">
        <v>418</v>
      </c>
      <c r="I40" s="375">
        <f>IS!CC18/1000</f>
        <v>-494.89100000000002</v>
      </c>
      <c r="J40" s="375">
        <v>-483.62647166356845</v>
      </c>
      <c r="K40" s="570">
        <f t="shared" si="8"/>
        <v>2.3291794383553999E-2</v>
      </c>
      <c r="L40" s="608">
        <f>IS!CH18/1000</f>
        <v>-603.62459548915774</v>
      </c>
      <c r="M40" s="375">
        <f>'[2]Report Tables'!L40</f>
        <v>-590.50075215838012</v>
      </c>
      <c r="N40" s="570">
        <f t="shared" si="5"/>
        <v>2.2224939227948104E-2</v>
      </c>
      <c r="O40" s="375">
        <f>IS!CM18/1000</f>
        <v>-735.57320148737222</v>
      </c>
      <c r="P40" s="375">
        <f>'[2]Report Tables'!O40</f>
        <v>-652.13617245666717</v>
      </c>
      <c r="Q40" s="570">
        <f t="shared" si="6"/>
        <v>0.12794418183611689</v>
      </c>
      <c r="R40" s="375">
        <f>IS!CR18/1000</f>
        <v>-764.63840729546007</v>
      </c>
      <c r="S40" s="375">
        <f>'[2]Report Tables'!R40</f>
        <v>-725.27389552001227</v>
      </c>
      <c r="T40" s="570">
        <f t="shared" si="7"/>
        <v>5.4275373784443026E-2</v>
      </c>
    </row>
    <row r="41" spans="2:20" ht="15" customHeight="1" x14ac:dyDescent="0.35">
      <c r="B41" s="368"/>
      <c r="C41" s="360"/>
      <c r="D41" s="360"/>
      <c r="E41" s="360"/>
      <c r="F41" s="360"/>
      <c r="G41" s="360"/>
      <c r="H41" s="577" t="s">
        <v>419</v>
      </c>
      <c r="I41" s="375">
        <f>IS!CC21/1000</f>
        <v>-238.47399999999999</v>
      </c>
      <c r="J41" s="375">
        <v>-268.21577475929286</v>
      </c>
      <c r="K41" s="570">
        <f t="shared" si="8"/>
        <v>-0.11088749267631359</v>
      </c>
      <c r="L41" s="608">
        <f>IS!CH21/1000</f>
        <v>-289.84474147085848</v>
      </c>
      <c r="M41" s="375">
        <f>'[2]Report Tables'!L41</f>
        <v>-296.16470160000006</v>
      </c>
      <c r="N41" s="570">
        <f t="shared" si="5"/>
        <v>-2.1339342923037852E-2</v>
      </c>
      <c r="O41" s="375">
        <f>IS!CM21/1000</f>
        <v>-333.24516530729289</v>
      </c>
      <c r="P41" s="375">
        <f>'[2]Report Tables'!O41</f>
        <v>-339.41014663512004</v>
      </c>
      <c r="Q41" s="570">
        <f t="shared" si="6"/>
        <v>-1.8163809741535974E-2</v>
      </c>
      <c r="R41" s="375">
        <f>IS!CR21/1000</f>
        <v>-348.3965764025977</v>
      </c>
      <c r="S41" s="375">
        <f>'[2]Report Tables'!R41</f>
        <v>-351.87727306593837</v>
      </c>
      <c r="T41" s="570">
        <f t="shared" si="7"/>
        <v>-9.8917916267028394E-3</v>
      </c>
    </row>
    <row r="42" spans="2:20" ht="15" customHeight="1" x14ac:dyDescent="0.35">
      <c r="B42" s="368"/>
      <c r="C42" s="360"/>
      <c r="D42" s="360"/>
      <c r="E42" s="360"/>
      <c r="F42" s="360"/>
      <c r="G42" s="360"/>
      <c r="H42" s="577" t="s">
        <v>224</v>
      </c>
      <c r="I42" s="375">
        <f>IS!CC23/1000</f>
        <v>-47.814</v>
      </c>
      <c r="J42" s="375">
        <v>-38.638520047435833</v>
      </c>
      <c r="K42" s="570">
        <f t="shared" si="8"/>
        <v>0.23746975663921899</v>
      </c>
      <c r="L42" s="608">
        <f ca="1">IS!CH23/1000</f>
        <v>-43.167814743241578</v>
      </c>
      <c r="M42" s="375">
        <f>'[2]Report Tables'!L42</f>
        <v>-42.117364165311251</v>
      </c>
      <c r="N42" s="570">
        <f t="shared" ca="1" si="5"/>
        <v>2.4941033199686879E-2</v>
      </c>
      <c r="O42" s="375">
        <f ca="1">IS!CM23/1000</f>
        <v>-8.7791849627375118</v>
      </c>
      <c r="P42" s="375">
        <f>'[2]Report Tables'!O42</f>
        <v>-37.364647241726033</v>
      </c>
      <c r="Q42" s="570">
        <f t="shared" ca="1" si="6"/>
        <v>-0.76504033596405596</v>
      </c>
      <c r="R42" s="375">
        <f ca="1">IS!CR23/1000</f>
        <v>16.561917634773323</v>
      </c>
      <c r="S42" s="375">
        <f>'[2]Report Tables'!R42</f>
        <v>-12.066129120810634</v>
      </c>
      <c r="T42" s="570">
        <f t="shared" ca="1" si="7"/>
        <v>-2.3725957570111476</v>
      </c>
    </row>
    <row r="43" spans="2:20" ht="15" customHeight="1" x14ac:dyDescent="0.35">
      <c r="B43" s="369"/>
      <c r="C43" s="360"/>
      <c r="D43" s="360"/>
      <c r="E43" s="360"/>
      <c r="F43" s="360"/>
      <c r="G43" s="360"/>
      <c r="H43" s="577" t="s">
        <v>112</v>
      </c>
      <c r="I43" s="375">
        <f>IS!CC30/10000</f>
        <v>-15.2552</v>
      </c>
      <c r="J43" s="375">
        <v>-13.939417733643728</v>
      </c>
      <c r="K43" s="570">
        <f t="shared" si="8"/>
        <v>9.439291450320364E-2</v>
      </c>
      <c r="L43" s="608">
        <f>IS!CH30/10000</f>
        <v>-20.744562388816661</v>
      </c>
      <c r="M43" s="375">
        <f>'[2]Report Tables'!L43</f>
        <v>-21.339541236147166</v>
      </c>
      <c r="N43" s="570">
        <f t="shared" si="5"/>
        <v>-2.7881520073293253E-2</v>
      </c>
      <c r="O43" s="375">
        <f>IS!CM30/10000</f>
        <v>-26.623839760088337</v>
      </c>
      <c r="P43" s="375">
        <f>'[2]Report Tables'!O43</f>
        <v>-25.949666534509422</v>
      </c>
      <c r="Q43" s="570">
        <f t="shared" si="6"/>
        <v>2.5980034259105445E-2</v>
      </c>
      <c r="R43" s="375">
        <f>IS!CR30/10000</f>
        <v>-25.791591645208342</v>
      </c>
      <c r="S43" s="375">
        <f>'[2]Report Tables'!R43</f>
        <v>-25.431367719273208</v>
      </c>
      <c r="T43" s="570">
        <f t="shared" si="7"/>
        <v>1.4164551820865512E-2</v>
      </c>
    </row>
    <row r="44" spans="2:20" ht="15" customHeight="1" x14ac:dyDescent="0.35">
      <c r="B44" s="369"/>
      <c r="C44" s="360"/>
      <c r="D44" s="360"/>
      <c r="E44" s="360"/>
      <c r="F44" s="360"/>
      <c r="G44" s="360"/>
      <c r="H44" s="577" t="s">
        <v>420</v>
      </c>
      <c r="I44" s="375">
        <f>IS!CC34/1000</f>
        <v>7.39</v>
      </c>
      <c r="J44" s="375">
        <v>3.9360578001807771</v>
      </c>
      <c r="K44" s="570">
        <f t="shared" si="8"/>
        <v>0.87751307911702625</v>
      </c>
      <c r="L44" s="608">
        <f>IS!CH34/1000</f>
        <v>4.8465360952853205</v>
      </c>
      <c r="M44" s="375">
        <f>'[2]Report Tables'!L44</f>
        <v>5.0738336758313185</v>
      </c>
      <c r="N44" s="570">
        <f t="shared" si="5"/>
        <v>-4.4797995966778803E-2</v>
      </c>
      <c r="O44" s="375">
        <f>IS!CM34/1000</f>
        <v>3.5121644615167362</v>
      </c>
      <c r="P44" s="375">
        <f>'[2]Report Tables'!O44</f>
        <v>6.0244599451493519</v>
      </c>
      <c r="Q44" s="570">
        <f t="shared" si="6"/>
        <v>-0.41701588300133241</v>
      </c>
      <c r="R44" s="375">
        <f>IS!CR34/1000</f>
        <v>3.9115645707001652</v>
      </c>
      <c r="S44" s="375">
        <f>'[2]Report Tables'!R44</f>
        <v>6.7610883408326474</v>
      </c>
      <c r="T44" s="570">
        <f t="shared" si="7"/>
        <v>-0.4214593311735304</v>
      </c>
    </row>
    <row r="45" spans="2:20" ht="15" customHeight="1" x14ac:dyDescent="0.35">
      <c r="B45" s="368"/>
      <c r="C45" s="360"/>
      <c r="D45" s="360"/>
      <c r="E45" s="360"/>
      <c r="F45" s="360"/>
      <c r="G45" s="360"/>
      <c r="H45" s="578" t="s">
        <v>113</v>
      </c>
      <c r="I45" s="579">
        <f>IS!CC35/1000</f>
        <v>1220.2460000000001</v>
      </c>
      <c r="J45" s="579">
        <v>1144.333670834015</v>
      </c>
      <c r="K45" s="580">
        <f t="shared" si="8"/>
        <v>6.6337582385964877E-2</v>
      </c>
      <c r="L45" s="612">
        <f ca="1">IS!CH35/1000</f>
        <v>1564.5197292874527</v>
      </c>
      <c r="M45" s="579">
        <f>'[2]Report Tables'!L45</f>
        <v>1470.578911516382</v>
      </c>
      <c r="N45" s="580">
        <f t="shared" ca="1" si="5"/>
        <v>6.3880161095336119E-2</v>
      </c>
      <c r="O45" s="579">
        <f ca="1">IS!CM35/1000</f>
        <v>1945.7804598561306</v>
      </c>
      <c r="P45" s="579">
        <f>'[2]Report Tables'!O45</f>
        <v>1860.1222519172666</v>
      </c>
      <c r="Q45" s="580">
        <f t="shared" ca="1" si="6"/>
        <v>4.6049773261179094E-2</v>
      </c>
      <c r="R45" s="579">
        <f ca="1">IS!CR35/1000</f>
        <v>2203.4676865726587</v>
      </c>
      <c r="S45" s="579">
        <f>'[2]Report Tables'!R45</f>
        <v>2117.7834586064587</v>
      </c>
      <c r="T45" s="580">
        <f t="shared" ca="1" si="7"/>
        <v>4.0459390509444138E-2</v>
      </c>
    </row>
    <row r="46" spans="2:20" ht="15" customHeight="1" x14ac:dyDescent="0.35">
      <c r="B46" s="368"/>
      <c r="C46" s="360"/>
      <c r="D46" s="360"/>
      <c r="E46" s="360"/>
      <c r="F46" s="360"/>
      <c r="G46" s="360"/>
      <c r="H46" s="581" t="s">
        <v>114</v>
      </c>
      <c r="I46" s="375">
        <f>(IS!CC38+IS!CC40)/1000</f>
        <v>-139.02600000000001</v>
      </c>
      <c r="J46" s="375">
        <v>-124.91302665658763</v>
      </c>
      <c r="K46" s="570">
        <f t="shared" si="8"/>
        <v>0.11298239840278579</v>
      </c>
      <c r="L46" s="608">
        <f>(IS!CH38+IS!CH40)/1000</f>
        <v>-180.59221316012602</v>
      </c>
      <c r="M46" s="375">
        <f>'[2]Report Tables'!L46</f>
        <v>-183.96854507341311</v>
      </c>
      <c r="N46" s="570">
        <f t="shared" si="5"/>
        <v>-1.8352767381726864E-2</v>
      </c>
      <c r="O46" s="375">
        <f>(IS!CM38+IS!CM40)/1000</f>
        <v>-220.14790144387285</v>
      </c>
      <c r="P46" s="375">
        <f>'[2]Report Tables'!O46</f>
        <v>-216.40093385300983</v>
      </c>
      <c r="Q46" s="570">
        <f t="shared" si="6"/>
        <v>1.7314932630596358E-2</v>
      </c>
      <c r="R46" s="375">
        <f>(IS!CR38+IS!CR40)/1000</f>
        <v>-175.78417661846464</v>
      </c>
      <c r="S46" s="375">
        <f>'[2]Report Tables'!R46</f>
        <v>-173.43346431475078</v>
      </c>
      <c r="T46" s="570">
        <f t="shared" si="7"/>
        <v>1.3553971910794216E-2</v>
      </c>
    </row>
    <row r="47" spans="2:20" ht="15" customHeight="1" x14ac:dyDescent="0.35">
      <c r="B47" s="360"/>
      <c r="C47" s="360"/>
      <c r="D47" s="360"/>
      <c r="E47" s="360"/>
      <c r="F47" s="360"/>
      <c r="G47" s="360"/>
      <c r="H47" s="582" t="s">
        <v>115</v>
      </c>
      <c r="I47" s="375">
        <f>IS!CC43/1000</f>
        <v>-105.684</v>
      </c>
      <c r="J47" s="375">
        <v>-101.4769567720009</v>
      </c>
      <c r="K47" s="570">
        <f t="shared" si="8"/>
        <v>4.1458113859794921E-2</v>
      </c>
      <c r="L47" s="608">
        <f>IS!CH43/1000</f>
        <v>-168.31236567441539</v>
      </c>
      <c r="M47" s="375">
        <f>'[2]Report Tables'!L47</f>
        <v>-144.48441285432298</v>
      </c>
      <c r="N47" s="570">
        <f t="shared" si="5"/>
        <v>0.16491711700498124</v>
      </c>
      <c r="O47" s="375">
        <f>IS!CM43/1000</f>
        <v>-196.69389440558822</v>
      </c>
      <c r="P47" s="375">
        <f>'[2]Report Tables'!O47</f>
        <v>-177.50034928466158</v>
      </c>
      <c r="Q47" s="570">
        <f t="shared" si="6"/>
        <v>0.10813243578549514</v>
      </c>
      <c r="R47" s="375">
        <f>IS!CR43/1000</f>
        <v>-222.58342797819637</v>
      </c>
      <c r="S47" s="375">
        <f>'[2]Report Tables'!R47</f>
        <v>-200.93657772352245</v>
      </c>
      <c r="T47" s="570">
        <f t="shared" si="7"/>
        <v>0.10772976478408425</v>
      </c>
    </row>
    <row r="48" spans="2:20" ht="15" customHeight="1" x14ac:dyDescent="0.35">
      <c r="B48" s="360"/>
      <c r="C48" s="360"/>
      <c r="D48" s="360"/>
      <c r="E48" s="360"/>
      <c r="F48" s="360"/>
      <c r="G48" s="360"/>
      <c r="H48" s="571" t="s">
        <v>136</v>
      </c>
      <c r="I48" s="376">
        <f>IS!CC45/1000</f>
        <v>975.53599999999994</v>
      </c>
      <c r="J48" s="376">
        <v>917.94368740542654</v>
      </c>
      <c r="K48" s="572">
        <f t="shared" si="8"/>
        <v>6.2740572635080039E-2</v>
      </c>
      <c r="L48" s="609">
        <f ca="1">IS!CH45/1000</f>
        <v>1215.6151504529114</v>
      </c>
      <c r="M48" s="376">
        <f>'[2]Report Tables'!L48</f>
        <v>1142.1259535886459</v>
      </c>
      <c r="N48" s="572">
        <f t="shared" ca="1" si="5"/>
        <v>6.4344214080204409E-2</v>
      </c>
      <c r="O48" s="376">
        <f ca="1">IS!CM45/1000</f>
        <v>1528.9386640066696</v>
      </c>
      <c r="P48" s="376">
        <f>'[2]Report Tables'!O48</f>
        <v>1466.2209687795951</v>
      </c>
      <c r="Q48" s="572">
        <f t="shared" ca="1" si="6"/>
        <v>4.2775063624466814E-2</v>
      </c>
      <c r="R48" s="376">
        <f ca="1">IS!CR45/1000</f>
        <v>1805.1000819759979</v>
      </c>
      <c r="S48" s="376">
        <f>'[2]Report Tables'!R48</f>
        <v>1743.4134165681858</v>
      </c>
      <c r="T48" s="572">
        <f t="shared" ca="1" si="7"/>
        <v>3.5382695132195829E-2</v>
      </c>
    </row>
    <row r="49" spans="2:20" ht="15" customHeight="1" x14ac:dyDescent="0.35">
      <c r="B49" s="360"/>
      <c r="C49" s="360"/>
      <c r="D49" s="360"/>
      <c r="E49" s="360"/>
      <c r="F49" s="360"/>
      <c r="G49" s="360"/>
      <c r="H49" s="583" t="s">
        <v>9</v>
      </c>
      <c r="I49" s="584">
        <f>I63</f>
        <v>3.3021945061977069</v>
      </c>
      <c r="J49" s="584">
        <v>3.1503600663941245</v>
      </c>
      <c r="K49" s="585">
        <f t="shared" si="8"/>
        <v>4.8195900342709264E-2</v>
      </c>
      <c r="L49" s="613">
        <f ca="1">L63</f>
        <v>3.946192647272913</v>
      </c>
      <c r="M49" s="584">
        <f>'[2]Report Tables'!L49</f>
        <v>3.7076282231525757</v>
      </c>
      <c r="N49" s="585">
        <f t="shared" ca="1" si="5"/>
        <v>6.4344214080204409E-2</v>
      </c>
      <c r="O49" s="584">
        <f ca="1">O63</f>
        <v>4.9633196096531425</v>
      </c>
      <c r="P49" s="584">
        <f>'[2]Report Tables'!O49</f>
        <v>4.7597221901353182</v>
      </c>
      <c r="Q49" s="585">
        <f t="shared" ca="1" si="6"/>
        <v>4.2775063624466814E-2</v>
      </c>
      <c r="R49" s="584">
        <f ca="1">R63</f>
        <v>5.8598090591676488</v>
      </c>
      <c r="S49" s="584">
        <f>'[2]Report Tables'!R49</f>
        <v>5.6595586218673271</v>
      </c>
      <c r="T49" s="585">
        <f t="shared" ca="1" si="7"/>
        <v>3.5382695132195829E-2</v>
      </c>
    </row>
    <row r="50" spans="2:20" ht="15" customHeight="1" x14ac:dyDescent="0.35">
      <c r="B50" s="368"/>
      <c r="C50" s="360"/>
      <c r="D50" s="360"/>
      <c r="E50" s="360"/>
      <c r="F50" s="360"/>
      <c r="G50" s="360"/>
      <c r="H50" s="586" t="s">
        <v>417</v>
      </c>
      <c r="I50" s="541">
        <f>IS!CC77</f>
        <v>0.39988395058435861</v>
      </c>
      <c r="J50" s="541">
        <v>0.39699030215341075</v>
      </c>
      <c r="K50" s="587" t="str">
        <f t="shared" ref="K50:K52" si="9">ROUND((I50-J50)*10000,0)&amp;"-bps"</f>
        <v>29-bps</v>
      </c>
      <c r="L50" s="614">
        <f>IS!CH77</f>
        <v>0.39731847916690088</v>
      </c>
      <c r="M50" s="541">
        <f>'[2]Report Tables'!L50</f>
        <v>0.38309305339417865</v>
      </c>
      <c r="N50" s="587" t="str">
        <f>ROUND((L50-M50)*10000,0)&amp;"-bps"</f>
        <v>142-bps</v>
      </c>
      <c r="O50" s="541">
        <f>IS!CM77</f>
        <v>0.40096799871040911</v>
      </c>
      <c r="P50" s="541">
        <f>'[2]Report Tables'!O50</f>
        <v>0.39466746972780403</v>
      </c>
      <c r="Q50" s="587" t="str">
        <f>ROUND((O50-P50)*10000,0)&amp;"-bps"</f>
        <v>63-bps</v>
      </c>
      <c r="R50" s="541">
        <f>IS!CR77</f>
        <v>0.38917204475697226</v>
      </c>
      <c r="S50" s="541">
        <f>'[2]Report Tables'!R50</f>
        <v>0.38351191646909927</v>
      </c>
      <c r="T50" s="587" t="str">
        <f>ROUND((R50-S50)*10000,0)&amp;"-bps"</f>
        <v>57-bps</v>
      </c>
    </row>
    <row r="51" spans="2:20" ht="15" customHeight="1" x14ac:dyDescent="0.35">
      <c r="B51" s="368"/>
      <c r="C51" s="360"/>
      <c r="D51" s="360"/>
      <c r="E51" s="360"/>
      <c r="F51" s="360"/>
      <c r="G51" s="360"/>
      <c r="H51" s="588" t="s">
        <v>79</v>
      </c>
      <c r="I51" s="541">
        <f>IS!CC78</f>
        <v>0.3975585173529621</v>
      </c>
      <c r="J51" s="541">
        <v>0.39519958129980515</v>
      </c>
      <c r="K51" s="587" t="str">
        <f t="shared" si="9"/>
        <v>24-bps</v>
      </c>
      <c r="L51" s="614">
        <f>IS!CH78</f>
        <v>0.39561817114006698</v>
      </c>
      <c r="M51" s="541">
        <f>'[2]Report Tables'!L51</f>
        <v>0.38271460640892713</v>
      </c>
      <c r="N51" s="587" t="str">
        <f>ROUND((L51-M51)*10000,0)&amp;"-bps"</f>
        <v>129-bps</v>
      </c>
      <c r="O51" s="541">
        <f>IS!CM78</f>
        <v>0.39832613140870532</v>
      </c>
      <c r="P51" s="541">
        <f>'[2]Report Tables'!O51</f>
        <v>0.3920853987451009</v>
      </c>
      <c r="Q51" s="587" t="str">
        <f>ROUND((O51-P51)*10000,0)&amp;"-bps"</f>
        <v>62-bps</v>
      </c>
      <c r="R51" s="541">
        <f>IS!CR78</f>
        <v>0.3881791144082139</v>
      </c>
      <c r="S51" s="541">
        <f>'[2]Report Tables'!R51</f>
        <v>0.38243729080333572</v>
      </c>
      <c r="T51" s="587" t="str">
        <f>ROUND((R51-S51)*10000,0)&amp;"-bps"</f>
        <v>57-bps</v>
      </c>
    </row>
    <row r="52" spans="2:20" ht="15" customHeight="1" x14ac:dyDescent="0.35">
      <c r="B52" s="368"/>
      <c r="C52" s="360"/>
      <c r="D52" s="360"/>
      <c r="E52" s="360"/>
      <c r="F52" s="360"/>
      <c r="G52" s="360"/>
      <c r="H52" s="589" t="s">
        <v>214</v>
      </c>
      <c r="I52" s="551">
        <f>IS!CC83</f>
        <v>0.18067408671739801</v>
      </c>
      <c r="J52" s="551">
        <v>0.17522859959707263</v>
      </c>
      <c r="K52" s="590" t="str">
        <f t="shared" si="9"/>
        <v>54-bps</v>
      </c>
      <c r="L52" s="615">
        <f ca="1">IS!CH83</f>
        <v>0.17787087599059531</v>
      </c>
      <c r="M52" s="551">
        <f>'[2]Report Tables'!L52</f>
        <v>0.16762322458215723</v>
      </c>
      <c r="N52" s="590" t="str">
        <f ca="1">ROUND((L52-M52)*10000,0)&amp;"-bps"</f>
        <v>102-bps</v>
      </c>
      <c r="O52" s="551">
        <f ca="1">IS!CM83</f>
        <v>0.18533076793513781</v>
      </c>
      <c r="P52" s="551">
        <f>'[2]Report Tables'!O52</f>
        <v>0.18293805600644569</v>
      </c>
      <c r="Q52" s="590" t="str">
        <f ca="1">ROUND((O52-P52)*10000,0)&amp;"-bps"</f>
        <v>24-bps</v>
      </c>
      <c r="R52" s="551">
        <f ca="1">IS!CR83</f>
        <v>0.19716178236658552</v>
      </c>
      <c r="S52" s="551">
        <f>'[2]Report Tables'!R52</f>
        <v>0.19300506814164001</v>
      </c>
      <c r="T52" s="590" t="str">
        <f ca="1">ROUND((R52-S52)*10000,0)&amp;"-bps"</f>
        <v>42-bps</v>
      </c>
    </row>
    <row r="53" spans="2:20" ht="15" customHeight="1" x14ac:dyDescent="0.35">
      <c r="B53" s="368"/>
      <c r="C53" s="360"/>
      <c r="D53" s="360"/>
      <c r="E53" s="360"/>
      <c r="F53" s="360"/>
      <c r="G53" s="360"/>
      <c r="H53" s="586" t="s">
        <v>196</v>
      </c>
      <c r="I53" s="375">
        <f>'BS &amp; FCF'!CC75/1000</f>
        <v>723.702</v>
      </c>
      <c r="J53" s="375">
        <v>380.46925507151195</v>
      </c>
      <c r="K53" s="570">
        <f t="shared" ref="K53:K54" si="10">I53/J53-1</f>
        <v>0.90213004166125055</v>
      </c>
      <c r="L53" s="608">
        <f ca="1">'BS &amp; FCF'!CH75/1000</f>
        <v>890.94569707713583</v>
      </c>
      <c r="M53" s="375">
        <f>'[2]Report Tables'!L53</f>
        <v>802.19814476168506</v>
      </c>
      <c r="N53" s="570">
        <f ca="1">L53/M53-1</f>
        <v>0.11063046317791692</v>
      </c>
      <c r="O53" s="375">
        <f ca="1">'BS &amp; FCF'!CM75/1000</f>
        <v>1133.613970405597</v>
      </c>
      <c r="P53" s="375">
        <f>'[2]Report Tables'!O53</f>
        <v>1109.9554888131959</v>
      </c>
      <c r="Q53" s="570">
        <f ca="1">O53/P53-1</f>
        <v>2.1314802107693209E-2</v>
      </c>
      <c r="R53" s="375">
        <f ca="1">'BS &amp; FCF'!CR75/1000</f>
        <v>1564.6268032515534</v>
      </c>
      <c r="S53" s="375">
        <f>'[2]Report Tables'!R53</f>
        <v>1481.134397271107</v>
      </c>
      <c r="T53" s="570">
        <f ca="1">R53/S53-1</f>
        <v>5.6370580640268564E-2</v>
      </c>
    </row>
    <row r="54" spans="2:20" ht="15" customHeight="1" x14ac:dyDescent="0.35">
      <c r="B54" s="360"/>
      <c r="C54" s="360"/>
      <c r="D54" s="360"/>
      <c r="E54" s="360"/>
      <c r="F54" s="360"/>
      <c r="G54" s="360"/>
      <c r="H54" s="586" t="s">
        <v>88</v>
      </c>
      <c r="I54" s="375">
        <f>IS!CC55/1000</f>
        <v>1352</v>
      </c>
      <c r="J54" s="375">
        <v>329</v>
      </c>
      <c r="K54" s="570">
        <f t="shared" si="10"/>
        <v>3.1094224924012162</v>
      </c>
      <c r="L54" s="608">
        <f ca="1">IS!CH55/1000</f>
        <v>703.88254970590799</v>
      </c>
      <c r="M54" s="375">
        <f>'[2]Report Tables'!L54</f>
        <v>718.42169097513124</v>
      </c>
      <c r="N54" s="570">
        <f ca="1">L54/M54-1</f>
        <v>-2.0237614554049599E-2</v>
      </c>
      <c r="O54" s="375">
        <f ca="1">IS!CM55/1000</f>
        <v>1100.8810181153697</v>
      </c>
      <c r="P54" s="375">
        <f>'[2]Report Tables'!O54</f>
        <v>1049.7832698743405</v>
      </c>
      <c r="Q54" s="570">
        <f ca="1">O54/P54-1</f>
        <v>4.8674569034754755E-2</v>
      </c>
      <c r="R54" s="375">
        <f ca="1">IS!CR55/1000</f>
        <v>1568.2508091703169</v>
      </c>
      <c r="S54" s="375">
        <f>'[2]Report Tables'!R54</f>
        <v>1503.5228925569243</v>
      </c>
      <c r="T54" s="570">
        <f ca="1">R54/S54-1</f>
        <v>4.3050835430456846E-2</v>
      </c>
    </row>
    <row r="55" spans="2:20" ht="15" customHeight="1" x14ac:dyDescent="0.35">
      <c r="B55" s="360"/>
      <c r="C55" s="360"/>
      <c r="D55" s="360"/>
      <c r="E55" s="360"/>
      <c r="F55" s="360"/>
      <c r="G55" s="360"/>
      <c r="H55" s="588" t="s">
        <v>17</v>
      </c>
      <c r="I55" s="541">
        <f>'BS &amp; FCF'!CC66</f>
        <v>-0.1901562765108715</v>
      </c>
      <c r="J55" s="541">
        <v>-0.261825163301797</v>
      </c>
      <c r="K55" s="587" t="str">
        <f t="shared" ref="K55:K56" si="11">ROUND((I55-J55)*10000,0)&amp;"-bps"</f>
        <v>717-bps</v>
      </c>
      <c r="L55" s="614">
        <f ca="1">'BS &amp; FCF'!CH66</f>
        <v>-0.21909663749898858</v>
      </c>
      <c r="M55" s="541">
        <f>'[2]Report Tables'!L55</f>
        <v>-0.18527184230013444</v>
      </c>
      <c r="N55" s="587" t="str">
        <f ca="1">ROUND((L55-M55)*10000,0)&amp;"-bps"</f>
        <v>-338-bps</v>
      </c>
      <c r="O55" s="541">
        <f ca="1">'BS &amp; FCF'!CM66</f>
        <v>-0.19194476604332478</v>
      </c>
      <c r="P55" s="541">
        <f>'[2]Report Tables'!O55</f>
        <v>-0.17479405565418787</v>
      </c>
      <c r="Q55" s="587" t="str">
        <f ca="1">ROUND((O55-P55)*10000,0)&amp;"-bps"</f>
        <v>-172-bps</v>
      </c>
      <c r="R55" s="541">
        <f ca="1">'BS &amp; FCF'!CR66</f>
        <v>-0.17323974556514471</v>
      </c>
      <c r="S55" s="541">
        <f>'[2]Report Tables'!R55</f>
        <v>-0.14985060271213291</v>
      </c>
      <c r="T55" s="587" t="str">
        <f ca="1">ROUND((R55-S55)*10000,0)&amp;"-bps"</f>
        <v>-234-bps</v>
      </c>
    </row>
    <row r="56" spans="2:20" ht="15" customHeight="1" x14ac:dyDescent="0.35">
      <c r="B56" s="357"/>
      <c r="C56" s="360"/>
      <c r="D56" s="360"/>
      <c r="E56" s="360"/>
      <c r="F56" s="360"/>
      <c r="G56" s="360"/>
      <c r="H56" s="589" t="s">
        <v>422</v>
      </c>
      <c r="I56" s="551">
        <f>'BS &amp; FCF'!CC137</f>
        <v>0.74627326577143827</v>
      </c>
      <c r="J56" s="551">
        <v>0.63053344425935387</v>
      </c>
      <c r="K56" s="590" t="str">
        <f t="shared" si="11"/>
        <v>1157-bps</v>
      </c>
      <c r="L56" s="615">
        <f ca="1">'BS &amp; FCF'!CH137</f>
        <v>0.70844109215126361</v>
      </c>
      <c r="M56" s="551">
        <f>'[2]Report Tables'!L56</f>
        <v>0.69169372929906103</v>
      </c>
      <c r="N56" s="590" t="str">
        <f ca="1">ROUND((L56-M56)*10000,0)&amp;"-bps"</f>
        <v>167-bps</v>
      </c>
      <c r="O56" s="551">
        <f ca="1">'BS &amp; FCF'!CM137</f>
        <v>0.70766140326934002</v>
      </c>
      <c r="P56" s="551">
        <f>'[2]Report Tables'!O56</f>
        <v>0.70968475311072532</v>
      </c>
      <c r="Q56" s="590" t="str">
        <f ca="1">ROUND((O56-P56)*10000,0)&amp;"-bps"</f>
        <v>-20-bps</v>
      </c>
      <c r="R56" s="551">
        <f ca="1">'BS &amp; FCF'!CR137</f>
        <v>0.72734892009824204</v>
      </c>
      <c r="S56" s="551">
        <f>'[2]Report Tables'!R56</f>
        <v>0.7334861405583224</v>
      </c>
      <c r="T56" s="590" t="str">
        <f ca="1">ROUND((R56-S56)*10000,0)&amp;"-bps"</f>
        <v>-61-bps</v>
      </c>
    </row>
    <row r="57" spans="2:20" ht="15" customHeight="1" x14ac:dyDescent="0.25">
      <c r="B57" s="357"/>
      <c r="C57" s="360"/>
      <c r="D57" s="360"/>
      <c r="E57" s="360"/>
      <c r="F57" s="360"/>
      <c r="G57" s="360"/>
      <c r="H57" s="586" t="s">
        <v>40</v>
      </c>
      <c r="I57" s="591"/>
      <c r="J57" s="591">
        <v>0</v>
      </c>
      <c r="K57" s="592"/>
      <c r="L57" s="616">
        <f ca="1">L62/L63</f>
        <v>7.6276053123765122</v>
      </c>
      <c r="M57" s="591">
        <f>M62/M63</f>
        <v>8.1183975815153708</v>
      </c>
      <c r="N57" s="592"/>
      <c r="O57" s="591">
        <f ca="1">O62/O63</f>
        <v>6.0644895689285496</v>
      </c>
      <c r="P57" s="591">
        <f>P62/P63</f>
        <v>6.3238984960893827</v>
      </c>
      <c r="Q57" s="592"/>
      <c r="R57" s="591">
        <f ca="1">R62/R63</f>
        <v>5.136686143878471</v>
      </c>
      <c r="S57" s="591">
        <f>S62/S63</f>
        <v>5.3184359436970974</v>
      </c>
      <c r="T57" s="592"/>
    </row>
    <row r="58" spans="2:20" ht="15" customHeight="1" x14ac:dyDescent="0.25">
      <c r="B58" s="358"/>
      <c r="C58" s="360"/>
      <c r="D58" s="360"/>
      <c r="E58" s="360"/>
      <c r="F58" s="360"/>
      <c r="G58" s="360"/>
      <c r="H58" s="586" t="s">
        <v>428</v>
      </c>
      <c r="I58" s="591"/>
      <c r="J58" s="591">
        <v>0</v>
      </c>
      <c r="K58" s="592"/>
      <c r="L58" s="616">
        <f ca="1">(L62-L64)/L63</f>
        <v>7.3142523346964277</v>
      </c>
      <c r="M58" s="591">
        <f>(M62-M64)/M63</f>
        <v>7.6652695414929788</v>
      </c>
      <c r="N58" s="592"/>
      <c r="O58" s="591">
        <f ca="1">(O62-O64)/O63</f>
        <v>5.2109652686421413</v>
      </c>
      <c r="P58" s="591">
        <f>(P62-P64)/P63</f>
        <v>5.410502444175882</v>
      </c>
      <c r="Q58" s="592"/>
      <c r="R58" s="591">
        <f ca="1">(R62-R64)/R63</f>
        <v>3.7874476581325234</v>
      </c>
      <c r="S58" s="591">
        <f>(S62-S64)/S63</f>
        <v>3.9679675076937717</v>
      </c>
      <c r="T58" s="592"/>
    </row>
    <row r="59" spans="2:20" ht="15" customHeight="1" x14ac:dyDescent="0.25">
      <c r="B59" s="358"/>
      <c r="C59" s="360"/>
      <c r="D59" s="360"/>
      <c r="E59" s="360"/>
      <c r="F59" s="360"/>
      <c r="G59" s="360"/>
      <c r="H59" s="588" t="s">
        <v>429</v>
      </c>
      <c r="I59" s="591"/>
      <c r="J59" s="591">
        <v>0</v>
      </c>
      <c r="K59" s="593"/>
      <c r="L59" s="616">
        <f ca="1">L62/L65</f>
        <v>4.8970336697170422</v>
      </c>
      <c r="M59" s="591">
        <f>M62/M65</f>
        <v>5.1358036294628695</v>
      </c>
      <c r="N59" s="593"/>
      <c r="O59" s="591">
        <f ca="1">O62/O65</f>
        <v>3.994076058846475</v>
      </c>
      <c r="P59" s="591">
        <f>P62/P65</f>
        <v>4.1732075011387639</v>
      </c>
      <c r="Q59" s="593"/>
      <c r="R59" s="591">
        <f ca="1">R62/R65</f>
        <v>3.6243081745327239</v>
      </c>
      <c r="S59" s="591">
        <f>S62/S65</f>
        <v>3.7665384174239858</v>
      </c>
      <c r="T59" s="593"/>
    </row>
    <row r="60" spans="2:20" ht="15" customHeight="1" x14ac:dyDescent="0.25">
      <c r="B60" s="358"/>
      <c r="C60" s="360"/>
      <c r="D60" s="360"/>
      <c r="E60" s="360"/>
      <c r="F60" s="360"/>
      <c r="G60" s="360"/>
      <c r="H60" s="594" t="s">
        <v>319</v>
      </c>
      <c r="I60" s="595"/>
      <c r="J60" s="595">
        <v>0</v>
      </c>
      <c r="K60" s="596"/>
      <c r="L60" s="617">
        <f ca="1">L62/L66</f>
        <v>4.8916023791183738</v>
      </c>
      <c r="M60" s="595">
        <f>M62/M66</f>
        <v>5.128478800010094</v>
      </c>
      <c r="N60" s="596"/>
      <c r="O60" s="595">
        <f ca="1">O62/O66</f>
        <v>3.9533804862636233</v>
      </c>
      <c r="P60" s="595">
        <f>P62/P66</f>
        <v>4.1299469427924462</v>
      </c>
      <c r="Q60" s="596"/>
      <c r="R60" s="595">
        <f ca="1">R62/R66</f>
        <v>3.5781704524355864</v>
      </c>
      <c r="S60" s="595">
        <f>S62/S66</f>
        <v>3.7167441529472072</v>
      </c>
      <c r="T60" s="596"/>
    </row>
    <row r="61" spans="2:20" ht="15" customHeight="1" x14ac:dyDescent="0.25">
      <c r="B61" s="358"/>
      <c r="C61" s="360"/>
      <c r="D61" s="360"/>
      <c r="E61" s="360"/>
      <c r="F61" s="360"/>
      <c r="G61" s="360"/>
      <c r="H61" s="597"/>
      <c r="I61" s="597"/>
      <c r="J61" s="597"/>
      <c r="K61" s="597"/>
      <c r="L61" s="597"/>
      <c r="M61" s="597"/>
      <c r="N61" s="597"/>
      <c r="O61" s="597"/>
      <c r="P61" s="597"/>
      <c r="Q61" s="597"/>
      <c r="R61" s="597"/>
      <c r="S61" s="597"/>
      <c r="T61" s="597"/>
    </row>
    <row r="62" spans="2:20" ht="15" customHeight="1" x14ac:dyDescent="0.25">
      <c r="B62" s="357"/>
      <c r="C62" s="360"/>
      <c r="D62" s="360"/>
      <c r="E62" s="360"/>
      <c r="F62" s="360"/>
      <c r="G62" s="360"/>
      <c r="H62" s="597" t="s">
        <v>430</v>
      </c>
      <c r="I62" s="597">
        <f>Valuation!B6</f>
        <v>30.1</v>
      </c>
      <c r="J62" s="597"/>
      <c r="K62" s="597"/>
      <c r="L62" s="597">
        <f>I62</f>
        <v>30.1</v>
      </c>
      <c r="M62" s="597">
        <f>L62</f>
        <v>30.1</v>
      </c>
      <c r="N62" s="597"/>
      <c r="O62" s="597">
        <f>L62</f>
        <v>30.1</v>
      </c>
      <c r="P62" s="597">
        <f>M62</f>
        <v>30.1</v>
      </c>
      <c r="Q62" s="597"/>
      <c r="R62" s="597">
        <f>O62</f>
        <v>30.1</v>
      </c>
      <c r="S62" s="597">
        <f>R62</f>
        <v>30.1</v>
      </c>
      <c r="T62" s="597"/>
    </row>
    <row r="63" spans="2:20" ht="15" customHeight="1" x14ac:dyDescent="0.25">
      <c r="B63" s="357"/>
      <c r="C63" s="360"/>
      <c r="D63" s="360"/>
      <c r="E63" s="360"/>
      <c r="F63" s="360"/>
      <c r="G63" s="360"/>
      <c r="H63" s="598" t="s">
        <v>9</v>
      </c>
      <c r="I63" s="599">
        <f>IS!CC51</f>
        <v>3.3021945061977069</v>
      </c>
      <c r="J63" s="599">
        <v>3.1503600663941245</v>
      </c>
      <c r="K63" s="600">
        <f t="shared" ref="K63" si="12">I63/J63-1</f>
        <v>4.8195900342709264E-2</v>
      </c>
      <c r="L63" s="599">
        <f ca="1">IS!CH51</f>
        <v>3.946192647272913</v>
      </c>
      <c r="M63" s="599">
        <f>'[2]Report Tables'!L63</f>
        <v>3.7076282231525757</v>
      </c>
      <c r="N63" s="600">
        <f t="shared" ref="N63" ca="1" si="13">L63/M63-1</f>
        <v>6.4344214080204409E-2</v>
      </c>
      <c r="O63" s="599">
        <f ca="1">IS!CM51</f>
        <v>4.9633196096531425</v>
      </c>
      <c r="P63" s="599">
        <f>'[2]Report Tables'!O63</f>
        <v>4.7597221901353182</v>
      </c>
      <c r="Q63" s="600">
        <f t="shared" ref="Q63" ca="1" si="14">O63/P63-1</f>
        <v>4.2775063624466814E-2</v>
      </c>
      <c r="R63" s="599">
        <f ca="1">IS!CR51</f>
        <v>5.8598090591676488</v>
      </c>
      <c r="S63" s="599">
        <f>'[2]Report Tables'!R63</f>
        <v>5.6595586218673271</v>
      </c>
      <c r="T63" s="600">
        <f t="shared" ref="T63" ca="1" si="15">R63/S63-1</f>
        <v>3.5382695132195829E-2</v>
      </c>
    </row>
    <row r="64" spans="2:20" ht="15" customHeight="1" x14ac:dyDescent="0.25">
      <c r="B64" s="357"/>
      <c r="C64" s="360"/>
      <c r="D64" s="360"/>
      <c r="E64" s="360"/>
      <c r="F64" s="360"/>
      <c r="G64" s="360"/>
      <c r="H64" s="601" t="s">
        <v>431</v>
      </c>
      <c r="I64" s="602">
        <v>0</v>
      </c>
      <c r="J64" s="603">
        <v>0</v>
      </c>
      <c r="K64" s="601"/>
      <c r="L64" s="602">
        <f ca="1">Valuation!C27</f>
        <v>1.2365512165222219</v>
      </c>
      <c r="M64" s="602">
        <f>[2]Valuation!$C$27</f>
        <v>1.6800303098888301</v>
      </c>
      <c r="N64" s="601"/>
      <c r="O64" s="602">
        <f ca="1">Valuation!D27</f>
        <v>4.2363138969270038</v>
      </c>
      <c r="P64" s="602">
        <f>[2]Valuation!$D$27</f>
        <v>4.3475114566746793</v>
      </c>
      <c r="Q64" s="597"/>
      <c r="R64" s="602">
        <f ca="1">Valuation!E27</f>
        <v>7.9062799017517431</v>
      </c>
      <c r="S64" s="602">
        <f>[2]Valuation!$E$27</f>
        <v>7.6430552805423071</v>
      </c>
      <c r="T64" s="597"/>
    </row>
    <row r="65" spans="2:20" ht="15" customHeight="1" x14ac:dyDescent="0.25">
      <c r="B65" s="357"/>
      <c r="C65" s="360"/>
      <c r="D65" s="360"/>
      <c r="E65" s="360"/>
      <c r="F65" s="360"/>
      <c r="G65" s="360"/>
      <c r="H65" s="598" t="s">
        <v>432</v>
      </c>
      <c r="I65" s="599">
        <f>'BS &amp; FCF'!CC135</f>
        <v>4.4853653361110171</v>
      </c>
      <c r="J65" s="599">
        <v>6.1591610977276234</v>
      </c>
      <c r="K65" s="598"/>
      <c r="L65" s="599">
        <f ca="1">'BS &amp; FCF'!CH135</f>
        <v>6.146578118532565</v>
      </c>
      <c r="M65" s="599">
        <f>'[2]Report Tables'!L65</f>
        <v>5.8608159835636133</v>
      </c>
      <c r="N65" s="598"/>
      <c r="O65" s="599">
        <f ca="1">'BS &amp; FCF'!CM135</f>
        <v>7.5361609434881798</v>
      </c>
      <c r="P65" s="599">
        <f>'[2]Report Tables'!O65</f>
        <v>7.2126775368314329</v>
      </c>
      <c r="Q65" s="597"/>
      <c r="R65" s="599">
        <f ca="1">'BS &amp; FCF'!CR135</f>
        <v>8.3050332782147436</v>
      </c>
      <c r="S65" s="599">
        <f>'[2]Report Tables'!R65</f>
        <v>7.9914225382004789</v>
      </c>
      <c r="T65" s="597"/>
    </row>
    <row r="66" spans="2:20" ht="15" customHeight="1" x14ac:dyDescent="0.25">
      <c r="B66" s="357"/>
      <c r="C66" s="360"/>
      <c r="D66" s="360"/>
      <c r="E66" s="360"/>
      <c r="F66" s="360"/>
      <c r="G66" s="360"/>
      <c r="H66" s="601" t="s">
        <v>28</v>
      </c>
      <c r="I66" s="603">
        <f>'BS &amp; FCF'!CC147</f>
        <v>4.4853653361110171</v>
      </c>
      <c r="J66" s="603">
        <v>6.1554245032581942</v>
      </c>
      <c r="K66" s="601"/>
      <c r="L66" s="603">
        <f ca="1">'BS &amp; FCF'!CH147</f>
        <v>6.1534028457613523</v>
      </c>
      <c r="M66" s="603">
        <f>'[2]Report Tables'!L66</f>
        <v>5.8691867849664812</v>
      </c>
      <c r="N66" s="601"/>
      <c r="O66" s="603">
        <f ca="1">'BS &amp; FCF'!CM147</f>
        <v>7.6137371812769254</v>
      </c>
      <c r="P66" s="603">
        <f>'[2]Report Tables'!O66</f>
        <v>7.2882292235086235</v>
      </c>
      <c r="Q66" s="597"/>
      <c r="R66" s="603">
        <f ca="1">'BS &amp; FCF'!CR147</f>
        <v>8.4121202162159587</v>
      </c>
      <c r="S66" s="603">
        <f>'[2]Report Tables'!R66</f>
        <v>8.0984858686418022</v>
      </c>
      <c r="T66" s="597"/>
    </row>
    <row r="67" spans="2:20" ht="15" customHeight="1" x14ac:dyDescent="0.35">
      <c r="B67" s="357"/>
      <c r="C67" s="360"/>
      <c r="D67" s="360"/>
      <c r="E67" s="360"/>
      <c r="F67" s="360"/>
      <c r="G67" s="360"/>
      <c r="H67" s="524"/>
      <c r="I67" s="524"/>
      <c r="J67" s="524"/>
      <c r="K67" s="524"/>
    </row>
    <row r="68" spans="2:20" ht="15" customHeight="1" x14ac:dyDescent="0.35">
      <c r="B68" s="357"/>
      <c r="C68" s="360"/>
      <c r="D68" s="360"/>
      <c r="E68" s="360"/>
      <c r="F68" s="360"/>
      <c r="G68" s="360"/>
      <c r="H68" s="524"/>
      <c r="I68" s="524"/>
      <c r="J68" s="524"/>
      <c r="K68" s="524"/>
    </row>
    <row r="69" spans="2:20" ht="15" customHeight="1" x14ac:dyDescent="0.35">
      <c r="B69" s="357"/>
      <c r="C69" s="360"/>
      <c r="D69" s="360"/>
      <c r="E69" s="360"/>
      <c r="F69" s="360"/>
      <c r="G69" s="360"/>
      <c r="H69" s="524"/>
      <c r="I69" s="524"/>
      <c r="J69" s="524"/>
      <c r="K69" s="524"/>
    </row>
    <row r="70" spans="2:20" ht="15" customHeight="1" x14ac:dyDescent="0.35">
      <c r="B70" s="357"/>
      <c r="C70" s="360"/>
      <c r="D70" s="360"/>
      <c r="E70" s="360"/>
      <c r="F70" s="360"/>
      <c r="G70" s="360"/>
      <c r="H70" s="524"/>
      <c r="I70" s="524"/>
      <c r="J70" s="524"/>
      <c r="K70" s="524"/>
    </row>
    <row r="71" spans="2:20" ht="15" customHeight="1" x14ac:dyDescent="0.35">
      <c r="B71" s="368"/>
      <c r="C71" s="360"/>
      <c r="D71" s="360"/>
      <c r="E71" s="360"/>
      <c r="F71" s="360"/>
      <c r="G71" s="360"/>
      <c r="H71" s="524"/>
      <c r="I71" s="524"/>
      <c r="J71" s="524"/>
      <c r="K71" s="524"/>
    </row>
    <row r="72" spans="2:20" ht="15" customHeight="1" x14ac:dyDescent="0.35">
      <c r="B72" s="368"/>
      <c r="C72" s="360"/>
      <c r="D72" s="360"/>
      <c r="E72" s="360"/>
      <c r="F72" s="360"/>
      <c r="G72" s="360"/>
      <c r="H72" s="524"/>
      <c r="I72" s="524"/>
      <c r="J72" s="524"/>
      <c r="K72" s="524"/>
    </row>
  </sheetData>
  <mergeCells count="4">
    <mergeCell ref="L31:N31"/>
    <mergeCell ref="O31:Q31"/>
    <mergeCell ref="R31:T31"/>
    <mergeCell ref="I31:I32"/>
  </mergeCells>
  <pageMargins left="0.7" right="0.7" top="0.75" bottom="0.75" header="0.3" footer="0.3"/>
  <headerFooter>
    <oddFooter>&amp;L_x000D_&amp;1#&amp;"Calibri"&amp;9&amp;K000000 Corporativo | Interno</oddFooter>
  </headerFooter>
  <ignoredErrors>
    <ignoredError sqref="L27 L5 N5 L6 N6 L7 N7 L8 N8 L9 N9 L10 N10 L11 N11 L12 N12 L13 N13 L14 N14 L15 N15 L16 N16 L17 N17 L18 N18 L19 N19 L20 N20 L21 N21 L22 N22 L23 N23 L24 N24 L25 N25 L26 N26 N27" formula="1"/>
    <ignoredError sqref="K5"/>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BBA33-A6AD-4607-8657-4CD6A145F7F5}">
  <dimension ref="B1:V27"/>
  <sheetViews>
    <sheetView showGridLines="0" workbookViewId="0">
      <selection activeCell="R38" sqref="R38"/>
    </sheetView>
  </sheetViews>
  <sheetFormatPr defaultRowHeight="14.5" x14ac:dyDescent="0.35"/>
  <cols>
    <col min="2" max="2" width="19.81640625" style="498" bestFit="1" customWidth="1"/>
    <col min="3" max="14" width="15.1796875" style="498" customWidth="1"/>
    <col min="15" max="15" width="22.54296875" style="498" bestFit="1" customWidth="1"/>
    <col min="16" max="16" width="15.1796875" style="498" customWidth="1"/>
  </cols>
  <sheetData>
    <row r="1" spans="2:22" x14ac:dyDescent="0.35">
      <c r="B1" s="497" t="s">
        <v>362</v>
      </c>
      <c r="C1" s="497" t="s">
        <v>363</v>
      </c>
      <c r="D1" s="497" t="s">
        <v>364</v>
      </c>
      <c r="E1" s="497" t="s">
        <v>365</v>
      </c>
      <c r="F1" s="497" t="s">
        <v>366</v>
      </c>
      <c r="G1" s="497" t="s">
        <v>367</v>
      </c>
      <c r="H1" s="497" t="s">
        <v>368</v>
      </c>
      <c r="I1" s="497" t="s">
        <v>369</v>
      </c>
      <c r="J1" s="497" t="s">
        <v>370</v>
      </c>
      <c r="K1" s="497" t="s">
        <v>371</v>
      </c>
      <c r="L1" s="497" t="s">
        <v>372</v>
      </c>
      <c r="M1" s="497" t="s">
        <v>373</v>
      </c>
      <c r="N1" s="497" t="s">
        <v>374</v>
      </c>
      <c r="O1" s="497" t="s">
        <v>375</v>
      </c>
    </row>
    <row r="2" spans="2:22" x14ac:dyDescent="0.35">
      <c r="B2" s="499">
        <v>155</v>
      </c>
      <c r="C2" s="499" t="s">
        <v>402</v>
      </c>
      <c r="D2" s="500" t="s">
        <v>338</v>
      </c>
      <c r="E2" s="499" t="s">
        <v>376</v>
      </c>
      <c r="F2" s="499">
        <f ca="1">Valuation!B16</f>
        <v>44</v>
      </c>
      <c r="G2" s="501">
        <v>45915</v>
      </c>
      <c r="H2" s="499"/>
      <c r="I2" s="499"/>
      <c r="J2" s="502"/>
      <c r="K2" s="503">
        <f>Valuation!B8</f>
        <v>4.000000000000048E-2</v>
      </c>
      <c r="L2" s="504">
        <f>Valuation!B15</f>
        <v>0.16600000000000054</v>
      </c>
      <c r="M2" s="499">
        <f>Valuation!B13</f>
        <v>1.2</v>
      </c>
      <c r="N2" s="499" t="s">
        <v>403</v>
      </c>
      <c r="O2" s="499">
        <f>Valuation!B82</f>
        <v>308047.59399999998</v>
      </c>
    </row>
    <row r="3" spans="2:22" x14ac:dyDescent="0.35">
      <c r="L3" s="498" t="s">
        <v>377</v>
      </c>
    </row>
    <row r="4" spans="2:22" ht="23.5" customHeight="1" x14ac:dyDescent="0.35">
      <c r="B4" s="505" t="s">
        <v>378</v>
      </c>
      <c r="C4" s="506" t="s">
        <v>379</v>
      </c>
      <c r="D4" s="506" t="s">
        <v>380</v>
      </c>
      <c r="E4" s="506" t="s">
        <v>381</v>
      </c>
      <c r="F4" s="506" t="s">
        <v>382</v>
      </c>
      <c r="G4" s="506" t="s">
        <v>383</v>
      </c>
      <c r="H4" s="506" t="s">
        <v>384</v>
      </c>
      <c r="I4" s="506" t="s">
        <v>385</v>
      </c>
      <c r="J4" s="506" t="s">
        <v>386</v>
      </c>
      <c r="K4" s="506" t="s">
        <v>387</v>
      </c>
      <c r="L4" s="506" t="s">
        <v>404</v>
      </c>
      <c r="M4" s="507" t="s">
        <v>405</v>
      </c>
      <c r="N4" s="507" t="s">
        <v>406</v>
      </c>
      <c r="O4" s="507" t="s">
        <v>407</v>
      </c>
      <c r="P4" s="507" t="s">
        <v>408</v>
      </c>
      <c r="Q4" s="507" t="s">
        <v>409</v>
      </c>
      <c r="R4" s="507" t="s">
        <v>410</v>
      </c>
      <c r="S4" s="507" t="s">
        <v>411</v>
      </c>
      <c r="T4" s="507" t="s">
        <v>412</v>
      </c>
      <c r="U4" s="508"/>
      <c r="V4" s="508"/>
    </row>
    <row r="5" spans="2:22" ht="17.5" customHeight="1" x14ac:dyDescent="0.35">
      <c r="B5" s="509" t="s">
        <v>3</v>
      </c>
      <c r="C5" s="511">
        <f>IS!BI59</f>
        <v>1738295</v>
      </c>
      <c r="D5" s="511">
        <f>IS!BN59</f>
        <v>2257294</v>
      </c>
      <c r="E5" s="511">
        <f>IS!BS59</f>
        <v>2886172</v>
      </c>
      <c r="F5" s="511">
        <f>IS!BX59</f>
        <v>3926310</v>
      </c>
      <c r="G5" s="511">
        <f>IS!CC59</f>
        <v>5399424</v>
      </c>
      <c r="H5" s="511">
        <f>IS!CH59</f>
        <v>6834256.2754184976</v>
      </c>
      <c r="I5" s="511">
        <f>IS!CM59</f>
        <v>8249783.244527258</v>
      </c>
      <c r="J5" s="511">
        <f>IS!CR59</f>
        <v>9155425.8655450344</v>
      </c>
      <c r="K5" s="511">
        <f>IS!CW59</f>
        <v>9932518.5908899419</v>
      </c>
      <c r="L5" s="511">
        <f>IS!DB59</f>
        <v>10552416.638651561</v>
      </c>
      <c r="M5" s="511">
        <f>IS!BY59</f>
        <v>1216184</v>
      </c>
      <c r="N5" s="511">
        <f>IS!BZ59</f>
        <v>1346599</v>
      </c>
      <c r="O5" s="511">
        <f>IS!CA59</f>
        <v>1416926</v>
      </c>
      <c r="P5" s="511">
        <f>IS!CB59</f>
        <v>1419715</v>
      </c>
      <c r="Q5" s="511">
        <f>IS!CD59</f>
        <v>1612571</v>
      </c>
      <c r="R5" s="511">
        <f>IS!CE59</f>
        <v>1690594</v>
      </c>
      <c r="S5" s="511">
        <f>IS!CF59</f>
        <v>1751153.4058953349</v>
      </c>
      <c r="T5" s="511">
        <f>IS!CG59</f>
        <v>1779937.8695231627</v>
      </c>
    </row>
    <row r="6" spans="2:22" ht="17.5" customHeight="1" x14ac:dyDescent="0.35">
      <c r="B6" s="498" t="s">
        <v>388</v>
      </c>
      <c r="C6" s="511">
        <f>C5</f>
        <v>1738295</v>
      </c>
      <c r="D6" s="511">
        <f t="shared" ref="D6:T6" si="0">D5</f>
        <v>2257294</v>
      </c>
      <c r="E6" s="511">
        <f t="shared" si="0"/>
        <v>2886172</v>
      </c>
      <c r="F6" s="511">
        <f t="shared" si="0"/>
        <v>3926310</v>
      </c>
      <c r="G6" s="511">
        <f t="shared" si="0"/>
        <v>5399424</v>
      </c>
      <c r="H6" s="511">
        <f t="shared" si="0"/>
        <v>6834256.2754184976</v>
      </c>
      <c r="I6" s="511">
        <f t="shared" si="0"/>
        <v>8249783.244527258</v>
      </c>
      <c r="J6" s="511">
        <f t="shared" si="0"/>
        <v>9155425.8655450344</v>
      </c>
      <c r="K6" s="511">
        <f t="shared" si="0"/>
        <v>9932518.5908899419</v>
      </c>
      <c r="L6" s="511">
        <f t="shared" si="0"/>
        <v>10552416.638651561</v>
      </c>
      <c r="M6" s="511">
        <f t="shared" si="0"/>
        <v>1216184</v>
      </c>
      <c r="N6" s="511">
        <f t="shared" si="0"/>
        <v>1346599</v>
      </c>
      <c r="O6" s="511">
        <f t="shared" si="0"/>
        <v>1416926</v>
      </c>
      <c r="P6" s="511">
        <f t="shared" si="0"/>
        <v>1419715</v>
      </c>
      <c r="Q6" s="511">
        <f t="shared" si="0"/>
        <v>1612571</v>
      </c>
      <c r="R6" s="511">
        <f t="shared" si="0"/>
        <v>1690594</v>
      </c>
      <c r="S6" s="511">
        <f t="shared" si="0"/>
        <v>1751153.4058953349</v>
      </c>
      <c r="T6" s="511">
        <f t="shared" si="0"/>
        <v>1779937.8695231627</v>
      </c>
    </row>
    <row r="7" spans="2:22" ht="17.5" customHeight="1" x14ac:dyDescent="0.35">
      <c r="B7" s="509" t="s">
        <v>208</v>
      </c>
      <c r="C7" s="512">
        <f>IS!BI65</f>
        <v>378213</v>
      </c>
      <c r="D7" s="512">
        <f>IS!BN65</f>
        <v>434198</v>
      </c>
      <c r="E7" s="512">
        <f>IS!BS65</f>
        <v>589232</v>
      </c>
      <c r="F7" s="512">
        <f>IS!BX65</f>
        <v>822175</v>
      </c>
      <c r="G7" s="512">
        <f>IS!CC65</f>
        <v>1274091</v>
      </c>
      <c r="H7" s="512">
        <f>IS!CH65</f>
        <v>1615308.1666184769</v>
      </c>
      <c r="I7" s="512">
        <f>IS!CM65</f>
        <v>1973717.0683314316</v>
      </c>
      <c r="J7" s="512">
        <f>IS!CR65</f>
        <v>2192961.1548824981</v>
      </c>
      <c r="K7" s="512">
        <f>IS!CW65</f>
        <v>2329227.8800419024</v>
      </c>
      <c r="L7" s="512">
        <f>IS!DB65</f>
        <v>2458560.2331988225</v>
      </c>
      <c r="M7" s="512">
        <f>IS!BY65</f>
        <v>280474</v>
      </c>
      <c r="N7" s="512">
        <f>IS!BZ65</f>
        <v>316816</v>
      </c>
      <c r="O7" s="512">
        <f>IS!CA65</f>
        <v>329473</v>
      </c>
      <c r="P7" s="512">
        <f>IS!CB65</f>
        <v>347328</v>
      </c>
      <c r="Q7" s="512">
        <f>IS!CD65</f>
        <v>405318</v>
      </c>
      <c r="R7" s="512">
        <f>IS!CE65</f>
        <v>382884</v>
      </c>
      <c r="S7" s="512">
        <f>IS!CF65</f>
        <v>398928.12668800901</v>
      </c>
      <c r="T7" s="512">
        <f>IS!CG65</f>
        <v>428178.03993046819</v>
      </c>
    </row>
    <row r="8" spans="2:22" ht="17.5" customHeight="1" x14ac:dyDescent="0.35">
      <c r="B8" s="498" t="s">
        <v>389</v>
      </c>
      <c r="C8" s="512">
        <f>C7</f>
        <v>378213</v>
      </c>
      <c r="D8" s="512">
        <f t="shared" ref="D8:T8" si="1">D7</f>
        <v>434198</v>
      </c>
      <c r="E8" s="512">
        <f t="shared" si="1"/>
        <v>589232</v>
      </c>
      <c r="F8" s="512">
        <f t="shared" si="1"/>
        <v>822175</v>
      </c>
      <c r="G8" s="512">
        <f t="shared" si="1"/>
        <v>1274091</v>
      </c>
      <c r="H8" s="512">
        <f t="shared" si="1"/>
        <v>1615308.1666184769</v>
      </c>
      <c r="I8" s="512">
        <f t="shared" si="1"/>
        <v>1973717.0683314316</v>
      </c>
      <c r="J8" s="512">
        <f t="shared" si="1"/>
        <v>2192961.1548824981</v>
      </c>
      <c r="K8" s="512">
        <f t="shared" si="1"/>
        <v>2329227.8800419024</v>
      </c>
      <c r="L8" s="512">
        <f t="shared" si="1"/>
        <v>2458560.2331988225</v>
      </c>
      <c r="M8" s="512">
        <f t="shared" si="1"/>
        <v>280474</v>
      </c>
      <c r="N8" s="512">
        <f t="shared" si="1"/>
        <v>316816</v>
      </c>
      <c r="O8" s="512">
        <f t="shared" si="1"/>
        <v>329473</v>
      </c>
      <c r="P8" s="512">
        <f t="shared" si="1"/>
        <v>347328</v>
      </c>
      <c r="Q8" s="512">
        <f t="shared" si="1"/>
        <v>405318</v>
      </c>
      <c r="R8" s="512">
        <f t="shared" si="1"/>
        <v>382884</v>
      </c>
      <c r="S8" s="512">
        <f t="shared" si="1"/>
        <v>398928.12668800901</v>
      </c>
      <c r="T8" s="512">
        <f t="shared" si="1"/>
        <v>428178.03993046819</v>
      </c>
    </row>
    <row r="9" spans="2:22" ht="17.5" customHeight="1" x14ac:dyDescent="0.35">
      <c r="B9" s="509" t="s">
        <v>390</v>
      </c>
      <c r="C9" s="513">
        <f>IS!BI63</f>
        <v>376775</v>
      </c>
      <c r="D9" s="513">
        <f>IS!BN63</f>
        <v>432346</v>
      </c>
      <c r="E9" s="513">
        <f>IS!BS63</f>
        <v>586257</v>
      </c>
      <c r="F9" s="513">
        <f>IS!BX63</f>
        <v>819502</v>
      </c>
      <c r="G9" s="513">
        <f>IS!CC63</f>
        <v>1273226</v>
      </c>
      <c r="H9" s="513">
        <f>IS!CH63</f>
        <v>1614461.348737943</v>
      </c>
      <c r="I9" s="513">
        <f>IS!CM63</f>
        <v>1972842.3129572121</v>
      </c>
      <c r="J9" s="513">
        <f>IS!CR63</f>
        <v>2192084.9045648919</v>
      </c>
      <c r="K9" s="513">
        <f>IS!CW63</f>
        <v>2328350.1322260746</v>
      </c>
      <c r="L9" s="513">
        <f>IS!DB63</f>
        <v>2457680.9853255721</v>
      </c>
      <c r="M9" s="513">
        <f>IS!BY63</f>
        <v>280270</v>
      </c>
      <c r="N9" s="513">
        <f>IS!BZ63</f>
        <v>316590</v>
      </c>
      <c r="O9" s="513">
        <f>IS!CA63</f>
        <v>329254</v>
      </c>
      <c r="P9" s="513">
        <f>IS!CB63</f>
        <v>347112</v>
      </c>
      <c r="Q9" s="513">
        <f>IS!CD63</f>
        <v>405106</v>
      </c>
      <c r="R9" s="513">
        <f>IS!CE63</f>
        <v>382686</v>
      </c>
      <c r="S9" s="513">
        <f>IS!CF63</f>
        <v>398709.7643651056</v>
      </c>
      <c r="T9" s="513">
        <f>IS!CG63</f>
        <v>427959.58437283779</v>
      </c>
    </row>
    <row r="10" spans="2:22" ht="17.5" customHeight="1" x14ac:dyDescent="0.35">
      <c r="B10" s="498" t="s">
        <v>391</v>
      </c>
      <c r="C10" s="513">
        <f>C9</f>
        <v>376775</v>
      </c>
      <c r="D10" s="513">
        <f t="shared" ref="D10:T10" si="2">D9</f>
        <v>432346</v>
      </c>
      <c r="E10" s="513">
        <f t="shared" si="2"/>
        <v>586257</v>
      </c>
      <c r="F10" s="513">
        <f t="shared" si="2"/>
        <v>819502</v>
      </c>
      <c r="G10" s="513">
        <f t="shared" si="2"/>
        <v>1273226</v>
      </c>
      <c r="H10" s="513">
        <f t="shared" si="2"/>
        <v>1614461.348737943</v>
      </c>
      <c r="I10" s="513">
        <f t="shared" si="2"/>
        <v>1972842.3129572121</v>
      </c>
      <c r="J10" s="513">
        <f t="shared" si="2"/>
        <v>2192084.9045648919</v>
      </c>
      <c r="K10" s="513">
        <f t="shared" si="2"/>
        <v>2328350.1322260746</v>
      </c>
      <c r="L10" s="513">
        <f t="shared" si="2"/>
        <v>2457680.9853255721</v>
      </c>
      <c r="M10" s="513">
        <f t="shared" si="2"/>
        <v>280270</v>
      </c>
      <c r="N10" s="513">
        <f t="shared" si="2"/>
        <v>316590</v>
      </c>
      <c r="O10" s="513">
        <f t="shared" si="2"/>
        <v>329254</v>
      </c>
      <c r="P10" s="513">
        <f t="shared" si="2"/>
        <v>347112</v>
      </c>
      <c r="Q10" s="513">
        <f t="shared" si="2"/>
        <v>405106</v>
      </c>
      <c r="R10" s="513">
        <f t="shared" si="2"/>
        <v>382686</v>
      </c>
      <c r="S10" s="513">
        <f t="shared" si="2"/>
        <v>398709.7643651056</v>
      </c>
      <c r="T10" s="513">
        <f t="shared" si="2"/>
        <v>427959.58437283779</v>
      </c>
    </row>
    <row r="11" spans="2:22" ht="17.5" customHeight="1" x14ac:dyDescent="0.35">
      <c r="B11" s="509" t="s">
        <v>89</v>
      </c>
      <c r="C11" s="513">
        <f>IS!BI73</f>
        <v>299749</v>
      </c>
      <c r="D11" s="513">
        <f>IS!BN73</f>
        <v>329885</v>
      </c>
      <c r="E11" s="513">
        <f>IS!BS73</f>
        <v>481765</v>
      </c>
      <c r="F11" s="513">
        <f>IS!BX73</f>
        <v>649843</v>
      </c>
      <c r="G11" s="513">
        <f>IS!CC73</f>
        <v>975536</v>
      </c>
      <c r="H11" s="513">
        <f ca="1">IS!CH73</f>
        <v>1215615.1504529114</v>
      </c>
      <c r="I11" s="513">
        <f ca="1">IS!CM73</f>
        <v>1528938.6640066695</v>
      </c>
      <c r="J11" s="513">
        <f ca="1">IS!CR73</f>
        <v>1805100.0819759979</v>
      </c>
      <c r="K11" s="513">
        <f ca="1">IS!CW73</f>
        <v>1909750.3210395777</v>
      </c>
      <c r="L11" s="513">
        <f ca="1">IS!DB73</f>
        <v>2015035.160526376</v>
      </c>
      <c r="M11" s="513">
        <f>IS!BY73</f>
        <v>213475</v>
      </c>
      <c r="N11" s="513">
        <f>IS!BZ73</f>
        <v>236731</v>
      </c>
      <c r="O11" s="513">
        <f>IS!CA73</f>
        <v>255253</v>
      </c>
      <c r="P11" s="513">
        <f>IS!CB73</f>
        <v>270077</v>
      </c>
      <c r="Q11" s="513">
        <f>IS!CD73</f>
        <v>302867</v>
      </c>
      <c r="R11" s="513">
        <f>IS!CE73</f>
        <v>270451</v>
      </c>
      <c r="S11" s="513">
        <f ca="1">IS!CF73</f>
        <v>305546.49957986851</v>
      </c>
      <c r="T11" s="513">
        <f ca="1">IS!CG73</f>
        <v>336750.65087304276</v>
      </c>
    </row>
    <row r="12" spans="2:22" ht="21.65" customHeight="1" x14ac:dyDescent="0.35">
      <c r="B12" s="498" t="s">
        <v>392</v>
      </c>
      <c r="C12" s="513">
        <f>IS!BI74</f>
        <v>299749</v>
      </c>
      <c r="D12" s="513">
        <f>IS!BN74</f>
        <v>329885</v>
      </c>
      <c r="E12" s="513">
        <f>IS!BS74</f>
        <v>481765</v>
      </c>
      <c r="F12" s="513">
        <f>IS!BX74</f>
        <v>649843</v>
      </c>
      <c r="G12" s="513">
        <f>IS!CC74</f>
        <v>975536</v>
      </c>
      <c r="H12" s="513">
        <f ca="1">IS!CH74</f>
        <v>1215615.1504529114</v>
      </c>
      <c r="I12" s="513">
        <f ca="1">IS!CM74</f>
        <v>1528938.6640066695</v>
      </c>
      <c r="J12" s="513">
        <f ca="1">IS!CR74</f>
        <v>1805100.0819759979</v>
      </c>
      <c r="K12" s="513">
        <f ca="1">IS!CW74</f>
        <v>1909750.3210395777</v>
      </c>
      <c r="L12" s="513">
        <f ca="1">IS!DB74</f>
        <v>2015035.160526376</v>
      </c>
      <c r="M12" s="513">
        <f>IS!BY74</f>
        <v>213475</v>
      </c>
      <c r="N12" s="513">
        <f>IS!BZ74</f>
        <v>236731</v>
      </c>
      <c r="O12" s="513">
        <f>IS!CA74</f>
        <v>255253</v>
      </c>
      <c r="P12" s="513">
        <f>IS!CB74</f>
        <v>270077</v>
      </c>
      <c r="Q12" s="513">
        <f>IS!CD74</f>
        <v>302867</v>
      </c>
      <c r="R12" s="513">
        <f>IS!CE74</f>
        <v>270451</v>
      </c>
      <c r="S12" s="513">
        <f ca="1">IS!CF74</f>
        <v>305546.49957986851</v>
      </c>
      <c r="T12" s="513">
        <f ca="1">IS!CG74</f>
        <v>336750.65087304276</v>
      </c>
    </row>
    <row r="13" spans="2:22" ht="17.5" customHeight="1" x14ac:dyDescent="0.35">
      <c r="B13" s="509" t="s">
        <v>393</v>
      </c>
      <c r="C13" s="514">
        <f>IS!BI71/IS!BI70</f>
        <v>-0.1033212850606158</v>
      </c>
      <c r="D13" s="514">
        <f>IS!BN71/IS!BN70</f>
        <v>-0.13966281814500597</v>
      </c>
      <c r="E13" s="514">
        <f>IS!BS71/IS!BS70</f>
        <v>-0.12748996970225113</v>
      </c>
      <c r="F13" s="514">
        <f>IS!BX71/IS!BX70</f>
        <v>-0.11385297414645776</v>
      </c>
      <c r="G13" s="514">
        <f>IS!CC71/IS!CC70</f>
        <v>-0.11393276437701906</v>
      </c>
      <c r="H13" s="514">
        <f ca="1">IS!CH71/IS!CH70</f>
        <v>-0.1154298087646202</v>
      </c>
      <c r="I13" s="514">
        <f ca="1">IS!CM71/IS!CM70</f>
        <v>-0.11314118215584835</v>
      </c>
      <c r="J13" s="514">
        <f ca="1">IS!CR71/IS!CR70</f>
        <v>-7.9776153600820326E-2</v>
      </c>
      <c r="K13" s="514">
        <f ca="1">IS!CW71/IS!CW70</f>
        <v>-8.1457990767559177E-2</v>
      </c>
      <c r="L13" s="514">
        <f ca="1">IS!DB71/IS!DB70</f>
        <v>-8.1977938095718461E-2</v>
      </c>
      <c r="M13" s="514">
        <f>IS!BY71/IS!BY70</f>
        <v>-0.11713965095761844</v>
      </c>
      <c r="N13" s="514">
        <f>IS!BZ71/IS!BZ70</f>
        <v>-0.10528942115768464</v>
      </c>
      <c r="O13" s="514">
        <f>IS!CA71/IS!CA70</f>
        <v>-0.11489406918708767</v>
      </c>
      <c r="P13" s="514">
        <f>IS!CB71/IS!CB70</f>
        <v>-0.11815969852526631</v>
      </c>
      <c r="Q13" s="514">
        <f>IS!CD71/IS!CD70</f>
        <v>-0.10511268079381096</v>
      </c>
      <c r="R13" s="514">
        <f>IS!CE71/IS!CE70</f>
        <v>-0.12661624170303531</v>
      </c>
      <c r="S13" s="514">
        <f ca="1">IS!CF71/IS!CF70</f>
        <v>-0.11931332021534824</v>
      </c>
      <c r="T13" s="514">
        <f ca="1">IS!CG71/IS!CG70</f>
        <v>-0.11199215628021042</v>
      </c>
    </row>
    <row r="14" spans="2:22" ht="17.5" customHeight="1" x14ac:dyDescent="0.35">
      <c r="B14" s="498" t="s">
        <v>394</v>
      </c>
      <c r="C14" s="513">
        <f>IS!BI55</f>
        <v>165000</v>
      </c>
      <c r="D14" s="513">
        <f>IS!BN55</f>
        <v>150000</v>
      </c>
      <c r="E14" s="513">
        <f>IS!BS55</f>
        <v>328300</v>
      </c>
      <c r="F14" s="513">
        <f>IS!BX55</f>
        <v>483500</v>
      </c>
      <c r="G14" s="513">
        <f>IS!CC55</f>
        <v>1352000</v>
      </c>
      <c r="H14" s="513">
        <f ca="1">IS!CH55</f>
        <v>703882.54970590794</v>
      </c>
      <c r="I14" s="513">
        <f ca="1">IS!CM55</f>
        <v>1100881.0181153696</v>
      </c>
      <c r="J14" s="513">
        <f ca="1">IS!CR55</f>
        <v>1568250.8091703169</v>
      </c>
      <c r="K14" s="513">
        <f ca="1">IS!CW55</f>
        <v>1701361.4810042833</v>
      </c>
      <c r="L14" s="513">
        <f ca="1">IS!DB55</f>
        <v>1791273.7224700532</v>
      </c>
      <c r="M14" s="513">
        <f>IS!BY55</f>
        <v>175000</v>
      </c>
      <c r="N14" s="513">
        <f>IS!BZ55</f>
        <v>154000</v>
      </c>
      <c r="O14" s="513">
        <f>IS!CA55</f>
        <v>200000</v>
      </c>
      <c r="P14" s="513">
        <f>IS!CB55</f>
        <v>823000</v>
      </c>
      <c r="Q14" s="513">
        <f>IS!CD55</f>
        <v>140000</v>
      </c>
      <c r="R14" s="513">
        <f>IS!CE55</f>
        <v>160000</v>
      </c>
      <c r="S14" s="513">
        <f>IS!CF55</f>
        <v>190000</v>
      </c>
      <c r="T14" s="513">
        <f ca="1">IS!CG55</f>
        <v>213882.54970590794</v>
      </c>
    </row>
    <row r="15" spans="2:22" ht="17.5" customHeight="1" x14ac:dyDescent="0.35">
      <c r="B15" s="509" t="s">
        <v>395</v>
      </c>
      <c r="C15" s="513">
        <f>'BS &amp; FCF'!BI64</f>
        <v>-203259</v>
      </c>
      <c r="D15" s="513">
        <f>'BS &amp; FCF'!BN64</f>
        <v>-308438</v>
      </c>
      <c r="E15" s="513">
        <f>'BS &amp; FCF'!BS64</f>
        <v>-378917</v>
      </c>
      <c r="F15" s="513">
        <f>'BS &amp; FCF'!BX64</f>
        <v>-429854</v>
      </c>
      <c r="G15" s="513">
        <f>'BS &amp; FCF'!CC64</f>
        <v>-316050</v>
      </c>
      <c r="H15" s="513">
        <f ca="1">'BS &amp; FCF'!CH64</f>
        <v>-503113.14737122785</v>
      </c>
      <c r="I15" s="513">
        <f ca="1">'BS &amp; FCF'!CM64</f>
        <v>-535846.09966145526</v>
      </c>
      <c r="J15" s="513">
        <f ca="1">'BS &amp; FCF'!CR64</f>
        <v>-532222.09374269168</v>
      </c>
      <c r="K15" s="513">
        <f ca="1">'BS &amp; FCF'!CW64</f>
        <v>-539279.3305641592</v>
      </c>
      <c r="L15" s="513">
        <f ca="1">'BS &amp; FCF'!DB64</f>
        <v>-548627.928442145</v>
      </c>
      <c r="M15" s="513">
        <f>'BS &amp; FCF'!BY64</f>
        <v>-260995</v>
      </c>
      <c r="N15" s="513">
        <f>'BS &amp; FCF'!BZ64</f>
        <v>-227763</v>
      </c>
      <c r="O15" s="513">
        <f>'BS &amp; FCF'!CA64</f>
        <v>-450217</v>
      </c>
      <c r="P15" s="513">
        <f>'BS &amp; FCF'!CB64</f>
        <v>-316050</v>
      </c>
      <c r="Q15" s="513">
        <f>'BS &amp; FCF'!CD64</f>
        <v>-406894</v>
      </c>
      <c r="R15" s="513">
        <f>'BS &amp; FCF'!CE64</f>
        <v>-290551</v>
      </c>
      <c r="S15" s="513">
        <f ca="1">'BS &amp; FCF'!CF64</f>
        <v>-391863.86679062527</v>
      </c>
      <c r="T15" s="513">
        <f ca="1">'BS &amp; FCF'!CG64</f>
        <v>-503113.14737122785</v>
      </c>
    </row>
    <row r="16" spans="2:22" ht="17.5" customHeight="1" x14ac:dyDescent="0.35">
      <c r="B16" s="498" t="s">
        <v>396</v>
      </c>
      <c r="C16" s="513">
        <f>'BS &amp; FCF'!BI65</f>
        <v>738328</v>
      </c>
      <c r="D16" s="513">
        <f>'BS &amp; FCF'!BN65</f>
        <v>877748</v>
      </c>
      <c r="E16" s="513">
        <f>'BS &amp; FCF'!BS65</f>
        <v>996980</v>
      </c>
      <c r="F16" s="513">
        <f>'BS &amp; FCF'!BX65</f>
        <v>1309539</v>
      </c>
      <c r="G16" s="513">
        <f>'BS &amp; FCF'!CC65</f>
        <v>1662054</v>
      </c>
      <c r="H16" s="513">
        <f ca="1">'BS &amp; FCF'!CH65</f>
        <v>2296307.0228476254</v>
      </c>
      <c r="I16" s="513">
        <f ca="1">'BS &amp; FCF'!CM65</f>
        <v>2791668.2007390964</v>
      </c>
      <c r="J16" s="513">
        <f ca="1">'BS &amp; FCF'!CR65</f>
        <v>3072170.8347381288</v>
      </c>
      <c r="K16" s="513">
        <f ca="1">'BS &amp; FCF'!CW65</f>
        <v>3315236.0306440368</v>
      </c>
      <c r="L16" s="513">
        <f ca="1">'BS &amp; FCF'!DB65</f>
        <v>3552034.2167740837</v>
      </c>
      <c r="M16" s="513">
        <f>'BS &amp; FCF'!BY65</f>
        <v>1361484</v>
      </c>
      <c r="N16" s="513">
        <f>'BS &amp; FCF'!BZ65</f>
        <v>1578294</v>
      </c>
      <c r="O16" s="513">
        <f>'BS &amp; FCF'!CA65</f>
        <v>1642129</v>
      </c>
      <c r="P16" s="513">
        <f>'BS &amp; FCF'!CB65</f>
        <v>1662054</v>
      </c>
      <c r="Q16" s="513">
        <f>'BS &amp; FCF'!CD65</f>
        <v>1891970</v>
      </c>
      <c r="R16" s="513">
        <f>'BS &amp; FCF'!CE65</f>
        <v>2048841</v>
      </c>
      <c r="S16" s="513">
        <f ca="1">'BS &amp; FCF'!CF65</f>
        <v>2169287.1563240224</v>
      </c>
      <c r="T16" s="513">
        <f ca="1">'BS &amp; FCF'!CG65</f>
        <v>2296307.0228476254</v>
      </c>
    </row>
    <row r="17" spans="2:20" ht="17.5" customHeight="1" x14ac:dyDescent="0.35">
      <c r="B17" s="509" t="s">
        <v>397</v>
      </c>
      <c r="C17" s="513">
        <f>'BS &amp; FCF'!BI81</f>
        <v>-78252</v>
      </c>
      <c r="D17" s="513">
        <f>'BS &amp; FCF'!BN81</f>
        <v>-8950</v>
      </c>
      <c r="E17" s="513">
        <f>'BS &amp; FCF'!BS81</f>
        <v>-20759</v>
      </c>
      <c r="F17" s="513">
        <f>'BS &amp; FCF'!BX81</f>
        <v>56795</v>
      </c>
      <c r="G17" s="513">
        <f>'BS &amp; FCF'!CC81</f>
        <v>456</v>
      </c>
      <c r="H17" s="513">
        <f>'BS &amp; FCF'!CH81</f>
        <v>-679.83988454548933</v>
      </c>
      <c r="I17" s="513">
        <f>'BS &amp; FCF'!CM81</f>
        <v>-6169.7408047573899</v>
      </c>
      <c r="J17" s="513">
        <f>'BS &amp; FCF'!CR81</f>
        <v>-4341.4887305123802</v>
      </c>
      <c r="K17" s="513">
        <f>'BS &amp; FCF'!CW81</f>
        <v>-3648.5536492275828</v>
      </c>
      <c r="L17" s="513">
        <f>'BS &amp; FCF'!DB81</f>
        <v>-1975.8714992606676</v>
      </c>
      <c r="M17" s="513">
        <f>'BS &amp; FCF'!BY81</f>
        <v>1385</v>
      </c>
      <c r="N17" s="513">
        <f>'BS &amp; FCF'!BZ81</f>
        <v>914</v>
      </c>
      <c r="O17" s="513">
        <f>'BS &amp; FCF'!CA81</f>
        <v>-819</v>
      </c>
      <c r="P17" s="513">
        <f>'BS &amp; FCF'!CB81</f>
        <v>-1024</v>
      </c>
      <c r="Q17" s="513">
        <f>'BS &amp; FCF'!CD81</f>
        <v>-1818</v>
      </c>
      <c r="R17" s="513">
        <f>'BS &amp; FCF'!CE81</f>
        <v>2319</v>
      </c>
      <c r="S17" s="513">
        <f>'BS &amp; FCF'!CF81</f>
        <v>-619.30215064827723</v>
      </c>
      <c r="T17" s="513">
        <f>'BS &amp; FCF'!CG81</f>
        <v>-561.53773389721209</v>
      </c>
    </row>
    <row r="18" spans="2:20" ht="17.5" customHeight="1" x14ac:dyDescent="0.35">
      <c r="B18" s="498" t="s">
        <v>29</v>
      </c>
      <c r="C18" s="513">
        <f>'BS &amp; FCF'!BI89</f>
        <v>245571</v>
      </c>
      <c r="D18" s="513">
        <f>'BS &amp; FCF'!BN89</f>
        <v>316960</v>
      </c>
      <c r="E18" s="513">
        <f>'BS &amp; FCF'!BS89</f>
        <v>420502</v>
      </c>
      <c r="F18" s="513">
        <f>'BS &amp; FCF'!BX89</f>
        <v>498799</v>
      </c>
      <c r="G18" s="513">
        <f>'BS &amp; FCF'!CC89</f>
        <v>616007</v>
      </c>
      <c r="H18" s="513">
        <f ca="1">'BS &amp; FCF'!CH89</f>
        <v>829611.43052228994</v>
      </c>
      <c r="I18" s="513">
        <f ca="1">'BS &amp; FCF'!CM89</f>
        <v>1096884.4559680237</v>
      </c>
      <c r="J18" s="513">
        <f ca="1">'BS &amp; FCF'!CR89</f>
        <v>1513502.2246211348</v>
      </c>
      <c r="K18" s="513">
        <f ca="1">'BS &amp; FCF'!CW89</f>
        <v>1665160.3961698641</v>
      </c>
      <c r="L18" s="513">
        <f ca="1">'BS &amp; FCF'!DB89</f>
        <v>1778181.516323925</v>
      </c>
      <c r="M18" s="513">
        <f>'BS &amp; FCF'!BY89</f>
        <v>4916</v>
      </c>
      <c r="N18" s="513">
        <f>'BS &amp; FCF'!BZ89</f>
        <v>63798</v>
      </c>
      <c r="O18" s="513">
        <f>'BS &amp; FCF'!CA89</f>
        <v>218512</v>
      </c>
      <c r="P18" s="513">
        <f>'BS &amp; FCF'!CB89</f>
        <v>328781</v>
      </c>
      <c r="Q18" s="513">
        <f>'BS &amp; FCF'!CD89</f>
        <v>44719</v>
      </c>
      <c r="R18" s="513">
        <f>'BS &amp; FCF'!CE89</f>
        <v>135058</v>
      </c>
      <c r="S18" s="513">
        <f ca="1">'BS &amp; FCF'!CF89</f>
        <v>324235.98179647006</v>
      </c>
      <c r="T18" s="513">
        <f ca="1">'BS &amp; FCF'!CG89</f>
        <v>325598.44872581982</v>
      </c>
    </row>
    <row r="19" spans="2:20" ht="17.5" customHeight="1" x14ac:dyDescent="0.35">
      <c r="B19" s="509" t="s">
        <v>30</v>
      </c>
      <c r="C19" s="513">
        <f>'BS &amp; FCF'!BI90</f>
        <v>334399</v>
      </c>
      <c r="D19" s="513">
        <f>'BS &amp; FCF'!BN90</f>
        <v>378247</v>
      </c>
      <c r="E19" s="513">
        <f>'BS &amp; FCF'!BS90</f>
        <v>525187</v>
      </c>
      <c r="F19" s="513">
        <f>'BS &amp; FCF'!BX90</f>
        <v>825450</v>
      </c>
      <c r="G19" s="513">
        <f>'BS &amp; FCF'!CC90</f>
        <v>1052060</v>
      </c>
      <c r="H19" s="513">
        <f ca="1">'BS &amp; FCF'!CH90</f>
        <v>662949.17142213462</v>
      </c>
      <c r="I19" s="513">
        <f ca="1">'BS &amp; FCF'!CM90</f>
        <v>1346949.6928027356</v>
      </c>
      <c r="J19" s="513">
        <f ca="1">'BS &amp; FCF'!CR90</f>
        <v>1702178.8618586124</v>
      </c>
      <c r="K19" s="513">
        <f ca="1">'BS &amp; FCF'!CW90</f>
        <v>1817139.5363599379</v>
      </c>
      <c r="L19" s="513">
        <f ca="1">'BS &amp; FCF'!DB90</f>
        <v>1903149.6183847808</v>
      </c>
      <c r="M19" s="513">
        <f>'BS &amp; FCF'!BY90</f>
        <v>289100</v>
      </c>
      <c r="N19" s="513">
        <f>'BS &amp; FCF'!BZ90</f>
        <v>61328</v>
      </c>
      <c r="O19" s="513">
        <f>'BS &amp; FCF'!CA90</f>
        <v>233746</v>
      </c>
      <c r="P19" s="513">
        <f>'BS &amp; FCF'!CB90</f>
        <v>467886</v>
      </c>
      <c r="Q19" s="513">
        <f>'BS &amp; FCF'!CD90</f>
        <v>-100676</v>
      </c>
      <c r="R19" s="513">
        <f>'BS &amp; FCF'!CE90</f>
        <v>99976</v>
      </c>
      <c r="S19" s="513">
        <f ca="1">'BS &amp; FCF'!CF90</f>
        <v>332791.32668369799</v>
      </c>
      <c r="T19" s="513">
        <f ca="1">'BS &amp; FCF'!CG90</f>
        <v>330857.84473843651</v>
      </c>
    </row>
    <row r="20" spans="2:20" ht="17.5" customHeight="1" x14ac:dyDescent="0.35">
      <c r="B20" s="498" t="s">
        <v>87</v>
      </c>
      <c r="C20" s="513">
        <f>IS!BI72</f>
        <v>-15560</v>
      </c>
      <c r="D20" s="513">
        <f>IS!BN72</f>
        <v>-18555</v>
      </c>
      <c r="E20" s="513">
        <f>IS!BS72</f>
        <v>-13846</v>
      </c>
      <c r="F20" s="513">
        <f>IS!BX72</f>
        <v>-48969</v>
      </c>
      <c r="G20" s="513">
        <f>IS!CC72</f>
        <v>-105684</v>
      </c>
      <c r="H20" s="513">
        <f>IS!CH72</f>
        <v>-168312.3656744154</v>
      </c>
      <c r="I20" s="513">
        <f>IS!CM72</f>
        <v>-196693.89440558822</v>
      </c>
      <c r="J20" s="513">
        <f>IS!CR72</f>
        <v>-222583.42797819636</v>
      </c>
      <c r="K20" s="513">
        <f>IS!CW72</f>
        <v>-240682.82305268376</v>
      </c>
      <c r="L20" s="513">
        <f>IS!DB72</f>
        <v>-253833.13391689383</v>
      </c>
      <c r="M20" s="513">
        <f>IS!BY72</f>
        <v>-20189</v>
      </c>
      <c r="N20" s="513">
        <f>IS!BZ72</f>
        <v>-30426</v>
      </c>
      <c r="O20" s="513">
        <f>IS!CA72</f>
        <v>-27957</v>
      </c>
      <c r="P20" s="513">
        <f>IS!CB72</f>
        <v>-27112</v>
      </c>
      <c r="Q20" s="513">
        <f>IS!CD72</f>
        <v>-48319</v>
      </c>
      <c r="R20" s="513">
        <f>IS!CE72</f>
        <v>-40740</v>
      </c>
      <c r="S20" s="513">
        <f>IS!CF72</f>
        <v>-39381.700000000004</v>
      </c>
      <c r="T20" s="513">
        <f>IS!CG72</f>
        <v>-39871.665674415388</v>
      </c>
    </row>
    <row r="21" spans="2:20" ht="17.5" customHeight="1" x14ac:dyDescent="0.35">
      <c r="B21" s="509" t="s">
        <v>185</v>
      </c>
      <c r="C21" s="513">
        <f>'BS &amp; FCF'!BI4</f>
        <v>2597922</v>
      </c>
      <c r="D21" s="513">
        <f>'BS &amp; FCF'!BN4</f>
        <v>2798431</v>
      </c>
      <c r="E21" s="513">
        <f>'BS &amp; FCF'!BS4</f>
        <v>3092023</v>
      </c>
      <c r="F21" s="513">
        <f>'BS &amp; FCF'!BX4</f>
        <v>4339295</v>
      </c>
      <c r="G21" s="513">
        <f>'BS &amp; FCF'!CC4</f>
        <v>5654395</v>
      </c>
      <c r="H21" s="513">
        <f ca="1">'BS &amp; FCF'!CH4</f>
        <v>6621223.4296761611</v>
      </c>
      <c r="I21" s="513">
        <f ca="1">'BS &amp; FCF'!CM4</f>
        <v>7665009.6835873267</v>
      </c>
      <c r="J21" s="513">
        <f ca="1">'BS &amp; FCF'!CR4</f>
        <v>8319314.5984257357</v>
      </c>
      <c r="K21" s="513">
        <f ca="1">'BS &amp; FCF'!CW4</f>
        <v>8849821.3203513455</v>
      </c>
      <c r="L21" s="513">
        <f ca="1">'BS &amp; FCF'!DB4</f>
        <v>9118805.0988378022</v>
      </c>
      <c r="M21" s="513">
        <f>'BS &amp; FCF'!BY4</f>
        <v>4870968</v>
      </c>
      <c r="N21" s="513">
        <f>'BS &amp; FCF'!BZ4</f>
        <v>5183964</v>
      </c>
      <c r="O21" s="513">
        <f>'BS &amp; FCF'!CA4</f>
        <v>5631997</v>
      </c>
      <c r="P21" s="513">
        <f>'BS &amp; FCF'!CB4</f>
        <v>5654395</v>
      </c>
      <c r="Q21" s="513">
        <f>'BS &amp; FCF'!CD4</f>
        <v>6195487</v>
      </c>
      <c r="R21" s="513">
        <f>'BS &amp; FCF'!CE4</f>
        <v>6278509</v>
      </c>
      <c r="S21" s="513">
        <f ca="1">'BS &amp; FCF'!CF4</f>
        <v>6451817.7563823825</v>
      </c>
      <c r="T21" s="513">
        <f ca="1">'BS &amp; FCF'!CG4</f>
        <v>6621223.4296761611</v>
      </c>
    </row>
    <row r="22" spans="2:20" ht="17.5" customHeight="1" x14ac:dyDescent="0.35">
      <c r="B22" s="498" t="s">
        <v>71</v>
      </c>
      <c r="C22" s="513">
        <f>IS!BI16</f>
        <v>644671</v>
      </c>
      <c r="D22" s="513">
        <f>IS!BN16</f>
        <v>836892</v>
      </c>
      <c r="E22" s="513">
        <f>IS!BS16</f>
        <v>1095353</v>
      </c>
      <c r="F22" s="513">
        <f>IS!BX16</f>
        <v>1512940</v>
      </c>
      <c r="G22" s="513">
        <f>IS!CC16</f>
        <v>2146587</v>
      </c>
      <c r="H22" s="513">
        <f>IS!CH16</f>
        <v>2703755.9687835919</v>
      </c>
      <c r="I22" s="513">
        <f>IS!CM16</f>
        <v>3286104.2447528997</v>
      </c>
      <c r="J22" s="513">
        <f>IS!CR16</f>
        <v>3553945.1045173267</v>
      </c>
      <c r="K22" s="513">
        <f>IS!CW16</f>
        <v>3774159.0275063612</v>
      </c>
      <c r="L22" s="513">
        <f>IS!DB16</f>
        <v>3970682.1005425882</v>
      </c>
      <c r="M22" s="513">
        <f>IS!BY16</f>
        <v>474888</v>
      </c>
      <c r="N22" s="513">
        <f>IS!BZ16</f>
        <v>532776</v>
      </c>
      <c r="O22" s="513">
        <f>IS!CA16</f>
        <v>566227</v>
      </c>
      <c r="P22" s="513">
        <f>IS!CB16</f>
        <v>572696</v>
      </c>
      <c r="Q22" s="513">
        <f>IS!CD16</f>
        <v>629656</v>
      </c>
      <c r="R22" s="513">
        <f>IS!CE16</f>
        <v>668362</v>
      </c>
      <c r="S22" s="513">
        <f>IS!CF16</f>
        <v>698159.09122568835</v>
      </c>
      <c r="T22" s="513">
        <f>IS!CG16</f>
        <v>707578.8775579033</v>
      </c>
    </row>
    <row r="23" spans="2:20" ht="17.5" customHeight="1" x14ac:dyDescent="0.35">
      <c r="B23" s="509" t="s">
        <v>398</v>
      </c>
      <c r="C23" s="513">
        <f>'BS &amp; FCF'!BI20</f>
        <v>118431</v>
      </c>
      <c r="D23" s="513">
        <f>'BS &amp; FCF'!BN20</f>
        <v>125529</v>
      </c>
      <c r="E23" s="513">
        <f>'BS &amp; FCF'!BS20</f>
        <v>143313</v>
      </c>
      <c r="F23" s="513">
        <f>'BS &amp; FCF'!BX20</f>
        <v>83845</v>
      </c>
      <c r="G23" s="513">
        <f>'BS &amp; FCF'!CC20</f>
        <v>82524</v>
      </c>
      <c r="H23" s="513">
        <f>'BS &amp; FCF'!CH20</f>
        <v>82357.022004011698</v>
      </c>
      <c r="I23" s="513">
        <f>'BS &amp; FCF'!CM20</f>
        <v>87652.00743454948</v>
      </c>
      <c r="J23" s="513">
        <f>'BS &amp; FCF'!CR20</f>
        <v>91117.24584745575</v>
      </c>
      <c r="K23" s="513">
        <f>'BS &amp; FCF'!CW20</f>
        <v>93888.051680855628</v>
      </c>
      <c r="L23" s="513">
        <f>'BS &amp; FCF'!DB20</f>
        <v>94984.675306865727</v>
      </c>
      <c r="M23" s="513">
        <f>'BS &amp; FCF'!BY20</f>
        <v>82256</v>
      </c>
      <c r="N23" s="513">
        <f>'BS &amp; FCF'!BZ20</f>
        <v>81116</v>
      </c>
      <c r="O23" s="513">
        <f>'BS &amp; FCF'!CA20</f>
        <v>81716</v>
      </c>
      <c r="P23" s="513">
        <f>'BS &amp; FCF'!CB20</f>
        <v>82524</v>
      </c>
      <c r="Q23" s="513">
        <f>'BS &amp; FCF'!CD20</f>
        <v>84130</v>
      </c>
      <c r="R23" s="513">
        <f>'BS &amp; FCF'!CE20</f>
        <v>81613</v>
      </c>
      <c r="S23" s="513">
        <f>'BS &amp; FCF'!CF20</f>
        <v>82013.939827744864</v>
      </c>
      <c r="T23" s="513">
        <f>'BS &amp; FCF'!CG20</f>
        <v>82357.022004011698</v>
      </c>
    </row>
    <row r="24" spans="2:20" ht="17.5" customHeight="1" x14ac:dyDescent="0.35">
      <c r="B24" s="498" t="s">
        <v>186</v>
      </c>
      <c r="C24" s="513">
        <f>'BS &amp; FCF'!BI5</f>
        <v>2479491</v>
      </c>
      <c r="D24" s="513">
        <f>'BS &amp; FCF'!BN5</f>
        <v>2672902</v>
      </c>
      <c r="E24" s="513">
        <f>'BS &amp; FCF'!BS5</f>
        <v>2948710</v>
      </c>
      <c r="F24" s="513">
        <f>'BS &amp; FCF'!BX5</f>
        <v>4255450</v>
      </c>
      <c r="G24" s="513">
        <f>'BS &amp; FCF'!CC5</f>
        <v>5571871</v>
      </c>
      <c r="H24" s="513">
        <f ca="1">'BS &amp; FCF'!CH5</f>
        <v>6538866.4076721491</v>
      </c>
      <c r="I24" s="513">
        <f ca="1">'BS &amp; FCF'!CM5</f>
        <v>7577357.6761527769</v>
      </c>
      <c r="J24" s="513">
        <f ca="1">'BS &amp; FCF'!CR5</f>
        <v>8228197.3525782796</v>
      </c>
      <c r="K24" s="513">
        <f ca="1">'BS &amp; FCF'!CW5</f>
        <v>8755933.26867049</v>
      </c>
      <c r="L24" s="513">
        <f ca="1">'BS &amp; FCF'!DB5</f>
        <v>9023820.4235309362</v>
      </c>
      <c r="M24" s="513">
        <f>'BS &amp; FCF'!BY5</f>
        <v>4788712</v>
      </c>
      <c r="N24" s="513">
        <f>'BS &amp; FCF'!BZ5</f>
        <v>5102848</v>
      </c>
      <c r="O24" s="513">
        <f>'BS &amp; FCF'!CA5</f>
        <v>5550281</v>
      </c>
      <c r="P24" s="513">
        <f>'BS &amp; FCF'!CB5</f>
        <v>5571871</v>
      </c>
      <c r="Q24" s="513">
        <f>'BS &amp; FCF'!CD5</f>
        <v>6111357</v>
      </c>
      <c r="R24" s="513">
        <f>'BS &amp; FCF'!CE5</f>
        <v>6196896</v>
      </c>
      <c r="S24" s="513">
        <f ca="1">'BS &amp; FCF'!CF5</f>
        <v>6369803.8165546376</v>
      </c>
      <c r="T24" s="513">
        <f ca="1">'BS &amp; FCF'!CG5</f>
        <v>6538866.4076721491</v>
      </c>
    </row>
    <row r="25" spans="2:20" ht="17.5" customHeight="1" x14ac:dyDescent="0.35">
      <c r="B25" s="509" t="s">
        <v>399</v>
      </c>
      <c r="C25" s="513">
        <f>'BS &amp; FCF'!BI6</f>
        <v>594487</v>
      </c>
      <c r="D25" s="513">
        <f>'BS &amp; FCF'!BN6</f>
        <v>789426</v>
      </c>
      <c r="E25" s="513">
        <f>'BS &amp; FCF'!BS6</f>
        <v>992269</v>
      </c>
      <c r="F25" s="513">
        <f>'BS &amp; FCF'!BX6</f>
        <v>1416236</v>
      </c>
      <c r="G25" s="513">
        <f>'BS &amp; FCF'!CC6</f>
        <v>1790937</v>
      </c>
      <c r="H25" s="513">
        <f ca="1">'BS &amp; FCF'!CH6</f>
        <v>1872524.0438168487</v>
      </c>
      <c r="I25" s="513">
        <f ca="1">'BS &amp; FCF'!CM6</f>
        <v>2185896.2505043857</v>
      </c>
      <c r="J25" s="513">
        <f ca="1">'BS &amp; FCF'!CR6</f>
        <v>2363477.6643860331</v>
      </c>
      <c r="K25" s="513">
        <f ca="1">'BS &amp; FCF'!CW6</f>
        <v>2513932.075612301</v>
      </c>
      <c r="L25" s="513">
        <f ca="1">'BS &amp; FCF'!DB6</f>
        <v>2638844.7196007529</v>
      </c>
      <c r="M25" s="513">
        <f>'BS &amp; FCF'!BY6</f>
        <v>1543806</v>
      </c>
      <c r="N25" s="513">
        <f>'BS &amp; FCF'!BZ6</f>
        <v>1530875</v>
      </c>
      <c r="O25" s="513">
        <f>'BS &amp; FCF'!CA6</f>
        <v>1773203</v>
      </c>
      <c r="P25" s="513">
        <f>'BS &amp; FCF'!CB6</f>
        <v>1790937</v>
      </c>
      <c r="Q25" s="513">
        <f>'BS &amp; FCF'!CD6</f>
        <v>1757310</v>
      </c>
      <c r="R25" s="513">
        <f>'BS &amp; FCF'!CE6</f>
        <v>1633706</v>
      </c>
      <c r="S25" s="513">
        <f ca="1">'BS &amp; FCF'!CF6</f>
        <v>1751396.9834278519</v>
      </c>
      <c r="T25" s="513">
        <f ca="1">'BS &amp; FCF'!CG6</f>
        <v>1872524.0438168487</v>
      </c>
    </row>
    <row r="26" spans="2:20" ht="17.5" customHeight="1" x14ac:dyDescent="0.35">
      <c r="B26" s="498" t="s">
        <v>400</v>
      </c>
      <c r="C26" s="513">
        <f>'BS &amp; FCF'!BI28</f>
        <v>391228</v>
      </c>
      <c r="D26" s="513">
        <f>'BS &amp; FCF'!BN28</f>
        <v>480988</v>
      </c>
      <c r="E26" s="513">
        <f>'BS &amp; FCF'!BS28</f>
        <v>613352</v>
      </c>
      <c r="F26" s="513">
        <f>'BS &amp; FCF'!BX28</f>
        <v>986382</v>
      </c>
      <c r="G26" s="513">
        <f>'BS &amp; FCF'!CC28</f>
        <v>1474887</v>
      </c>
      <c r="H26" s="513">
        <f>'BS &amp; FCF'!CH28</f>
        <v>1369410.8964456208</v>
      </c>
      <c r="I26" s="513">
        <f>'BS &amp; FCF'!CM28</f>
        <v>1650050.1508429304</v>
      </c>
      <c r="J26" s="513">
        <f>'BS &amp; FCF'!CR28</f>
        <v>1831255.5706433414</v>
      </c>
      <c r="K26" s="513">
        <f>'BS &amp; FCF'!CW28</f>
        <v>1974652.7450481418</v>
      </c>
      <c r="L26" s="513">
        <f>'BS &amp; FCF'!DB28</f>
        <v>2090216.7911586079</v>
      </c>
      <c r="M26" s="513">
        <f>'BS &amp; FCF'!BY28</f>
        <v>1282811</v>
      </c>
      <c r="N26" s="513">
        <f>'BS &amp; FCF'!BZ28</f>
        <v>1303112</v>
      </c>
      <c r="O26" s="513">
        <f>'BS &amp; FCF'!CA28</f>
        <v>1322986</v>
      </c>
      <c r="P26" s="513">
        <f>'BS &amp; FCF'!CB28</f>
        <v>1474887</v>
      </c>
      <c r="Q26" s="513">
        <f>'BS &amp; FCF'!CD28</f>
        <v>1350416</v>
      </c>
      <c r="R26" s="513">
        <f>'BS &amp; FCF'!CE28</f>
        <v>1343155</v>
      </c>
      <c r="S26" s="513">
        <f>'BS &amp; FCF'!CF28</f>
        <v>1359533.1166372267</v>
      </c>
      <c r="T26" s="513">
        <f>'BS &amp; FCF'!CG28</f>
        <v>1369410.8964456208</v>
      </c>
    </row>
    <row r="27" spans="2:20" ht="17.5" customHeight="1" thickBot="1" x14ac:dyDescent="0.4">
      <c r="B27" s="510" t="s">
        <v>401</v>
      </c>
      <c r="C27" s="513"/>
    </row>
  </sheetData>
  <pageMargins left="0.7" right="0.7" top="0.75" bottom="0.75" header="0.3" footer="0.3"/>
  <headerFooter>
    <oddFooter>&amp;L_x000D_&amp;1#&amp;"Calibri"&amp;9&amp;K000000 Corporativo | Interno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Macro</vt:lpstr>
      <vt:lpstr>IS</vt:lpstr>
      <vt:lpstr>BS &amp; FCF</vt:lpstr>
      <vt:lpstr>Operating</vt:lpstr>
      <vt:lpstr>Valuation</vt:lpstr>
      <vt:lpstr>Report Tables</vt:lpstr>
      <vt:lpstr>Mask-UploadModel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Elvis F Credendio F</dc:creator>
  <cp:lastModifiedBy>Elvis De Farias Credendio Filho</cp:lastModifiedBy>
  <cp:lastPrinted>2025-09-08T23:34:38Z</cp:lastPrinted>
  <dcterms:created xsi:type="dcterms:W3CDTF">2025-06-03T13:42:52Z</dcterms:created>
  <dcterms:modified xsi:type="dcterms:W3CDTF">2026-09-21T13:00:27Z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c996bf-6aee-415c-aa4c-e35ad0009c67_Enabled">
    <vt:lpwstr>true</vt:lpwstr>
  </property>
  <property fmtid="{D5CDD505-2E9C-101B-9397-08002B2CF9AE}" pid="3" name="MSIP_Label_4fc996bf-6aee-415c-aa4c-e35ad0009c67_SetDate">
    <vt:lpwstr>2025-09-01T13:02:24Z</vt:lpwstr>
  </property>
  <property fmtid="{D5CDD505-2E9C-101B-9397-08002B2CF9AE}" pid="4" name="MSIP_Label_4fc996bf-6aee-415c-aa4c-e35ad0009c67_Method">
    <vt:lpwstr>Standard</vt:lpwstr>
  </property>
  <property fmtid="{D5CDD505-2E9C-101B-9397-08002B2CF9AE}" pid="5" name="MSIP_Label_4fc996bf-6aee-415c-aa4c-e35ad0009c67_Name">
    <vt:lpwstr>Compartilhamento Interno</vt:lpwstr>
  </property>
  <property fmtid="{D5CDD505-2E9C-101B-9397-08002B2CF9AE}" pid="6" name="MSIP_Label_4fc996bf-6aee-415c-aa4c-e35ad0009c67_SiteId">
    <vt:lpwstr>591669a0-183f-49a5-98f4-9aa0d0b63d81</vt:lpwstr>
  </property>
  <property fmtid="{D5CDD505-2E9C-101B-9397-08002B2CF9AE}" pid="7" name="MSIP_Label_4fc996bf-6aee-415c-aa4c-e35ad0009c67_ActionId">
    <vt:lpwstr>955293dd-c45d-4854-a13d-9af7782f5968</vt:lpwstr>
  </property>
  <property fmtid="{D5CDD505-2E9C-101B-9397-08002B2CF9AE}" pid="8" name="MSIP_Label_4fc996bf-6aee-415c-aa4c-e35ad0009c67_ContentBits">
    <vt:lpwstr>2</vt:lpwstr>
  </property>
  <property fmtid="{D5CDD505-2E9C-101B-9397-08002B2CF9AE}" pid="9" name="MSIP_Label_4fc996bf-6aee-415c-aa4c-e35ad0009c67_Tag">
    <vt:lpwstr>10, 3, 0, 1</vt:lpwstr>
  </property>
</Properties>
</file>